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19176\Desktop\BUS 356 Portfolio\"/>
    </mc:Choice>
  </mc:AlternateContent>
  <xr:revisionPtr revIDLastSave="0" documentId="8_{9E7A44CB-22BF-4562-9DC1-4F01AC3E8F4A}" xr6:coauthVersionLast="47" xr6:coauthVersionMax="47" xr10:uidLastSave="{00000000-0000-0000-0000-000000000000}"/>
  <bookViews>
    <workbookView xWindow="-9550" yWindow="-21710" windowWidth="38620" windowHeight="21100" xr2:uid="{2D956BC0-DDAF-4858-BCC5-E26A772FEA78}"/>
  </bookViews>
  <sheets>
    <sheet name="Exe Sum" sheetId="9" r:id="rId1"/>
    <sheet name="ChartData" sheetId="27" r:id="rId2"/>
    <sheet name="MEMO" sheetId="4" r:id="rId3"/>
    <sheet name="Industry" sheetId="18" r:id="rId4"/>
    <sheet name="C24-21" sheetId="24" r:id="rId5"/>
    <sheet name="YOY CMG" sheetId="22" r:id="rId6"/>
    <sheet name="S24-21" sheetId="23" r:id="rId7"/>
    <sheet name="YOY SHAK" sheetId="20" r:id="rId8"/>
    <sheet name="M24-21" sheetId="25" r:id="rId9"/>
    <sheet name="YOY MCD" sheetId="19" r:id="rId10"/>
    <sheet name="Y24-21" sheetId="26" r:id="rId11"/>
    <sheet name="YOY Yum" sheetId="21" r:id="rId12"/>
    <sheet name="Ratio Formulas" sheetId="5" r:id="rId13"/>
    <sheet name="Sheet1" sheetId="28" r:id="rId14"/>
  </sheets>
  <definedNames>
    <definedName name="_xlchart.v1.0" hidden="1">Sheet1!$H$26:$H$29</definedName>
    <definedName name="_xlchart.v1.1" hidden="1">Sheet1!$I$25</definedName>
    <definedName name="_xlchart.v1.2" hidden="1">Sheet1!$I$26:$I$29</definedName>
    <definedName name="_xlchart.v2.3" hidden="1">Sheet1!$H$26:$H$29</definedName>
    <definedName name="_xlchart.v2.4" hidden="1">Sheet1!$I$25</definedName>
    <definedName name="_xlchart.v2.5" hidden="1">Sheet1!$I$26:$I$29</definedName>
    <definedName name="_xlnm.Print_Area" localSheetId="4">'C24-21'!$A$1:$K$70</definedName>
    <definedName name="_xlnm.Print_Area" localSheetId="3">Industry!$A$1:$F$45</definedName>
    <definedName name="_xlnm.Print_Area" localSheetId="8">'M24-21'!$A$1:$K$71</definedName>
    <definedName name="_xlnm.Print_Area" localSheetId="2">MEMO!$A$2:$J$59</definedName>
    <definedName name="_xlnm.Print_Area" localSheetId="6">'S24-21'!$A$1:$K$71</definedName>
    <definedName name="_xlnm.Print_Area" localSheetId="10">'Y24-21'!$A$1:$K$72</definedName>
    <definedName name="_xlnm.Print_Area" localSheetId="5">'YOY CMG'!$A$1:$I$45</definedName>
    <definedName name="_xlnm.Print_Area" localSheetId="9">'YOY MCD'!$A$1:$I$45</definedName>
    <definedName name="_xlnm.Print_Area" localSheetId="7">'YOY SHAK'!$A$1:$I$45</definedName>
    <definedName name="_xlnm.Print_Area" localSheetId="11">'YOY Yum'!$A$1:$I$45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4" i="27" l="1"/>
  <c r="P14" i="27"/>
  <c r="O14" i="27"/>
  <c r="Q13" i="27"/>
  <c r="P13" i="27"/>
  <c r="O13" i="27"/>
  <c r="P12" i="27"/>
  <c r="O12" i="27"/>
  <c r="Q12" i="27"/>
  <c r="Q11" i="27"/>
  <c r="P11" i="27"/>
  <c r="O11" i="27"/>
  <c r="N11" i="27" a="1"/>
  <c r="N11" i="27" s="1"/>
  <c r="P7" i="27"/>
  <c r="Q7" i="27"/>
  <c r="R7" i="27"/>
  <c r="O7" i="27"/>
  <c r="P6" i="27"/>
  <c r="Q6" i="27"/>
  <c r="R6" i="27"/>
  <c r="O6" i="27"/>
  <c r="P4" i="27"/>
  <c r="Q4" i="27"/>
  <c r="R4" i="27"/>
  <c r="P5" i="27"/>
  <c r="Q5" i="27"/>
  <c r="R5" i="27"/>
  <c r="O5" i="27"/>
  <c r="O4" i="27"/>
  <c r="I19" i="27" a="1"/>
  <c r="I19" i="27" s="1"/>
  <c r="L11" i="27"/>
  <c r="L18" i="27" s="1"/>
  <c r="N4" i="27" a="1"/>
  <c r="N4" i="27" s="1"/>
  <c r="O3" i="27" a="1"/>
  <c r="O3" i="27" s="1"/>
  <c r="L33" i="27" a="1"/>
  <c r="L33" i="27" s="1"/>
  <c r="L34" i="27" a="1"/>
  <c r="L34" i="27" s="1"/>
  <c r="L35" i="27" a="1"/>
  <c r="L35" i="27" s="1"/>
  <c r="L32" i="27" a="1"/>
  <c r="L32" i="27" s="1"/>
  <c r="K33" i="27" a="1"/>
  <c r="K33" i="27" s="1"/>
  <c r="K34" i="27" a="1"/>
  <c r="K34" i="27" s="1"/>
  <c r="K35" i="27" a="1"/>
  <c r="K35" i="27" s="1"/>
  <c r="K32" i="27" a="1"/>
  <c r="K32" i="27" s="1"/>
  <c r="I33" i="27"/>
  <c r="I34" i="27"/>
  <c r="I35" i="27"/>
  <c r="I32" i="27"/>
  <c r="J33" i="27" a="1"/>
  <c r="J33" i="27" s="1"/>
  <c r="J34" i="27" a="1"/>
  <c r="J34" i="27" s="1"/>
  <c r="J35" i="27" a="1"/>
  <c r="J35" i="27" s="1"/>
  <c r="J32" i="27" a="1"/>
  <c r="J32" i="27" s="1"/>
  <c r="H32" i="27" a="1"/>
  <c r="H32" i="27" s="1"/>
  <c r="I31" i="27" a="1"/>
  <c r="I31" i="27" s="1"/>
  <c r="L28" i="27"/>
  <c r="K28" i="27"/>
  <c r="J28" i="27"/>
  <c r="I28" i="27"/>
  <c r="L26" i="27"/>
  <c r="L27" i="27"/>
  <c r="K27" i="27"/>
  <c r="J27" i="27"/>
  <c r="I27" i="27"/>
  <c r="G39" i="20"/>
  <c r="C39" i="20"/>
  <c r="D38" i="20"/>
  <c r="C39" i="22"/>
  <c r="K26" i="27"/>
  <c r="H39" i="20"/>
  <c r="D39" i="20"/>
  <c r="J26" i="27"/>
  <c r="I26" i="27"/>
  <c r="L25" i="27"/>
  <c r="K25" i="27"/>
  <c r="J25" i="27"/>
  <c r="I25" i="27"/>
  <c r="H25" i="27" a="1"/>
  <c r="H25" i="27" s="1"/>
  <c r="I24" i="27" a="1"/>
  <c r="I24" i="27" s="1"/>
  <c r="J21" i="27" a="1"/>
  <c r="J21" i="27" s="1"/>
  <c r="K21" i="27" a="1"/>
  <c r="K21" i="27" s="1"/>
  <c r="L21" i="27" a="1"/>
  <c r="L21" i="27" s="1"/>
  <c r="I21" i="27" a="1"/>
  <c r="I21" i="27" s="1"/>
  <c r="J20" i="27" a="1"/>
  <c r="J20" i="27" s="1"/>
  <c r="K20" i="27" a="1"/>
  <c r="K20" i="27" s="1"/>
  <c r="L20" i="27" a="1"/>
  <c r="L20" i="27" s="1"/>
  <c r="I20" i="27" a="1"/>
  <c r="I20" i="27" s="1"/>
  <c r="K19" i="27" a="1"/>
  <c r="K19" i="27" s="1"/>
  <c r="J18" i="27"/>
  <c r="K18" i="27"/>
  <c r="I11" i="27"/>
  <c r="I18" i="27" s="1"/>
  <c r="H4" i="27" a="1"/>
  <c r="H4" i="27" s="1"/>
  <c r="H11" i="27" s="1" a="1"/>
  <c r="H11" i="27" s="1"/>
  <c r="I17" i="27" a="1"/>
  <c r="I17" i="27" s="1"/>
  <c r="H18" i="27" l="1" a="1"/>
  <c r="H18" i="27" s="1"/>
  <c r="L14" i="27" l="1"/>
  <c r="K14" i="27"/>
  <c r="J14" i="27"/>
  <c r="I14" i="27"/>
  <c r="L13" i="27"/>
  <c r="L12" i="27"/>
  <c r="L19" i="27" s="1" a="1"/>
  <c r="L19" i="27" s="1"/>
  <c r="K13" i="27"/>
  <c r="K12" i="27"/>
  <c r="J13" i="27"/>
  <c r="I13" i="27"/>
  <c r="J12" i="27"/>
  <c r="J19" i="27" s="1" a="1"/>
  <c r="J19" i="27" s="1"/>
  <c r="I12" i="27"/>
  <c r="K11" i="27"/>
  <c r="J11" i="27"/>
  <c r="I10" i="27" a="1"/>
  <c r="I10" i="27" s="1"/>
  <c r="J5" i="27"/>
  <c r="K5" i="27"/>
  <c r="L5" i="27"/>
  <c r="J6" i="27"/>
  <c r="K6" i="27"/>
  <c r="L6" i="27"/>
  <c r="J7" i="27"/>
  <c r="K7" i="27"/>
  <c r="L7" i="27"/>
  <c r="I7" i="27"/>
  <c r="I6" i="27"/>
  <c r="I5" i="27"/>
  <c r="J4" i="27"/>
  <c r="K4" i="27"/>
  <c r="L4" i="27"/>
  <c r="I4" i="27"/>
  <c r="I3" i="27" a="1"/>
  <c r="I3" i="27" s="1"/>
  <c r="B33" i="27"/>
  <c r="C32" i="27" a="1"/>
  <c r="C32" i="27" s="1"/>
  <c r="C29" i="27" a="1"/>
  <c r="C29" i="27" s="1"/>
  <c r="C28" i="27" a="1"/>
  <c r="C28" i="27" s="1"/>
  <c r="C27" i="27" a="1"/>
  <c r="C27" i="27" s="1"/>
  <c r="C26" i="27" a="1"/>
  <c r="C26" i="27" s="1"/>
  <c r="B26" i="27" a="1"/>
  <c r="B26" i="27" s="1"/>
  <c r="C25" i="27" a="1"/>
  <c r="C25" i="27" s="1"/>
  <c r="B22" i="27"/>
  <c r="C22" i="27" s="1"/>
  <c r="C21" i="27" a="1"/>
  <c r="C21" i="27" s="1"/>
  <c r="C18" i="27" a="1"/>
  <c r="C18" i="27" s="1"/>
  <c r="C17" i="27" a="1"/>
  <c r="C17" i="27" s="1"/>
  <c r="C16" i="27" a="1"/>
  <c r="C16" i="27" s="1"/>
  <c r="C15" i="27" a="1"/>
  <c r="C15" i="27" s="1"/>
  <c r="B15" i="27" a="1"/>
  <c r="B15" i="27" s="1"/>
  <c r="C14" i="27" a="1"/>
  <c r="C14" i="27" s="1"/>
  <c r="C10" i="27" a="1"/>
  <c r="C10" i="27" s="1"/>
  <c r="B11" i="27"/>
  <c r="D11" i="27" s="1"/>
  <c r="C7" i="27" a="1"/>
  <c r="C7" i="27" s="1"/>
  <c r="C6" i="27" a="1"/>
  <c r="C6" i="27" s="1"/>
  <c r="C5" i="27" a="1"/>
  <c r="C5" i="27" s="1"/>
  <c r="C4" i="27" a="1"/>
  <c r="C4" i="27" s="1"/>
  <c r="D33" i="27" l="1" a="1"/>
  <c r="D33" i="27" s="1"/>
  <c r="C11" i="27"/>
  <c r="F22" i="27"/>
  <c r="E22" i="27"/>
  <c r="D22" i="27"/>
  <c r="C33" i="27" a="1"/>
  <c r="C33" i="27" s="1"/>
  <c r="F33" i="27" a="1"/>
  <c r="F33" i="27" s="1"/>
  <c r="E33" i="27" a="1"/>
  <c r="E33" i="27" s="1"/>
  <c r="F11" i="27"/>
  <c r="E11" i="27"/>
  <c r="H22" i="19" l="1"/>
  <c r="H33" i="19"/>
  <c r="I33" i="19" s="1"/>
  <c r="G3" i="22"/>
  <c r="E8" i="18"/>
  <c r="E10" i="18"/>
  <c r="E11" i="18"/>
  <c r="E12" i="18"/>
  <c r="E13" i="18"/>
  <c r="E14" i="18"/>
  <c r="E15" i="18"/>
  <c r="E16" i="18"/>
  <c r="E17" i="18"/>
  <c r="E34" i="18"/>
  <c r="E35" i="18"/>
  <c r="E4" i="18"/>
  <c r="D5" i="18"/>
  <c r="D6" i="18"/>
  <c r="D7" i="18"/>
  <c r="D8" i="18"/>
  <c r="D9" i="18"/>
  <c r="D10" i="18"/>
  <c r="D11" i="18"/>
  <c r="D12" i="18"/>
  <c r="D13" i="18"/>
  <c r="D14" i="18"/>
  <c r="D15" i="18"/>
  <c r="D16" i="18"/>
  <c r="D17" i="18"/>
  <c r="D18" i="18"/>
  <c r="D19" i="18"/>
  <c r="D20" i="18"/>
  <c r="D23" i="18"/>
  <c r="D24" i="18"/>
  <c r="D25" i="18"/>
  <c r="D27" i="18"/>
  <c r="D28" i="18"/>
  <c r="D29" i="18"/>
  <c r="D31" i="18"/>
  <c r="D32" i="18"/>
  <c r="D34" i="18"/>
  <c r="D35" i="18"/>
  <c r="D36" i="18"/>
  <c r="D37" i="18"/>
  <c r="D39" i="18"/>
  <c r="D40" i="18"/>
  <c r="D41" i="18"/>
  <c r="D42" i="18"/>
  <c r="D43" i="18"/>
  <c r="D44" i="18"/>
  <c r="D45" i="18"/>
  <c r="D4" i="18"/>
  <c r="C34" i="18"/>
  <c r="C35" i="18"/>
  <c r="B14" i="18"/>
  <c r="B15" i="18"/>
  <c r="B16" i="18"/>
  <c r="B17" i="18"/>
  <c r="B32" i="18"/>
  <c r="B34" i="18"/>
  <c r="B35" i="18"/>
  <c r="C4" i="18"/>
  <c r="B4" i="18"/>
  <c r="I33" i="21"/>
  <c r="I34" i="21"/>
  <c r="C41" i="21"/>
  <c r="E42" i="18" s="1"/>
  <c r="D40" i="21"/>
  <c r="H34" i="21"/>
  <c r="F34" i="21"/>
  <c r="D34" i="21"/>
  <c r="G34" i="21" s="1"/>
  <c r="C34" i="21"/>
  <c r="E34" i="21" s="1"/>
  <c r="H33" i="21"/>
  <c r="H35" i="21" s="1"/>
  <c r="F33" i="21"/>
  <c r="D33" i="21"/>
  <c r="G33" i="21" s="1"/>
  <c r="C33" i="21"/>
  <c r="F27" i="21"/>
  <c r="I27" i="21" s="1"/>
  <c r="H27" i="21"/>
  <c r="C27" i="21"/>
  <c r="H5" i="21"/>
  <c r="I5" i="21" s="1"/>
  <c r="H6" i="21"/>
  <c r="H7" i="21"/>
  <c r="H8" i="21"/>
  <c r="H9" i="21"/>
  <c r="I9" i="21" s="1"/>
  <c r="H10" i="21"/>
  <c r="H11" i="21"/>
  <c r="H26" i="21" s="1"/>
  <c r="I26" i="21" s="1"/>
  <c r="H13" i="21"/>
  <c r="H14" i="21"/>
  <c r="H28" i="21" s="1"/>
  <c r="H15" i="21"/>
  <c r="H23" i="21" s="1"/>
  <c r="H16" i="21"/>
  <c r="H17" i="21"/>
  <c r="H18" i="21"/>
  <c r="H40" i="21" s="1"/>
  <c r="H44" i="21" s="1"/>
  <c r="H19" i="21"/>
  <c r="H42" i="21" s="1"/>
  <c r="H4" i="21"/>
  <c r="F5" i="21"/>
  <c r="F6" i="21"/>
  <c r="F7" i="21"/>
  <c r="F8" i="21"/>
  <c r="F9" i="21"/>
  <c r="F10" i="21"/>
  <c r="F11" i="21"/>
  <c r="F26" i="21" s="1"/>
  <c r="G12" i="21"/>
  <c r="F13" i="21"/>
  <c r="G13" i="21" s="1"/>
  <c r="F14" i="21"/>
  <c r="I14" i="21" s="1"/>
  <c r="F15" i="21"/>
  <c r="I15" i="21" s="1"/>
  <c r="F16" i="21"/>
  <c r="F30" i="21" s="1"/>
  <c r="F17" i="21"/>
  <c r="F18" i="21"/>
  <c r="I18" i="21" s="1"/>
  <c r="F19" i="21"/>
  <c r="I19" i="21" s="1"/>
  <c r="F4" i="21"/>
  <c r="I4" i="21" s="1"/>
  <c r="D5" i="21"/>
  <c r="G5" i="21" s="1"/>
  <c r="D6" i="21"/>
  <c r="G6" i="21" s="1"/>
  <c r="D7" i="21"/>
  <c r="G7" i="21" s="1"/>
  <c r="D8" i="21"/>
  <c r="D9" i="21"/>
  <c r="G9" i="21" s="1"/>
  <c r="D10" i="21"/>
  <c r="G10" i="21" s="1"/>
  <c r="D11" i="21"/>
  <c r="D13" i="21"/>
  <c r="D14" i="21"/>
  <c r="D15" i="21"/>
  <c r="D16" i="21"/>
  <c r="D17" i="21"/>
  <c r="D18" i="21"/>
  <c r="D19" i="21"/>
  <c r="D41" i="21" s="1"/>
  <c r="D4" i="21"/>
  <c r="G4" i="21" s="1"/>
  <c r="C5" i="21"/>
  <c r="E6" i="18" s="1"/>
  <c r="C6" i="21"/>
  <c r="E7" i="18" s="1"/>
  <c r="C7" i="21"/>
  <c r="C8" i="21"/>
  <c r="E9" i="18" s="1"/>
  <c r="C9" i="21"/>
  <c r="C10" i="21"/>
  <c r="C11" i="21"/>
  <c r="C13" i="21"/>
  <c r="C14" i="21"/>
  <c r="C15" i="21"/>
  <c r="C16" i="21"/>
  <c r="C17" i="21"/>
  <c r="E18" i="18" s="1"/>
  <c r="C18" i="21"/>
  <c r="E19" i="18" s="1"/>
  <c r="C19" i="21"/>
  <c r="E20" i="18" s="1"/>
  <c r="C4" i="21"/>
  <c r="C26" i="21" s="1"/>
  <c r="E27" i="18" s="1"/>
  <c r="I12" i="21"/>
  <c r="I3" i="21"/>
  <c r="I23" i="19"/>
  <c r="I24" i="19"/>
  <c r="I26" i="19"/>
  <c r="I27" i="19"/>
  <c r="I28" i="19"/>
  <c r="I30" i="19"/>
  <c r="I31" i="19"/>
  <c r="I34" i="19"/>
  <c r="I38" i="19"/>
  <c r="I39" i="19"/>
  <c r="I40" i="19"/>
  <c r="I41" i="19"/>
  <c r="I42" i="19"/>
  <c r="I43" i="19"/>
  <c r="I44" i="19"/>
  <c r="I22" i="19"/>
  <c r="G23" i="19"/>
  <c r="G24" i="19"/>
  <c r="G26" i="19"/>
  <c r="G27" i="19"/>
  <c r="G28" i="19"/>
  <c r="G30" i="19"/>
  <c r="G31" i="19"/>
  <c r="G33" i="19"/>
  <c r="G34" i="19"/>
  <c r="G35" i="19"/>
  <c r="G36" i="19"/>
  <c r="G38" i="19"/>
  <c r="G39" i="19"/>
  <c r="G40" i="19"/>
  <c r="G41" i="19"/>
  <c r="G42" i="19"/>
  <c r="G43" i="19"/>
  <c r="G44" i="19"/>
  <c r="G22" i="19"/>
  <c r="E23" i="19"/>
  <c r="E24" i="19"/>
  <c r="E26" i="19"/>
  <c r="E27" i="19"/>
  <c r="E28" i="19"/>
  <c r="E30" i="19"/>
  <c r="E31" i="19"/>
  <c r="E33" i="19"/>
  <c r="E34" i="19"/>
  <c r="E35" i="19"/>
  <c r="E36" i="19"/>
  <c r="E38" i="19"/>
  <c r="E39" i="19"/>
  <c r="E40" i="19"/>
  <c r="E41" i="19"/>
  <c r="E42" i="19"/>
  <c r="E43" i="19"/>
  <c r="E44" i="19"/>
  <c r="E22" i="19"/>
  <c r="D44" i="19"/>
  <c r="F44" i="19"/>
  <c r="H44" i="19"/>
  <c r="C44" i="19"/>
  <c r="D43" i="19"/>
  <c r="F43" i="19"/>
  <c r="H43" i="19"/>
  <c r="C43" i="19"/>
  <c r="D42" i="19"/>
  <c r="F42" i="19"/>
  <c r="H42" i="19"/>
  <c r="C42" i="19"/>
  <c r="D41" i="19"/>
  <c r="F41" i="19"/>
  <c r="H41" i="19"/>
  <c r="C41" i="19"/>
  <c r="D40" i="19"/>
  <c r="F40" i="19"/>
  <c r="H40" i="19"/>
  <c r="C40" i="19"/>
  <c r="D39" i="19"/>
  <c r="F39" i="19"/>
  <c r="H39" i="19"/>
  <c r="C39" i="19"/>
  <c r="D38" i="19"/>
  <c r="F38" i="19"/>
  <c r="H38" i="19"/>
  <c r="C38" i="19"/>
  <c r="C36" i="19"/>
  <c r="D36" i="19"/>
  <c r="F36" i="19"/>
  <c r="D35" i="19"/>
  <c r="F35" i="19"/>
  <c r="C35" i="19"/>
  <c r="H34" i="19"/>
  <c r="F34" i="19"/>
  <c r="D34" i="19"/>
  <c r="C34" i="19"/>
  <c r="F33" i="19"/>
  <c r="D33" i="19"/>
  <c r="C33" i="19"/>
  <c r="D30" i="19"/>
  <c r="F30" i="19"/>
  <c r="D26" i="19"/>
  <c r="H5" i="19"/>
  <c r="H6" i="19"/>
  <c r="H7" i="19"/>
  <c r="H8" i="19"/>
  <c r="H9" i="19"/>
  <c r="H10" i="19"/>
  <c r="H11" i="19"/>
  <c r="H12" i="19"/>
  <c r="H27" i="19" s="1"/>
  <c r="H13" i="19"/>
  <c r="H23" i="19" s="1"/>
  <c r="H14" i="19"/>
  <c r="H28" i="19" s="1"/>
  <c r="H15" i="19"/>
  <c r="H16" i="19"/>
  <c r="H30" i="19" s="1"/>
  <c r="H17" i="19"/>
  <c r="H18" i="19"/>
  <c r="H19" i="19"/>
  <c r="H4" i="19"/>
  <c r="H26" i="19" s="1"/>
  <c r="F5" i="19"/>
  <c r="F6" i="19"/>
  <c r="F7" i="19"/>
  <c r="F8" i="19"/>
  <c r="F9" i="19"/>
  <c r="I9" i="19" s="1"/>
  <c r="F10" i="19"/>
  <c r="I10" i="19" s="1"/>
  <c r="F11" i="19"/>
  <c r="I11" i="19" s="1"/>
  <c r="F12" i="19"/>
  <c r="I12" i="19" s="1"/>
  <c r="F13" i="19"/>
  <c r="F23" i="19" s="1"/>
  <c r="F14" i="19"/>
  <c r="I14" i="19" s="1"/>
  <c r="F15" i="19"/>
  <c r="F16" i="19"/>
  <c r="F17" i="19"/>
  <c r="F18" i="19"/>
  <c r="F19" i="19"/>
  <c r="F4" i="19"/>
  <c r="I4" i="19" s="1"/>
  <c r="D5" i="19"/>
  <c r="G5" i="19" s="1"/>
  <c r="D6" i="19"/>
  <c r="D7" i="19"/>
  <c r="D8" i="19"/>
  <c r="G8" i="19" s="1"/>
  <c r="D9" i="19"/>
  <c r="G9" i="19" s="1"/>
  <c r="D10" i="19"/>
  <c r="G10" i="19" s="1"/>
  <c r="D11" i="19"/>
  <c r="D12" i="19"/>
  <c r="G12" i="19" s="1"/>
  <c r="D13" i="19"/>
  <c r="D22" i="19" s="1"/>
  <c r="D14" i="19"/>
  <c r="D31" i="19" s="1"/>
  <c r="D15" i="19"/>
  <c r="D16" i="19"/>
  <c r="D17" i="19"/>
  <c r="D18" i="19"/>
  <c r="D19" i="19"/>
  <c r="D4" i="19"/>
  <c r="D28" i="19" s="1"/>
  <c r="C5" i="19"/>
  <c r="C6" i="19"/>
  <c r="C7" i="19"/>
  <c r="C8" i="19"/>
  <c r="C9" i="19"/>
  <c r="C10" i="19"/>
  <c r="C11" i="19"/>
  <c r="C12" i="19"/>
  <c r="C27" i="19" s="1"/>
  <c r="C13" i="19"/>
  <c r="C22" i="19" s="1"/>
  <c r="C14" i="19"/>
  <c r="C31" i="19" s="1"/>
  <c r="C15" i="19"/>
  <c r="C16" i="19"/>
  <c r="C30" i="19" s="1"/>
  <c r="C17" i="19"/>
  <c r="C18" i="19"/>
  <c r="C19" i="19"/>
  <c r="C4" i="19"/>
  <c r="C26" i="19" s="1"/>
  <c r="G6" i="19"/>
  <c r="G7" i="19"/>
  <c r="I5" i="19"/>
  <c r="I6" i="19"/>
  <c r="I7" i="19"/>
  <c r="I8" i="19"/>
  <c r="I3" i="19"/>
  <c r="I33" i="20"/>
  <c r="I34" i="20"/>
  <c r="G33" i="20"/>
  <c r="G34" i="20"/>
  <c r="E33" i="20"/>
  <c r="E34" i="20"/>
  <c r="H44" i="20"/>
  <c r="H40" i="20"/>
  <c r="D27" i="20"/>
  <c r="F27" i="20"/>
  <c r="G27" i="20" s="1"/>
  <c r="C26" i="20"/>
  <c r="C27" i="18" s="1"/>
  <c r="F24" i="20"/>
  <c r="I24" i="20" s="1"/>
  <c r="H24" i="20"/>
  <c r="F22" i="20"/>
  <c r="H5" i="20"/>
  <c r="H6" i="20"/>
  <c r="H7" i="20"/>
  <c r="H8" i="20"/>
  <c r="H9" i="20"/>
  <c r="H10" i="20"/>
  <c r="H11" i="20"/>
  <c r="H12" i="20"/>
  <c r="H13" i="20"/>
  <c r="H23" i="20" s="1"/>
  <c r="H14" i="20"/>
  <c r="H31" i="20" s="1"/>
  <c r="H15" i="20"/>
  <c r="H16" i="20"/>
  <c r="H17" i="20"/>
  <c r="H18" i="20"/>
  <c r="H19" i="20"/>
  <c r="H42" i="20" s="1"/>
  <c r="H4" i="20"/>
  <c r="H26" i="20" s="1"/>
  <c r="C8" i="20"/>
  <c r="C9" i="18" s="1"/>
  <c r="F5" i="20"/>
  <c r="F6" i="20"/>
  <c r="F7" i="20"/>
  <c r="F8" i="20"/>
  <c r="I8" i="20" s="1"/>
  <c r="F9" i="20"/>
  <c r="F38" i="20" s="1"/>
  <c r="F10" i="20"/>
  <c r="F11" i="20"/>
  <c r="F12" i="20"/>
  <c r="I12" i="20" s="1"/>
  <c r="F13" i="20"/>
  <c r="F14" i="20"/>
  <c r="F31" i="20" s="1"/>
  <c r="I31" i="20" s="1"/>
  <c r="F15" i="20"/>
  <c r="F16" i="20"/>
  <c r="F17" i="20"/>
  <c r="F18" i="20"/>
  <c r="I18" i="20" s="1"/>
  <c r="F19" i="20"/>
  <c r="I19" i="20" s="1"/>
  <c r="F4" i="20"/>
  <c r="D5" i="20"/>
  <c r="D6" i="20"/>
  <c r="D7" i="20"/>
  <c r="D8" i="20"/>
  <c r="D9" i="20"/>
  <c r="D10" i="20"/>
  <c r="D11" i="20"/>
  <c r="D12" i="20"/>
  <c r="D13" i="20"/>
  <c r="D14" i="20"/>
  <c r="D31" i="20" s="1"/>
  <c r="G31" i="20" s="1"/>
  <c r="D15" i="20"/>
  <c r="D22" i="20" s="1"/>
  <c r="G22" i="20" s="1"/>
  <c r="D16" i="20"/>
  <c r="D17" i="20"/>
  <c r="D18" i="20"/>
  <c r="D40" i="20" s="1"/>
  <c r="D19" i="20"/>
  <c r="C4" i="20"/>
  <c r="D4" i="20"/>
  <c r="C5" i="20"/>
  <c r="C6" i="18" s="1"/>
  <c r="C6" i="20"/>
  <c r="C7" i="18" s="1"/>
  <c r="C7" i="20"/>
  <c r="C8" i="18" s="1"/>
  <c r="C9" i="20"/>
  <c r="C38" i="20" s="1"/>
  <c r="C10" i="20"/>
  <c r="C11" i="18" s="1"/>
  <c r="C11" i="20"/>
  <c r="C12" i="18" s="1"/>
  <c r="C12" i="20"/>
  <c r="C13" i="18" s="1"/>
  <c r="C13" i="20"/>
  <c r="C14" i="18" s="1"/>
  <c r="C14" i="20"/>
  <c r="C15" i="20"/>
  <c r="C22" i="20" s="1"/>
  <c r="C23" i="18" s="1"/>
  <c r="C16" i="20"/>
  <c r="C17" i="20"/>
  <c r="C18" i="18" s="1"/>
  <c r="C18" i="20"/>
  <c r="C40" i="20" s="1"/>
  <c r="C19" i="20"/>
  <c r="E19" i="20" s="1"/>
  <c r="I3" i="20"/>
  <c r="H44" i="22"/>
  <c r="F44" i="22"/>
  <c r="I44" i="22" s="1"/>
  <c r="H41" i="22"/>
  <c r="C41" i="22"/>
  <c r="H40" i="22"/>
  <c r="F40" i="22"/>
  <c r="I40" i="22" s="1"/>
  <c r="D40" i="22"/>
  <c r="D44" i="22" s="1"/>
  <c r="G44" i="22" s="1"/>
  <c r="C40" i="22"/>
  <c r="E40" i="22" s="1"/>
  <c r="D31" i="22"/>
  <c r="C31" i="22"/>
  <c r="H30" i="22"/>
  <c r="F30" i="22"/>
  <c r="D30" i="22"/>
  <c r="G30" i="22" s="1"/>
  <c r="C30" i="22"/>
  <c r="E30" i="22" s="1"/>
  <c r="H28" i="22"/>
  <c r="H35" i="22" s="1"/>
  <c r="H24" i="22"/>
  <c r="F24" i="22"/>
  <c r="H23" i="22"/>
  <c r="F23" i="22"/>
  <c r="D23" i="22"/>
  <c r="G23" i="22"/>
  <c r="I23" i="22"/>
  <c r="I24" i="22"/>
  <c r="I30" i="22"/>
  <c r="I33" i="22"/>
  <c r="I34" i="22"/>
  <c r="G33" i="22"/>
  <c r="G34" i="22"/>
  <c r="G40" i="22"/>
  <c r="E33" i="22"/>
  <c r="E34" i="22"/>
  <c r="H22" i="22"/>
  <c r="D22" i="22"/>
  <c r="C22" i="22"/>
  <c r="H5" i="22"/>
  <c r="H6" i="22"/>
  <c r="H7" i="22"/>
  <c r="H8" i="22"/>
  <c r="H9" i="22"/>
  <c r="H38" i="22" s="1"/>
  <c r="H39" i="22" s="1"/>
  <c r="H10" i="22"/>
  <c r="H42" i="22" s="1"/>
  <c r="H11" i="22"/>
  <c r="H12" i="22"/>
  <c r="H13" i="22"/>
  <c r="H14" i="22"/>
  <c r="H31" i="22" s="1"/>
  <c r="H15" i="22"/>
  <c r="H16" i="22"/>
  <c r="H17" i="22"/>
  <c r="H18" i="22"/>
  <c r="H19" i="22"/>
  <c r="H4" i="22"/>
  <c r="H27" i="22" s="1"/>
  <c r="F5" i="22"/>
  <c r="F6" i="22"/>
  <c r="F7" i="22"/>
  <c r="F8" i="22"/>
  <c r="F9" i="22"/>
  <c r="F38" i="22" s="1"/>
  <c r="F10" i="22"/>
  <c r="F42" i="22" s="1"/>
  <c r="I42" i="22" s="1"/>
  <c r="F11" i="22"/>
  <c r="F12" i="22"/>
  <c r="F13" i="22"/>
  <c r="F22" i="22" s="1"/>
  <c r="I22" i="22" s="1"/>
  <c r="F14" i="22"/>
  <c r="F15" i="22"/>
  <c r="F16" i="22"/>
  <c r="F17" i="22"/>
  <c r="F18" i="22"/>
  <c r="F31" i="22" s="1"/>
  <c r="F19" i="22"/>
  <c r="F41" i="22" s="1"/>
  <c r="I41" i="22" s="1"/>
  <c r="F4" i="22"/>
  <c r="F27" i="22" s="1"/>
  <c r="I27" i="22" s="1"/>
  <c r="D5" i="22"/>
  <c r="D6" i="22"/>
  <c r="D7" i="22"/>
  <c r="D8" i="22"/>
  <c r="D9" i="22"/>
  <c r="D38" i="22" s="1"/>
  <c r="D10" i="22"/>
  <c r="D42" i="22" s="1"/>
  <c r="G42" i="22" s="1"/>
  <c r="D11" i="22"/>
  <c r="D12" i="22"/>
  <c r="D13" i="22"/>
  <c r="D24" i="22" s="1"/>
  <c r="G24" i="22" s="1"/>
  <c r="D14" i="22"/>
  <c r="D15" i="22"/>
  <c r="D17" i="22"/>
  <c r="D18" i="22"/>
  <c r="D19" i="22"/>
  <c r="D41" i="22" s="1"/>
  <c r="D4" i="22"/>
  <c r="C5" i="22"/>
  <c r="B6" i="18" s="1"/>
  <c r="C6" i="22"/>
  <c r="B7" i="18" s="1"/>
  <c r="C7" i="22"/>
  <c r="B8" i="18" s="1"/>
  <c r="C8" i="22"/>
  <c r="B9" i="18" s="1"/>
  <c r="C9" i="22"/>
  <c r="C38" i="22" s="1"/>
  <c r="C10" i="22"/>
  <c r="C42" i="22" s="1"/>
  <c r="C11" i="22"/>
  <c r="B12" i="18" s="1"/>
  <c r="C12" i="22"/>
  <c r="B13" i="18" s="1"/>
  <c r="C13" i="22"/>
  <c r="C24" i="22" s="1"/>
  <c r="C14" i="22"/>
  <c r="C15" i="22"/>
  <c r="C17" i="22"/>
  <c r="B18" i="18" s="1"/>
  <c r="C18" i="22"/>
  <c r="B19" i="18" s="1"/>
  <c r="C19" i="22"/>
  <c r="B20" i="18" s="1"/>
  <c r="C4" i="22"/>
  <c r="C28" i="22" s="1"/>
  <c r="B29" i="18" s="1"/>
  <c r="F34" i="18" l="1"/>
  <c r="G41" i="21"/>
  <c r="C38" i="21"/>
  <c r="H22" i="21"/>
  <c r="H38" i="21"/>
  <c r="H39" i="21" s="1"/>
  <c r="F38" i="21"/>
  <c r="C22" i="21"/>
  <c r="I10" i="21"/>
  <c r="D38" i="21"/>
  <c r="D42" i="21"/>
  <c r="G42" i="21" s="1"/>
  <c r="E28" i="18"/>
  <c r="D44" i="21"/>
  <c r="D30" i="21"/>
  <c r="G30" i="21" s="1"/>
  <c r="C42" i="21"/>
  <c r="E41" i="21"/>
  <c r="H43" i="21"/>
  <c r="D22" i="21"/>
  <c r="F42" i="21"/>
  <c r="I42" i="21" s="1"/>
  <c r="G8" i="21"/>
  <c r="F43" i="21"/>
  <c r="I43" i="21" s="1"/>
  <c r="F35" i="18"/>
  <c r="C30" i="21"/>
  <c r="I7" i="21"/>
  <c r="D43" i="21"/>
  <c r="G43" i="21" s="1"/>
  <c r="E33" i="21"/>
  <c r="E5" i="18"/>
  <c r="H41" i="21"/>
  <c r="C28" i="21"/>
  <c r="C35" i="21" s="1"/>
  <c r="C40" i="21"/>
  <c r="C43" i="21"/>
  <c r="C23" i="21"/>
  <c r="H30" i="21"/>
  <c r="I30" i="21" s="1"/>
  <c r="D27" i="21"/>
  <c r="G27" i="21" s="1"/>
  <c r="F41" i="21"/>
  <c r="D31" i="21"/>
  <c r="D26" i="21"/>
  <c r="G26" i="21" s="1"/>
  <c r="F40" i="21"/>
  <c r="C44" i="20"/>
  <c r="C41" i="18"/>
  <c r="E40" i="20"/>
  <c r="D44" i="20"/>
  <c r="E38" i="20"/>
  <c r="C39" i="18"/>
  <c r="F39" i="20"/>
  <c r="I39" i="20" s="1"/>
  <c r="I38" i="20"/>
  <c r="C24" i="20"/>
  <c r="C42" i="20"/>
  <c r="H28" i="20"/>
  <c r="H35" i="20" s="1"/>
  <c r="H36" i="20" s="1"/>
  <c r="I27" i="20"/>
  <c r="I10" i="20"/>
  <c r="F42" i="20"/>
  <c r="I42" i="20" s="1"/>
  <c r="C20" i="18"/>
  <c r="F20" i="18" s="1"/>
  <c r="H30" i="20"/>
  <c r="D23" i="20"/>
  <c r="C10" i="18"/>
  <c r="F10" i="18" s="1"/>
  <c r="H38" i="20"/>
  <c r="C43" i="20"/>
  <c r="F41" i="20"/>
  <c r="H43" i="20"/>
  <c r="E22" i="20"/>
  <c r="H22" i="20"/>
  <c r="I22" i="20" s="1"/>
  <c r="C19" i="18"/>
  <c r="F19" i="18" s="1"/>
  <c r="D30" i="20"/>
  <c r="G30" i="20" s="1"/>
  <c r="C41" i="20"/>
  <c r="C31" i="20"/>
  <c r="C15" i="18"/>
  <c r="C30" i="20"/>
  <c r="C17" i="18"/>
  <c r="F17" i="18" s="1"/>
  <c r="C16" i="18"/>
  <c r="F16" i="18" s="1"/>
  <c r="D41" i="20"/>
  <c r="D42" i="20"/>
  <c r="G42" i="20" s="1"/>
  <c r="G38" i="20"/>
  <c r="D28" i="20"/>
  <c r="D43" i="20"/>
  <c r="F40" i="20"/>
  <c r="G40" i="20" s="1"/>
  <c r="F30" i="20"/>
  <c r="I30" i="20" s="1"/>
  <c r="H41" i="20"/>
  <c r="C23" i="20"/>
  <c r="C28" i="20"/>
  <c r="F43" i="20"/>
  <c r="I43" i="20" s="1"/>
  <c r="C27" i="20"/>
  <c r="F26" i="20"/>
  <c r="I26" i="20" s="1"/>
  <c r="C5" i="18"/>
  <c r="E24" i="22"/>
  <c r="B25" i="18"/>
  <c r="D39" i="22"/>
  <c r="G38" i="22"/>
  <c r="E42" i="22"/>
  <c r="B43" i="18"/>
  <c r="E38" i="22"/>
  <c r="B39" i="18"/>
  <c r="I38" i="22"/>
  <c r="F39" i="22"/>
  <c r="I39" i="22" s="1"/>
  <c r="G22" i="22"/>
  <c r="G41" i="22"/>
  <c r="I31" i="22"/>
  <c r="C23" i="22"/>
  <c r="B24" i="18" s="1"/>
  <c r="B31" i="18"/>
  <c r="E22" i="22"/>
  <c r="B10" i="18"/>
  <c r="D27" i="22"/>
  <c r="B11" i="18"/>
  <c r="F11" i="18" s="1"/>
  <c r="C26" i="22"/>
  <c r="B27" i="18" s="1"/>
  <c r="F27" i="18" s="1"/>
  <c r="B23" i="18"/>
  <c r="B5" i="18"/>
  <c r="H36" i="22"/>
  <c r="E41" i="22"/>
  <c r="D26" i="22"/>
  <c r="E26" i="22" s="1"/>
  <c r="B42" i="18"/>
  <c r="E19" i="22"/>
  <c r="D28" i="22"/>
  <c r="D35" i="22" s="1"/>
  <c r="D36" i="22" s="1"/>
  <c r="C44" i="22"/>
  <c r="B41" i="18"/>
  <c r="G31" i="22"/>
  <c r="F28" i="22"/>
  <c r="I28" i="22" s="1"/>
  <c r="H35" i="19"/>
  <c r="G27" i="22"/>
  <c r="C35" i="22"/>
  <c r="B36" i="18" s="1"/>
  <c r="D43" i="22"/>
  <c r="F26" i="22"/>
  <c r="C43" i="22"/>
  <c r="H26" i="22"/>
  <c r="C27" i="22"/>
  <c r="F43" i="22"/>
  <c r="H43" i="22"/>
  <c r="F35" i="22"/>
  <c r="G35" i="22" s="1"/>
  <c r="G26" i="22"/>
  <c r="C31" i="21"/>
  <c r="D23" i="21"/>
  <c r="G23" i="21" s="1"/>
  <c r="H24" i="21"/>
  <c r="F31" i="21"/>
  <c r="I31" i="21" s="1"/>
  <c r="I6" i="21"/>
  <c r="F24" i="21"/>
  <c r="I24" i="21" s="1"/>
  <c r="I8" i="21"/>
  <c r="D24" i="21"/>
  <c r="G24" i="21" s="1"/>
  <c r="F28" i="21"/>
  <c r="I28" i="21" s="1"/>
  <c r="H31" i="21"/>
  <c r="H36" i="21" s="1"/>
  <c r="F22" i="21"/>
  <c r="I22" i="21" s="1"/>
  <c r="D28" i="21"/>
  <c r="F23" i="21"/>
  <c r="I23" i="21" s="1"/>
  <c r="C24" i="21"/>
  <c r="I17" i="21"/>
  <c r="I11" i="21"/>
  <c r="I16" i="21"/>
  <c r="I13" i="21"/>
  <c r="G14" i="21"/>
  <c r="G19" i="21"/>
  <c r="G17" i="21"/>
  <c r="G11" i="21"/>
  <c r="G18" i="21"/>
  <c r="G16" i="21"/>
  <c r="G15" i="21"/>
  <c r="H31" i="19"/>
  <c r="C24" i="19"/>
  <c r="H24" i="19"/>
  <c r="D27" i="19"/>
  <c r="F31" i="19"/>
  <c r="C28" i="19"/>
  <c r="F27" i="19"/>
  <c r="F24" i="19"/>
  <c r="I13" i="19"/>
  <c r="D24" i="19"/>
  <c r="F28" i="19"/>
  <c r="C23" i="19"/>
  <c r="D23" i="19"/>
  <c r="F22" i="19"/>
  <c r="F26" i="19"/>
  <c r="I16" i="19"/>
  <c r="I19" i="19"/>
  <c r="I17" i="19"/>
  <c r="I18" i="19"/>
  <c r="I15" i="19"/>
  <c r="G16" i="19"/>
  <c r="G17" i="19"/>
  <c r="G14" i="19"/>
  <c r="G11" i="19"/>
  <c r="G13" i="19"/>
  <c r="G15" i="19"/>
  <c r="G19" i="19"/>
  <c r="G18" i="19"/>
  <c r="G4" i="19"/>
  <c r="F23" i="20"/>
  <c r="I23" i="20" s="1"/>
  <c r="D26" i="20"/>
  <c r="H27" i="20"/>
  <c r="I7" i="20"/>
  <c r="I6" i="20"/>
  <c r="I5" i="20"/>
  <c r="D24" i="20"/>
  <c r="G24" i="20" s="1"/>
  <c r="F28" i="20"/>
  <c r="I17" i="20"/>
  <c r="I15" i="20"/>
  <c r="I11" i="20"/>
  <c r="I16" i="20"/>
  <c r="I13" i="20"/>
  <c r="I9" i="20"/>
  <c r="I14" i="20"/>
  <c r="I4" i="20"/>
  <c r="E31" i="22"/>
  <c r="G19" i="22"/>
  <c r="I4" i="22"/>
  <c r="I5" i="22"/>
  <c r="I6" i="22"/>
  <c r="I7" i="22"/>
  <c r="I8" i="22"/>
  <c r="I9" i="22"/>
  <c r="I10" i="22"/>
  <c r="I11" i="22"/>
  <c r="I12" i="22"/>
  <c r="I13" i="22"/>
  <c r="I14" i="22"/>
  <c r="I15" i="22"/>
  <c r="I16" i="22"/>
  <c r="I17" i="22"/>
  <c r="I18" i="22"/>
  <c r="I19" i="22"/>
  <c r="I3" i="22"/>
  <c r="E19" i="21"/>
  <c r="E18" i="21"/>
  <c r="E17" i="21"/>
  <c r="E16" i="21"/>
  <c r="E15" i="21"/>
  <c r="E14" i="21"/>
  <c r="E13" i="21"/>
  <c r="E12" i="21"/>
  <c r="E11" i="21"/>
  <c r="E10" i="21"/>
  <c r="E9" i="21"/>
  <c r="E8" i="21"/>
  <c r="E7" i="21"/>
  <c r="E6" i="21"/>
  <c r="E5" i="21"/>
  <c r="E4" i="21"/>
  <c r="G3" i="21"/>
  <c r="E3" i="21"/>
  <c r="G19" i="20"/>
  <c r="G18" i="20"/>
  <c r="E18" i="20"/>
  <c r="G17" i="20"/>
  <c r="E17" i="20"/>
  <c r="G16" i="20"/>
  <c r="E16" i="20"/>
  <c r="G15" i="20"/>
  <c r="E15" i="20"/>
  <c r="G14" i="20"/>
  <c r="E14" i="20"/>
  <c r="G13" i="20"/>
  <c r="E13" i="20"/>
  <c r="G12" i="20"/>
  <c r="E12" i="20"/>
  <c r="G11" i="20"/>
  <c r="E11" i="20"/>
  <c r="G10" i="20"/>
  <c r="E10" i="20"/>
  <c r="G9" i="20"/>
  <c r="E9" i="20"/>
  <c r="G8" i="20"/>
  <c r="E8" i="20"/>
  <c r="G7" i="20"/>
  <c r="E7" i="20"/>
  <c r="G6" i="20"/>
  <c r="E6" i="20"/>
  <c r="G5" i="20"/>
  <c r="E5" i="20"/>
  <c r="G4" i="20"/>
  <c r="E4" i="20"/>
  <c r="G3" i="20"/>
  <c r="E3" i="20"/>
  <c r="G18" i="22"/>
  <c r="E18" i="22"/>
  <c r="G17" i="22"/>
  <c r="E17" i="22"/>
  <c r="G16" i="22"/>
  <c r="E16" i="22"/>
  <c r="G15" i="22"/>
  <c r="E15" i="22"/>
  <c r="G14" i="22"/>
  <c r="E14" i="22"/>
  <c r="G13" i="22"/>
  <c r="E13" i="22"/>
  <c r="G12" i="22"/>
  <c r="E12" i="22"/>
  <c r="G11" i="22"/>
  <c r="E11" i="22"/>
  <c r="G10" i="22"/>
  <c r="E10" i="22"/>
  <c r="G9" i="22"/>
  <c r="E9" i="22"/>
  <c r="G8" i="22"/>
  <c r="E8" i="22"/>
  <c r="G7" i="22"/>
  <c r="E7" i="22"/>
  <c r="G6" i="22"/>
  <c r="E6" i="22"/>
  <c r="G5" i="22"/>
  <c r="E5" i="22"/>
  <c r="G4" i="22"/>
  <c r="E4" i="22"/>
  <c r="E3" i="22"/>
  <c r="G3" i="19"/>
  <c r="F6" i="18"/>
  <c r="F7" i="18"/>
  <c r="F8" i="18"/>
  <c r="F9" i="18"/>
  <c r="F12" i="18"/>
  <c r="F13" i="18"/>
  <c r="F14" i="18"/>
  <c r="F15" i="18"/>
  <c r="F18" i="18"/>
  <c r="F4" i="18"/>
  <c r="E4" i="19"/>
  <c r="E5" i="19"/>
  <c r="E6" i="19"/>
  <c r="E7" i="19"/>
  <c r="E8" i="19"/>
  <c r="E9" i="19"/>
  <c r="E10" i="19"/>
  <c r="E11" i="19"/>
  <c r="E12" i="19"/>
  <c r="E13" i="19"/>
  <c r="E14" i="19"/>
  <c r="E15" i="19"/>
  <c r="E16" i="19"/>
  <c r="E17" i="19"/>
  <c r="E18" i="19"/>
  <c r="E19" i="19"/>
  <c r="E3" i="19"/>
  <c r="F5" i="18" l="1"/>
  <c r="C36" i="21"/>
  <c r="E36" i="18"/>
  <c r="D39" i="21"/>
  <c r="G38" i="21"/>
  <c r="G22" i="21"/>
  <c r="F35" i="21"/>
  <c r="E30" i="21"/>
  <c r="E31" i="18"/>
  <c r="E31" i="21"/>
  <c r="E32" i="18"/>
  <c r="I41" i="21"/>
  <c r="E26" i="21"/>
  <c r="E27" i="21"/>
  <c r="F44" i="21"/>
  <c r="I44" i="21" s="1"/>
  <c r="I40" i="21"/>
  <c r="I38" i="21"/>
  <c r="F39" i="21"/>
  <c r="I39" i="21" s="1"/>
  <c r="G31" i="21"/>
  <c r="E39" i="18"/>
  <c r="F39" i="18" s="1"/>
  <c r="C39" i="21"/>
  <c r="E38" i="21"/>
  <c r="E25" i="18"/>
  <c r="E24" i="21"/>
  <c r="E24" i="18"/>
  <c r="E23" i="21"/>
  <c r="E44" i="18"/>
  <c r="E43" i="21"/>
  <c r="E43" i="18"/>
  <c r="E42" i="21"/>
  <c r="G28" i="21"/>
  <c r="D35" i="21"/>
  <c r="E35" i="21" s="1"/>
  <c r="E41" i="18"/>
  <c r="C44" i="21"/>
  <c r="E40" i="21"/>
  <c r="E23" i="18"/>
  <c r="F23" i="18" s="1"/>
  <c r="E22" i="21"/>
  <c r="E28" i="21"/>
  <c r="E29" i="18"/>
  <c r="G40" i="21"/>
  <c r="F35" i="20"/>
  <c r="I28" i="20"/>
  <c r="C43" i="18"/>
  <c r="E42" i="20"/>
  <c r="D35" i="20"/>
  <c r="G28" i="20"/>
  <c r="C44" i="18"/>
  <c r="E43" i="20"/>
  <c r="C40" i="18"/>
  <c r="E39" i="20"/>
  <c r="E31" i="20"/>
  <c r="C32" i="18"/>
  <c r="C35" i="20"/>
  <c r="C29" i="18"/>
  <c r="E28" i="20"/>
  <c r="C24" i="18"/>
  <c r="E23" i="20"/>
  <c r="G26" i="20"/>
  <c r="E26" i="20"/>
  <c r="I41" i="20"/>
  <c r="G44" i="20"/>
  <c r="G41" i="20"/>
  <c r="G23" i="20"/>
  <c r="G43" i="20"/>
  <c r="E24" i="20"/>
  <c r="C25" i="18"/>
  <c r="I40" i="20"/>
  <c r="F44" i="20"/>
  <c r="I44" i="20" s="1"/>
  <c r="E30" i="20"/>
  <c r="C31" i="18"/>
  <c r="C45" i="18"/>
  <c r="E44" i="20"/>
  <c r="C42" i="18"/>
  <c r="F42" i="18" s="1"/>
  <c r="E41" i="20"/>
  <c r="F41" i="18"/>
  <c r="E27" i="20"/>
  <c r="C28" i="18"/>
  <c r="G28" i="22"/>
  <c r="E39" i="22"/>
  <c r="B40" i="18"/>
  <c r="E27" i="22"/>
  <c r="B28" i="18"/>
  <c r="E23" i="22"/>
  <c r="E43" i="22"/>
  <c r="B44" i="18"/>
  <c r="E28" i="22"/>
  <c r="G39" i="22"/>
  <c r="E44" i="22"/>
  <c r="B45" i="18"/>
  <c r="H36" i="19"/>
  <c r="I36" i="19" s="1"/>
  <c r="I35" i="19"/>
  <c r="I43" i="22"/>
  <c r="I26" i="22"/>
  <c r="G43" i="22"/>
  <c r="E35" i="22"/>
  <c r="C36" i="22"/>
  <c r="I35" i="22"/>
  <c r="F36" i="22"/>
  <c r="I36" i="22" s="1"/>
  <c r="F24" i="18" l="1"/>
  <c r="F31" i="18"/>
  <c r="F43" i="18"/>
  <c r="F25" i="18"/>
  <c r="I35" i="21"/>
  <c r="F36" i="21"/>
  <c r="I36" i="21" s="1"/>
  <c r="F32" i="18"/>
  <c r="E40" i="18"/>
  <c r="F40" i="18" s="1"/>
  <c r="E39" i="21"/>
  <c r="F29" i="18"/>
  <c r="G44" i="21"/>
  <c r="G39" i="21"/>
  <c r="D36" i="21"/>
  <c r="G36" i="21" s="1"/>
  <c r="G35" i="21"/>
  <c r="E44" i="21"/>
  <c r="E45" i="18"/>
  <c r="F45" i="18" s="1"/>
  <c r="E37" i="18"/>
  <c r="E36" i="21"/>
  <c r="C36" i="18"/>
  <c r="F36" i="18" s="1"/>
  <c r="E35" i="20"/>
  <c r="C36" i="20"/>
  <c r="D36" i="20"/>
  <c r="G35" i="20"/>
  <c r="F28" i="18"/>
  <c r="F44" i="18"/>
  <c r="F36" i="20"/>
  <c r="I36" i="20" s="1"/>
  <c r="I35" i="20"/>
  <c r="E36" i="22"/>
  <c r="B37" i="18"/>
  <c r="G36" i="22"/>
  <c r="G36" i="20" l="1"/>
  <c r="C37" i="18"/>
  <c r="F37" i="18" s="1"/>
  <c r="E36"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<sst xmlns="http://schemas.openxmlformats.org/spreadsheetml/2006/main" count="1058" uniqueCount="205">
  <si>
    <t>Revenue</t>
  </si>
  <si>
    <t>Revenue Growth</t>
  </si>
  <si>
    <t>Cost of Revenue</t>
  </si>
  <si>
    <t>Gross Profit</t>
  </si>
  <si>
    <t>SG&amp;A Expenses</t>
  </si>
  <si>
    <t>Operating Income</t>
  </si>
  <si>
    <t>Non-operating Income/Expense</t>
  </si>
  <si>
    <t>Non-operating Interest Expenses</t>
  </si>
  <si>
    <t>EBT</t>
  </si>
  <si>
    <t>Income Tax Provision</t>
  </si>
  <si>
    <t>Income after Tax</t>
  </si>
  <si>
    <t>Net Income Common</t>
  </si>
  <si>
    <t>EPS (Basic)</t>
  </si>
  <si>
    <t>EPS (Diluted)</t>
  </si>
  <si>
    <t>Shares (Basic, Weighted)</t>
  </si>
  <si>
    <t>Shares (Diluted, Weighted)</t>
  </si>
  <si>
    <t>Gross Margin</t>
  </si>
  <si>
    <t>EBIT Margin</t>
  </si>
  <si>
    <t>EBT margin</t>
  </si>
  <si>
    <t>Net Profit Margin</t>
  </si>
  <si>
    <t>Free Cash Flow Margin</t>
  </si>
  <si>
    <t>EBITDA</t>
  </si>
  <si>
    <t>EBIT</t>
  </si>
  <si>
    <t>Income from Continuous Operations</t>
  </si>
  <si>
    <t>Consolidated Net Income/Loss</t>
  </si>
  <si>
    <t>EPS (Basic, from Continuous Ops)</t>
  </si>
  <si>
    <t>EPS (Basic, Consolidated)</t>
  </si>
  <si>
    <t>EPS (Diluted, from Cont. Ops)</t>
  </si>
  <si>
    <t>Shares (Diluted, Average)</t>
  </si>
  <si>
    <t>EPS (Diluted, Consolidated)</t>
  </si>
  <si>
    <t>EBITDA Margin</t>
  </si>
  <si>
    <t>Operating Cash Flow Margin</t>
  </si>
  <si>
    <t>Non-Controlling Interest</t>
  </si>
  <si>
    <t>Dividends (Preferred)</t>
  </si>
  <si>
    <t>Interest Expense (Operating)</t>
  </si>
  <si>
    <t>Total Debt</t>
  </si>
  <si>
    <t>Net Debt</t>
  </si>
  <si>
    <t>Shareholders Equity (Tangible)</t>
  </si>
  <si>
    <t>Shares (Common)</t>
  </si>
  <si>
    <t>Shareholders Equity and Liabilities (Total)</t>
  </si>
  <si>
    <t>Shareholders Equity (Total)</t>
  </si>
  <si>
    <t>Common Equity (Total)</t>
  </si>
  <si>
    <t>Treasury Stock</t>
  </si>
  <si>
    <t>Retained Earnings</t>
  </si>
  <si>
    <t>Common Stock (Net)</t>
  </si>
  <si>
    <t>Additional Paid In Capital</t>
  </si>
  <si>
    <t>Total liabilities</t>
  </si>
  <si>
    <t>Total non-current liabilities</t>
  </si>
  <si>
    <t>Non-current Liabilities (Other)</t>
  </si>
  <si>
    <t>Long Term Tax Liability (Deferred)</t>
  </si>
  <si>
    <t>Non-current Revenue (Deferred)</t>
  </si>
  <si>
    <t>Long Term Debt (Total)</t>
  </si>
  <si>
    <t>Total current liabilities</t>
  </si>
  <si>
    <t>Other current liabilities</t>
  </si>
  <si>
    <t>Current Part of Taxes to Pay</t>
  </si>
  <si>
    <t>Current Part of Debt</t>
  </si>
  <si>
    <t>Accrued Expenses</t>
  </si>
  <si>
    <t>Accounts Payable</t>
  </si>
  <si>
    <t>Total Assets</t>
  </si>
  <si>
    <t>Total non-current assets</t>
  </si>
  <si>
    <t>Long-term assets (Other)</t>
  </si>
  <si>
    <t>Goodwill and Intangible Assets (Total)</t>
  </si>
  <si>
    <t>Long-Term Investments</t>
  </si>
  <si>
    <t>Property, Plant, Equpment (Net)</t>
  </si>
  <si>
    <t>Total current assets</t>
  </si>
  <si>
    <t>Other current assets</t>
  </si>
  <si>
    <t>Inventory</t>
  </si>
  <si>
    <t>Cash and Short Term Investments</t>
  </si>
  <si>
    <t>Current Revenue (Deferred)</t>
  </si>
  <si>
    <t>Minority Interests</t>
  </si>
  <si>
    <t>Long Term Assets (Tax, Deferred)</t>
  </si>
  <si>
    <t>DASHBOARD AREA</t>
  </si>
  <si>
    <t>EPS (Diluted, from Disc. Ops)</t>
  </si>
  <si>
    <t>EPS (Basic, from Discontinued Ops)</t>
  </si>
  <si>
    <t>Income from Discontinued Operations</t>
  </si>
  <si>
    <t>R&amp;D Expenses</t>
  </si>
  <si>
    <t>Balance Sheet</t>
  </si>
  <si>
    <t>Income Statement</t>
  </si>
  <si>
    <t>Company Name</t>
  </si>
  <si>
    <t>Industry</t>
  </si>
  <si>
    <t>Average</t>
  </si>
  <si>
    <t>Financial Ratio's</t>
  </si>
  <si>
    <t xml:space="preserve">Liquidity </t>
  </si>
  <si>
    <t>Current Ratio</t>
  </si>
  <si>
    <t>Quick Ratio</t>
  </si>
  <si>
    <t>Net Working Capital</t>
  </si>
  <si>
    <t>Asset Management</t>
  </si>
  <si>
    <t>Accounts Rec. Turnover</t>
  </si>
  <si>
    <t>Inventory Turnover</t>
  </si>
  <si>
    <t>Total Asset Turnover</t>
  </si>
  <si>
    <t>Debt Management</t>
  </si>
  <si>
    <t>Profitability</t>
  </si>
  <si>
    <t>Gross Profit Margin</t>
  </si>
  <si>
    <t>Market Value</t>
  </si>
  <si>
    <t>P/E</t>
  </si>
  <si>
    <t>Book Value Per Share</t>
  </si>
  <si>
    <t>Cash Per Share</t>
  </si>
  <si>
    <t>Revenue Per Share</t>
  </si>
  <si>
    <t>Year ending:</t>
  </si>
  <si>
    <t>Receivables</t>
  </si>
  <si>
    <t>Equity multiplier</t>
  </si>
  <si>
    <t>Return On Assets ROA</t>
  </si>
  <si>
    <t>Return On Equity ROE</t>
  </si>
  <si>
    <t>Price to Book Value</t>
  </si>
  <si>
    <t>MCD</t>
  </si>
  <si>
    <t>CMG</t>
  </si>
  <si>
    <t>SHAK</t>
  </si>
  <si>
    <t>YUM</t>
  </si>
  <si>
    <t>Dec '24</t>
  </si>
  <si>
    <t>Dec '23</t>
  </si>
  <si>
    <t>Dec '22</t>
  </si>
  <si>
    <t>Dec '21</t>
  </si>
  <si>
    <t>—</t>
  </si>
  <si>
    <t>In the Millions</t>
  </si>
  <si>
    <t>YOY % Change 2023 2022</t>
  </si>
  <si>
    <t>© 2016–2025 stockrow.comTerms and Conditions</t>
  </si>
  <si>
    <t>YOY % Change 2022 2021</t>
  </si>
  <si>
    <t>YOY % Change
2024 2023</t>
  </si>
  <si>
    <t>*Numbers in Millions</t>
  </si>
  <si>
    <t>Market Capitalization (Stock Price * Shares)</t>
  </si>
  <si>
    <t>Stock Price</t>
  </si>
  <si>
    <t>Debt to Equity Ratio</t>
  </si>
  <si>
    <t>Industry Analysis 2024</t>
  </si>
  <si>
    <t>Property, Plant, Equipment (Net)</t>
  </si>
  <si>
    <t>Chipotle</t>
  </si>
  <si>
    <t>Shake Shack</t>
  </si>
  <si>
    <t>McDonalds</t>
  </si>
  <si>
    <t>Yum</t>
  </si>
  <si>
    <t>Net Income</t>
  </si>
  <si>
    <t>EPS</t>
  </si>
  <si>
    <t>All</t>
  </si>
  <si>
    <t>Sales</t>
  </si>
  <si>
    <t>YOY % Change
2023 2022</t>
  </si>
  <si>
    <t>YOY % Change
2022 2021</t>
  </si>
  <si>
    <t xml:space="preserve">Revenue distribution </t>
  </si>
  <si>
    <t xml:space="preserve">Company </t>
  </si>
  <si>
    <t>7,547.06M</t>
  </si>
  <si>
    <t>8,634.65M</t>
  </si>
  <si>
    <t>9871.65M</t>
  </si>
  <si>
    <t>11,313.85M</t>
  </si>
  <si>
    <t>739.89M</t>
  </si>
  <si>
    <t>900.49M</t>
  </si>
  <si>
    <t>1,087.53M</t>
  </si>
  <si>
    <t>1,252.61M</t>
  </si>
  <si>
    <t>23,222.9M</t>
  </si>
  <si>
    <t>23,183M</t>
  </si>
  <si>
    <t>25,494M</t>
  </si>
  <si>
    <t>25,920M</t>
  </si>
  <si>
    <t>6,584 M</t>
  </si>
  <si>
    <t>6,842M</t>
  </si>
  <si>
    <t>7,076M</t>
  </si>
  <si>
    <t>7,509M</t>
  </si>
  <si>
    <t>Gross Profit = Revenue-Cost of Revenue</t>
  </si>
  <si>
    <t>Company</t>
  </si>
  <si>
    <t xml:space="preserve">2024 Revenue </t>
  </si>
  <si>
    <t xml:space="preserve">2024 Cost of revenue </t>
  </si>
  <si>
    <t xml:space="preserve">2024 gross Profit in million </t>
  </si>
  <si>
    <t>EPS (Earnings Per share)</t>
  </si>
  <si>
    <t>P/E Ration (Price to Earnings)</t>
  </si>
  <si>
    <t>Total sales in million USD</t>
  </si>
  <si>
    <t>Tree map (Total sales for 2024)</t>
  </si>
  <si>
    <t>2024 total sales</t>
  </si>
  <si>
    <t xml:space="preserve">                                              $11.3B</t>
  </si>
  <si>
    <t xml:space="preserve">                                              $1.25B</t>
  </si>
  <si>
    <t xml:space="preserve">                                              $25.9B</t>
  </si>
  <si>
    <t xml:space="preserve">                                              $7.5B</t>
  </si>
  <si>
    <t>Sales and Gross Profit combo</t>
  </si>
  <si>
    <t>Sales (2024) in Millions USD</t>
  </si>
  <si>
    <t>Gross Profit (2024) in Millions USD</t>
  </si>
  <si>
    <t>STOCK PRICE AS OF DECEMBER 31ST 2024</t>
  </si>
  <si>
    <t>stock price (USD)</t>
  </si>
  <si>
    <t>YOY Trend Calculations</t>
  </si>
  <si>
    <t xml:space="preserve">From Revenues, EPS, and profit figures, year over year (YOY) trends were derived using </t>
  </si>
  <si>
    <t>YOY Growth= Current year value -Previos year value /previous year value x100%</t>
  </si>
  <si>
    <r>
      <rPr>
        <b/>
        <sz val="11"/>
        <color rgb="FF000000"/>
        <rFont val="Calibri"/>
        <family val="2"/>
      </rPr>
      <t>P/E YOY Trend</t>
    </r>
  </si>
  <si>
    <r>
      <rPr>
        <b/>
        <sz val="11"/>
        <rFont val="Calibri"/>
        <family val="2"/>
      </rPr>
      <t>Year</t>
    </r>
  </si>
  <si>
    <r>
      <rPr>
        <b/>
        <sz val="11"/>
        <rFont val="Calibri"/>
        <family val="2"/>
      </rPr>
      <t>CMG</t>
    </r>
  </si>
  <si>
    <r>
      <rPr>
        <b/>
        <sz val="11"/>
        <rFont val="Calibri"/>
        <family val="2"/>
      </rPr>
      <t>SHAK</t>
    </r>
  </si>
  <si>
    <r>
      <rPr>
        <b/>
        <sz val="11"/>
        <rFont val="Calibri"/>
        <family val="2"/>
      </rPr>
      <t>MCD</t>
    </r>
  </si>
  <si>
    <r>
      <rPr>
        <b/>
        <sz val="11"/>
        <rFont val="Calibri"/>
        <family val="2"/>
      </rPr>
      <t>YUM</t>
    </r>
  </si>
  <si>
    <r>
      <rPr>
        <b/>
        <sz val="11"/>
        <color rgb="FF000000"/>
        <rFont val="Calibri"/>
        <family val="2"/>
      </rPr>
      <t>EPS YOY Trend</t>
    </r>
  </si>
  <si>
    <r>
      <rPr>
        <b/>
        <sz val="11"/>
        <color rgb="FF000000"/>
        <rFont val="Calibri"/>
        <family val="2"/>
      </rPr>
      <t>Profits YOY Trend</t>
    </r>
  </si>
  <si>
    <r>
      <rPr>
        <b/>
        <sz val="11"/>
        <color rgb="FF000000"/>
        <rFont val="Calibri"/>
        <family val="2"/>
      </rPr>
      <t>Sales YOY Trend</t>
    </r>
  </si>
  <si>
    <r>
      <rPr>
        <b/>
        <sz val="11"/>
        <color rgb="FF000000"/>
        <rFont val="Calibri"/>
        <family val="2"/>
      </rPr>
      <t>Sales &amp;Gross Profit Comparison</t>
    </r>
  </si>
  <si>
    <r>
      <rPr>
        <b/>
        <sz val="11"/>
        <rFont val="Calibri"/>
        <family val="2"/>
      </rPr>
      <t>CMG Revenue</t>
    </r>
  </si>
  <si>
    <r>
      <rPr>
        <b/>
        <sz val="11"/>
        <rFont val="Calibri"/>
        <family val="2"/>
      </rPr>
      <t>SHAK Revenue</t>
    </r>
  </si>
  <si>
    <r>
      <rPr>
        <b/>
        <sz val="11"/>
        <rFont val="Calibri"/>
        <family val="2"/>
      </rPr>
      <t>MCD Revenue</t>
    </r>
  </si>
  <si>
    <r>
      <rPr>
        <b/>
        <sz val="11"/>
        <rFont val="Calibri"/>
        <family val="2"/>
      </rPr>
      <t>YUM Revenue</t>
    </r>
  </si>
  <si>
    <r>
      <rPr>
        <b/>
        <sz val="11"/>
        <rFont val="Calibri"/>
        <family val="2"/>
      </rPr>
      <t>CMG Profit</t>
    </r>
  </si>
  <si>
    <r>
      <rPr>
        <b/>
        <sz val="11"/>
        <rFont val="Calibri"/>
        <family val="2"/>
      </rPr>
      <t>SHAK Profit</t>
    </r>
  </si>
  <si>
    <r>
      <rPr>
        <b/>
        <sz val="11"/>
        <rFont val="Calibri"/>
        <family val="2"/>
      </rPr>
      <t>MCD Profit</t>
    </r>
  </si>
  <si>
    <r>
      <rPr>
        <b/>
        <sz val="11"/>
        <rFont val="Calibri"/>
        <family val="2"/>
      </rPr>
      <t>YUM Profit</t>
    </r>
  </si>
  <si>
    <t>P/E Ratio</t>
  </si>
  <si>
    <t>EPS 2021</t>
  </si>
  <si>
    <t>EPS 2022</t>
  </si>
  <si>
    <t>EPS 2023</t>
  </si>
  <si>
    <t>EPS 2024</t>
  </si>
  <si>
    <t>CMG PE</t>
  </si>
  <si>
    <t>SHAK PE</t>
  </si>
  <si>
    <t>MCD P/E</t>
  </si>
  <si>
    <t>YUM P/E</t>
  </si>
  <si>
    <t>CMG Sales</t>
  </si>
  <si>
    <t>SHAK Sales</t>
  </si>
  <si>
    <t>MCD Sales</t>
  </si>
  <si>
    <t>YUM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</si>
</sst>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quot;$&quot;#,##0.00"/>
    <numFmt numFmtId="165" formatCode="&quot;$&quot;#,##0.0_);\(&quot;$&quot;#,##0.0\)"/>
    <numFmt numFmtId="166" formatCode="&quot;$&quot;#,##0"/>
    <numFmt numFmtId="167" formatCode="0.0%"/>
    <numFmt numFmtId="168" formatCode="_-* #,##0.00_-;\-* #,##0.00_-;_-* &quot;-&quot;??_-;_-@_-"/>
  </numFmts>
  <fonts count="38">
    <font>
      <sz val="11"/>
      <name val="Arial"/>
      <family val="1"/>
    </font>
    <font>
      <sz val="11"/>
      <color theme="1"/>
      <name val="Gill Sans MT"/>
      <family val="2"/>
      <scheme val="minor"/>
    </font>
    <font>
      <sz val="11"/>
      <color theme="1"/>
      <name val="Gill Sans MT"/>
      <family val="2"/>
      <scheme val="minor"/>
    </font>
    <font>
      <sz val="11"/>
      <color theme="2" tint="-9.9978637043366805E-2"/>
      <name val="Arial"/>
      <family val="1"/>
    </font>
    <font>
      <sz val="11"/>
      <color theme="1"/>
      <name val="Arial"/>
      <family val="2"/>
    </font>
    <font>
      <sz val="28"/>
      <color theme="1"/>
      <name val="Gill Sans MT"/>
      <family val="2"/>
      <scheme val="minor"/>
    </font>
    <font>
      <sz val="10"/>
      <color rgb="FF000000"/>
      <name val="Arial"/>
      <family val="2"/>
    </font>
    <font>
      <b/>
      <sz val="11"/>
      <color theme="1"/>
      <name val="Arial"/>
      <family val="2"/>
    </font>
    <font>
      <b/>
      <sz val="10"/>
      <color theme="1"/>
      <name val="Arial"/>
      <family val="2"/>
    </font>
    <font>
      <b/>
      <sz val="10"/>
      <color theme="1"/>
      <name val="Calibri"/>
      <family val="2"/>
    </font>
    <font>
      <sz val="10"/>
      <color theme="1"/>
      <name val="Arial"/>
      <family val="2"/>
    </font>
    <font>
      <sz val="10"/>
      <color theme="1"/>
      <name val="Calibri"/>
      <family val="2"/>
    </font>
    <font>
      <sz val="11"/>
      <name val="Arial"/>
      <family val="2"/>
    </font>
    <font>
      <sz val="14"/>
      <color rgb="FF000000"/>
      <name val="Gill Sans"/>
    </font>
    <font>
      <sz val="14"/>
      <color rgb="FF000000"/>
      <name val="ET Book"/>
    </font>
    <font>
      <b/>
      <sz val="8"/>
      <color theme="1"/>
      <name val="Arial"/>
      <family val="2"/>
    </font>
    <font>
      <b/>
      <sz val="8"/>
      <name val="Arial"/>
      <family val="2"/>
    </font>
    <font>
      <sz val="8"/>
      <name val="Arial"/>
      <family val="1"/>
    </font>
    <font>
      <sz val="11"/>
      <name val="Gill Sans"/>
    </font>
    <font>
      <sz val="11"/>
      <name val="ET Book"/>
    </font>
    <font>
      <u/>
      <sz val="11"/>
      <color theme="10"/>
      <name val="Arial"/>
      <family val="1"/>
    </font>
    <font>
      <b/>
      <sz val="18"/>
      <color rgb="FF000000"/>
      <name val="Arial"/>
      <family val="2"/>
    </font>
    <font>
      <b/>
      <sz val="14"/>
      <name val="Arial"/>
      <family val="1"/>
    </font>
    <font>
      <b/>
      <sz val="14"/>
      <color rgb="FF000000"/>
      <name val="Gill Sans"/>
    </font>
    <font>
      <b/>
      <sz val="11"/>
      <name val="Arial"/>
      <family val="1"/>
    </font>
    <font>
      <b/>
      <sz val="11"/>
      <color theme="1"/>
      <name val="Times New Roman"/>
      <family val="1"/>
    </font>
    <font>
      <sz val="11"/>
      <color theme="1"/>
      <name val="Times New Roman"/>
      <family val="1"/>
    </font>
    <font>
      <sz val="11"/>
      <name val="Times New Roman"/>
      <family val="1"/>
    </font>
    <font>
      <sz val="10"/>
      <color rgb="FF000000"/>
      <name val="Times New Roman"/>
      <family val="1"/>
    </font>
    <font>
      <sz val="11"/>
      <name val="Arial"/>
      <family val="1"/>
    </font>
    <font>
      <sz val="12"/>
      <color rgb="FF000000"/>
      <name val="ET Book"/>
    </font>
    <font>
      <sz val="12"/>
      <color rgb="FF000000"/>
      <name val="Gill Sans"/>
    </font>
    <font>
      <sz val="12"/>
      <name val="Arial"/>
      <family val="1"/>
    </font>
    <font>
      <b/>
      <sz val="12"/>
      <color rgb="FF000000"/>
      <name val="ET Book"/>
    </font>
    <font>
      <b/>
      <sz val="11"/>
      <name val="Arial"/>
      <family val="2"/>
    </font>
    <font>
      <b/>
      <sz val="11"/>
      <color rgb="FF000000"/>
      <name val="Calibri"/>
      <family val="2"/>
    </font>
    <font>
      <b/>
      <sz val="11"/>
      <name val="Calibri"/>
      <family val="2"/>
    </font>
    <font>
      <sz val="11"/>
      <name val="Calibri"/>
      <family val="2"/>
    </font>
  </fonts>
  <fills count="34">
    <fill>
      <patternFill patternType="none"/>
    </fill>
    <fill>
      <patternFill patternType="gray125"/>
    </fill>
    <fill>
      <patternFill patternType="solid">
        <fgColor theme="2" tint="-9.9978637043366805E-2"/>
        <bgColor indexed="64"/>
      </patternFill>
    </fill>
    <fill>
      <patternFill patternType="solid">
        <fgColor theme="8" tint="-0.249977111117893"/>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EFEFEF"/>
        <bgColor rgb="FFEFEFEF"/>
      </patternFill>
    </fill>
    <fill>
      <patternFill patternType="solid">
        <fgColor theme="9" tint="0.59999389629810485"/>
        <bgColor indexed="64"/>
      </patternFill>
    </fill>
    <fill>
      <patternFill patternType="solid">
        <fgColor rgb="FFFFFFFF"/>
        <bgColor indexed="64"/>
      </patternFill>
    </fill>
    <fill>
      <patternFill patternType="solid">
        <fgColor theme="5"/>
        <bgColor indexed="64"/>
      </patternFill>
    </fill>
    <fill>
      <patternFill patternType="solid">
        <fgColor theme="9" tint="0.79998168889431442"/>
        <bgColor rgb="FF00FF00"/>
      </patternFill>
    </fill>
    <fill>
      <patternFill patternType="solid">
        <fgColor theme="9" tint="0.79998168889431442"/>
        <bgColor rgb="FFFFFF00"/>
      </patternFill>
    </fill>
    <fill>
      <patternFill patternType="solid">
        <fgColor theme="9" tint="0.79998168889431442"/>
        <bgColor rgb="FFFFE599"/>
      </patternFill>
    </fill>
    <fill>
      <patternFill patternType="solid">
        <fgColor theme="9" tint="0.79998168889431442"/>
        <bgColor rgb="FFEFEFEF"/>
      </patternFill>
    </fill>
    <fill>
      <patternFill patternType="solid">
        <fgColor theme="9" tint="0.79998168889431442"/>
        <bgColor indexed="64"/>
      </patternFill>
    </fill>
    <fill>
      <patternFill patternType="solid">
        <fgColor theme="5" tint="0.59999389629810485"/>
        <bgColor rgb="FFFFFF00"/>
      </patternFill>
    </fill>
    <fill>
      <patternFill patternType="solid">
        <fgColor theme="5" tint="0.39997558519241921"/>
        <bgColor rgb="FFEFEFEF"/>
      </patternFill>
    </fill>
    <fill>
      <patternFill patternType="solid">
        <fgColor theme="8" tint="0.59999389629810485"/>
        <bgColor indexed="64"/>
      </patternFill>
    </fill>
    <fill>
      <patternFill patternType="solid">
        <fgColor theme="7"/>
        <bgColor indexed="64"/>
      </patternFill>
    </fill>
    <fill>
      <patternFill patternType="solid">
        <fgColor theme="5"/>
        <bgColor rgb="FF00FF00"/>
      </patternFill>
    </fill>
    <fill>
      <patternFill patternType="solid">
        <fgColor theme="4" tint="0.59999389629810485"/>
        <bgColor indexed="64"/>
      </patternFill>
    </fill>
    <fill>
      <patternFill patternType="solid">
        <fgColor theme="4" tint="0.59999389629810485"/>
        <bgColor rgb="FFFFFF00"/>
      </patternFill>
    </fill>
    <fill>
      <patternFill patternType="solid">
        <fgColor theme="4" tint="0.59999389629810485"/>
        <bgColor rgb="FFEFEFEF"/>
      </patternFill>
    </fill>
    <fill>
      <patternFill patternType="solid">
        <fgColor theme="4" tint="0.59999389629810485"/>
        <bgColor rgb="FFFFE599"/>
      </patternFill>
    </fill>
    <fill>
      <patternFill patternType="solid">
        <fgColor theme="4" tint="0.59999389629810485"/>
        <bgColor rgb="FF00FF00"/>
      </patternFill>
    </fill>
    <fill>
      <patternFill patternType="solid">
        <fgColor theme="5"/>
        <bgColor rgb="FFFFFF00"/>
      </patternFill>
    </fill>
    <fill>
      <patternFill patternType="solid">
        <fgColor theme="5"/>
        <bgColor rgb="FFEFEFEF"/>
      </patternFill>
    </fill>
    <fill>
      <patternFill patternType="solid">
        <fgColor theme="5"/>
        <bgColor rgb="FFFFE599"/>
      </patternFill>
    </fill>
    <fill>
      <patternFill patternType="solid">
        <fgColor rgb="FFFFFF99"/>
        <bgColor rgb="FFFFFF00"/>
      </patternFill>
    </fill>
    <fill>
      <patternFill patternType="solid">
        <fgColor rgb="FFFFFF99"/>
        <bgColor rgb="FFEFEFEF"/>
      </patternFill>
    </fill>
    <fill>
      <patternFill patternType="solid">
        <fgColor rgb="FFFFFF99"/>
        <bgColor rgb="FFFFE599"/>
      </patternFill>
    </fill>
    <fill>
      <patternFill patternType="solid">
        <fgColor rgb="FFFFFF99"/>
        <bgColor indexed="64"/>
      </patternFill>
    </fill>
    <fill>
      <patternFill patternType="solid">
        <fgColor rgb="FFFFFF99"/>
        <bgColor rgb="FF00FF00"/>
      </patternFill>
    </fill>
    <fill>
      <patternFill patternType="solid">
        <fgColor rgb="FFF2F2F2"/>
        <bgColor rgb="FFF2F2F2"/>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style="medium">
        <color rgb="FF000000"/>
      </bottom>
      <diagonal/>
    </border>
    <border>
      <left/>
      <right style="medium">
        <color rgb="FF000000"/>
      </right>
      <top style="medium">
        <color indexed="64"/>
      </top>
      <bottom style="medium">
        <color rgb="FF000000"/>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style="medium">
        <color indexed="64"/>
      </left>
      <right/>
      <top style="medium">
        <color rgb="FF000000"/>
      </top>
      <bottom style="medium">
        <color indexed="64"/>
      </bottom>
      <diagonal/>
    </border>
    <border>
      <left style="thin">
        <color indexed="64"/>
      </left>
      <right style="thin">
        <color indexed="64"/>
      </right>
      <top style="thin">
        <color indexed="64"/>
      </top>
      <bottom/>
      <diagonal/>
    </border>
    <border>
      <left/>
      <right style="medium">
        <color rgb="FF000000"/>
      </right>
      <top style="medium">
        <color rgb="FF000000"/>
      </top>
      <bottom style="medium">
        <color indexed="64"/>
      </bottom>
      <diagonal/>
    </border>
    <border>
      <left style="thin">
        <color rgb="FF000000"/>
      </left>
      <right style="thin">
        <color rgb="FF000000"/>
      </right>
      <top/>
      <bottom/>
      <diagonal/>
    </border>
    <border>
      <left/>
      <right style="thin">
        <color rgb="FF000000"/>
      </right>
      <top/>
      <bottom style="medium">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style="medium">
        <color indexed="64"/>
      </left>
      <right style="medium">
        <color indexed="64"/>
      </right>
      <top/>
      <bottom style="thin">
        <color indexed="64"/>
      </bottom>
      <diagonal/>
    </border>
    <border>
      <left/>
      <right style="medium">
        <color rgb="FF000000"/>
      </right>
      <top style="medium">
        <color rgb="FF000000"/>
      </top>
      <bottom/>
      <diagonal/>
    </border>
    <border>
      <left style="medium">
        <color indexed="64"/>
      </left>
      <right/>
      <top style="thin">
        <color indexed="64"/>
      </top>
      <bottom/>
      <diagonal/>
    </border>
  </borders>
  <cellStyleXfs count="6">
    <xf numFmtId="0" fontId="0" fillId="0" borderId="0"/>
    <xf numFmtId="0" fontId="2" fillId="0" borderId="0"/>
    <xf numFmtId="0" fontId="6" fillId="0" borderId="0"/>
    <xf numFmtId="168" fontId="6" fillId="0" borderId="0" applyFont="0" applyFill="0" applyBorder="0" applyAlignment="0" applyProtection="0"/>
    <xf numFmtId="0" fontId="20" fillId="0" borderId="0" applyNumberFormat="0" applyFill="0" applyBorder="0" applyAlignment="0" applyProtection="0"/>
    <xf numFmtId="9" fontId="29" fillId="0" borderId="0" applyFont="0" applyFill="0" applyBorder="0" applyAlignment="0" applyProtection="0"/>
  </cellStyleXfs>
  <cellXfs count="269">
    <xf numFmtId="0" fontId="0" fillId="0" borderId="0" xfId="0"/>
    <xf numFmtId="0" fontId="3" fillId="2" borderId="0" xfId="0" applyFont="1" applyFill="1"/>
    <xf numFmtId="0" fontId="0" fillId="3" borderId="0" xfId="0" applyFill="1"/>
    <xf numFmtId="0" fontId="2" fillId="4" borderId="0" xfId="1" applyFill="1"/>
    <xf numFmtId="0" fontId="5" fillId="5" borderId="1" xfId="1" applyFont="1" applyFill="1" applyBorder="1"/>
    <xf numFmtId="0" fontId="2" fillId="5" borderId="2" xfId="1" applyFill="1" applyBorder="1"/>
    <xf numFmtId="0" fontId="2" fillId="5" borderId="3" xfId="1" applyFill="1" applyBorder="1"/>
    <xf numFmtId="0" fontId="2" fillId="5" borderId="4" xfId="1" applyFill="1" applyBorder="1"/>
    <xf numFmtId="0" fontId="2" fillId="5" borderId="0" xfId="1" applyFill="1"/>
    <xf numFmtId="0" fontId="2" fillId="5" borderId="5" xfId="1" applyFill="1" applyBorder="1"/>
    <xf numFmtId="0" fontId="2" fillId="5" borderId="6" xfId="1" applyFill="1" applyBorder="1"/>
    <xf numFmtId="0" fontId="2" fillId="5" borderId="7" xfId="1" applyFill="1" applyBorder="1"/>
    <xf numFmtId="0" fontId="2" fillId="5" borderId="8" xfId="1" applyFill="1" applyBorder="1"/>
    <xf numFmtId="0" fontId="9" fillId="0" borderId="0" xfId="2" applyFont="1"/>
    <xf numFmtId="0" fontId="6" fillId="0" borderId="0" xfId="2"/>
    <xf numFmtId="164" fontId="10" fillId="0" borderId="9" xfId="2" applyNumberFormat="1" applyFont="1" applyBorder="1"/>
    <xf numFmtId="165" fontId="10" fillId="0" borderId="0" xfId="2" applyNumberFormat="1" applyFont="1"/>
    <xf numFmtId="166" fontId="10" fillId="7" borderId="9" xfId="2" applyNumberFormat="1" applyFont="1" applyFill="1" applyBorder="1"/>
    <xf numFmtId="0" fontId="10" fillId="0" borderId="0" xfId="2" applyFont="1"/>
    <xf numFmtId="0" fontId="10" fillId="6" borderId="13" xfId="2" applyFont="1" applyFill="1" applyBorder="1"/>
    <xf numFmtId="2" fontId="10" fillId="0" borderId="9" xfId="2" applyNumberFormat="1" applyFont="1" applyBorder="1"/>
    <xf numFmtId="2" fontId="10" fillId="6" borderId="13" xfId="2" applyNumberFormat="1" applyFont="1" applyFill="1" applyBorder="1"/>
    <xf numFmtId="9" fontId="10" fillId="6" borderId="13" xfId="2" applyNumberFormat="1" applyFont="1" applyFill="1" applyBorder="1"/>
    <xf numFmtId="0" fontId="10" fillId="6" borderId="16" xfId="2" applyFont="1" applyFill="1" applyBorder="1"/>
    <xf numFmtId="0" fontId="11" fillId="0" borderId="0" xfId="2" applyFont="1"/>
    <xf numFmtId="164" fontId="11" fillId="0" borderId="17" xfId="2" applyNumberFormat="1" applyFont="1" applyBorder="1"/>
    <xf numFmtId="10" fontId="10" fillId="0" borderId="17" xfId="2" applyNumberFormat="1" applyFont="1" applyBorder="1" applyAlignment="1">
      <alignment horizontal="center"/>
    </xf>
    <xf numFmtId="165" fontId="11" fillId="0" borderId="0" xfId="2" applyNumberFormat="1" applyFont="1"/>
    <xf numFmtId="2" fontId="10" fillId="0" borderId="17" xfId="2" applyNumberFormat="1" applyFont="1" applyBorder="1" applyAlignment="1">
      <alignment horizontal="center"/>
    </xf>
    <xf numFmtId="167" fontId="11" fillId="0" borderId="0" xfId="2" applyNumberFormat="1" applyFont="1"/>
    <xf numFmtId="10" fontId="10" fillId="0" borderId="20" xfId="2" applyNumberFormat="1" applyFont="1" applyBorder="1" applyAlignment="1">
      <alignment horizontal="center"/>
    </xf>
    <xf numFmtId="0" fontId="7" fillId="6" borderId="22" xfId="2" applyFont="1" applyFill="1" applyBorder="1"/>
    <xf numFmtId="2" fontId="11" fillId="6" borderId="23" xfId="2" applyNumberFormat="1" applyFont="1" applyFill="1" applyBorder="1"/>
    <xf numFmtId="0" fontId="4" fillId="0" borderId="25" xfId="2" applyFont="1" applyBorder="1"/>
    <xf numFmtId="0" fontId="4" fillId="0" borderId="26" xfId="2" applyFont="1" applyBorder="1"/>
    <xf numFmtId="9" fontId="10" fillId="0" borderId="21" xfId="2" applyNumberFormat="1" applyFont="1" applyBorder="1" applyAlignment="1">
      <alignment horizontal="center"/>
    </xf>
    <xf numFmtId="10" fontId="10" fillId="0" borderId="21" xfId="2" applyNumberFormat="1" applyFont="1" applyBorder="1" applyAlignment="1">
      <alignment horizontal="center"/>
    </xf>
    <xf numFmtId="164" fontId="10" fillId="0" borderId="21" xfId="2" applyNumberFormat="1" applyFont="1" applyBorder="1" applyAlignment="1">
      <alignment horizontal="center"/>
    </xf>
    <xf numFmtId="2" fontId="10" fillId="0" borderId="21" xfId="2" applyNumberFormat="1" applyFont="1" applyBorder="1" applyAlignment="1">
      <alignment horizontal="center"/>
    </xf>
    <xf numFmtId="0" fontId="4" fillId="0" borderId="27" xfId="2" applyFont="1" applyBorder="1"/>
    <xf numFmtId="0" fontId="0" fillId="8" borderId="0" xfId="0" applyFill="1"/>
    <xf numFmtId="0" fontId="13" fillId="8" borderId="0" xfId="0" applyFont="1" applyFill="1" applyAlignment="1">
      <alignment horizontal="right" vertical="center" wrapText="1"/>
    </xf>
    <xf numFmtId="0" fontId="14" fillId="8" borderId="0" xfId="0" applyFont="1" applyFill="1" applyAlignment="1">
      <alignment vertical="center" wrapText="1"/>
    </xf>
    <xf numFmtId="4" fontId="13" fillId="8" borderId="0" xfId="0" applyNumberFormat="1" applyFont="1" applyFill="1" applyAlignment="1">
      <alignment horizontal="right" vertical="center" wrapText="1"/>
    </xf>
    <xf numFmtId="0" fontId="14" fillId="8" borderId="0" xfId="0" applyFont="1" applyFill="1" applyAlignment="1">
      <alignment horizontal="right" vertical="center" wrapText="1"/>
    </xf>
    <xf numFmtId="10" fontId="13" fillId="8" borderId="0" xfId="0" applyNumberFormat="1" applyFont="1" applyFill="1" applyAlignment="1">
      <alignment horizontal="right" vertical="center" wrapText="1"/>
    </xf>
    <xf numFmtId="0" fontId="18" fillId="0" borderId="0" xfId="0" applyFont="1" applyAlignment="1">
      <alignment horizontal="right" vertical="center" wrapText="1"/>
    </xf>
    <xf numFmtId="0" fontId="19" fillId="0" borderId="0" xfId="0" applyFont="1" applyAlignment="1">
      <alignment vertical="center" wrapText="1"/>
    </xf>
    <xf numFmtId="4" fontId="18" fillId="0" borderId="0" xfId="0" applyNumberFormat="1" applyFont="1" applyAlignment="1">
      <alignment horizontal="right" vertical="center" wrapText="1"/>
    </xf>
    <xf numFmtId="0" fontId="20" fillId="0" borderId="0" xfId="4" applyAlignment="1">
      <alignment horizontal="center" vertical="center" wrapText="1"/>
    </xf>
    <xf numFmtId="0" fontId="11" fillId="10" borderId="35" xfId="2" applyFont="1" applyFill="1" applyBorder="1"/>
    <xf numFmtId="0" fontId="10" fillId="11" borderId="31" xfId="2" applyFont="1" applyFill="1" applyBorder="1" applyAlignment="1">
      <alignment horizontal="center"/>
    </xf>
    <xf numFmtId="0" fontId="7" fillId="13" borderId="36" xfId="2" applyFont="1" applyFill="1" applyBorder="1"/>
    <xf numFmtId="0" fontId="11" fillId="13" borderId="7" xfId="2" applyFont="1" applyFill="1" applyBorder="1"/>
    <xf numFmtId="0" fontId="10" fillId="13" borderId="33" xfId="2" applyFont="1" applyFill="1" applyBorder="1" applyAlignment="1">
      <alignment horizontal="center"/>
    </xf>
    <xf numFmtId="0" fontId="10" fillId="11" borderId="28" xfId="2" applyFont="1" applyFill="1" applyBorder="1" applyAlignment="1">
      <alignment horizontal="center"/>
    </xf>
    <xf numFmtId="0" fontId="0" fillId="14" borderId="0" xfId="0" applyFill="1"/>
    <xf numFmtId="0" fontId="0" fillId="14" borderId="0" xfId="0" applyFill="1" applyAlignment="1">
      <alignment horizontal="right" vertical="center" wrapText="1"/>
    </xf>
    <xf numFmtId="0" fontId="13" fillId="14" borderId="0" xfId="0" applyFont="1" applyFill="1" applyAlignment="1">
      <alignment horizontal="center" vertical="center" wrapText="1"/>
    </xf>
    <xf numFmtId="0" fontId="22" fillId="0" borderId="0" xfId="0" applyFont="1"/>
    <xf numFmtId="0" fontId="11" fillId="13" borderId="31" xfId="2" applyFont="1" applyFill="1" applyBorder="1"/>
    <xf numFmtId="0" fontId="24" fillId="17" borderId="0" xfId="0" applyFont="1" applyFill="1"/>
    <xf numFmtId="0" fontId="24" fillId="17" borderId="0" xfId="0" applyFont="1" applyFill="1" applyAlignment="1">
      <alignment horizontal="right" vertical="center" wrapText="1"/>
    </xf>
    <xf numFmtId="0" fontId="23" fillId="17" borderId="0" xfId="0" applyFont="1" applyFill="1" applyAlignment="1">
      <alignment horizontal="center" vertical="center" wrapText="1"/>
    </xf>
    <xf numFmtId="0" fontId="26" fillId="0" borderId="21" xfId="2" applyFont="1" applyBorder="1"/>
    <xf numFmtId="0" fontId="27" fillId="0" borderId="21" xfId="0" applyFont="1" applyBorder="1"/>
    <xf numFmtId="0" fontId="27" fillId="0" borderId="0" xfId="0" applyFont="1"/>
    <xf numFmtId="0" fontId="25" fillId="6" borderId="12" xfId="2" applyFont="1" applyFill="1" applyBorder="1"/>
    <xf numFmtId="0" fontId="26" fillId="0" borderId="9" xfId="2" applyFont="1" applyBorder="1"/>
    <xf numFmtId="0" fontId="26" fillId="0" borderId="10" xfId="2" applyFont="1" applyBorder="1"/>
    <xf numFmtId="0" fontId="26" fillId="0" borderId="15" xfId="2" applyFont="1" applyBorder="1"/>
    <xf numFmtId="0" fontId="26" fillId="0" borderId="11" xfId="2" applyFont="1" applyBorder="1"/>
    <xf numFmtId="0" fontId="26" fillId="0" borderId="0" xfId="2" applyFont="1"/>
    <xf numFmtId="0" fontId="28" fillId="0" borderId="0" xfId="2" applyFont="1"/>
    <xf numFmtId="164" fontId="11" fillId="0" borderId="17" xfId="2" applyNumberFormat="1" applyFont="1" applyBorder="1" applyAlignment="1">
      <alignment horizontal="right"/>
    </xf>
    <xf numFmtId="0" fontId="6" fillId="8" borderId="0" xfId="0" applyFont="1" applyFill="1" applyAlignment="1">
      <alignment vertical="center" wrapText="1"/>
    </xf>
    <xf numFmtId="2" fontId="10" fillId="7" borderId="14" xfId="2" applyNumberFormat="1" applyFont="1" applyFill="1" applyBorder="1"/>
    <xf numFmtId="0" fontId="30" fillId="8" borderId="0" xfId="0" applyFont="1" applyFill="1" applyAlignment="1">
      <alignment vertical="center" wrapText="1"/>
    </xf>
    <xf numFmtId="4" fontId="31" fillId="8" borderId="0" xfId="0" applyNumberFormat="1" applyFont="1" applyFill="1" applyAlignment="1">
      <alignment horizontal="right" vertical="center" wrapText="1"/>
    </xf>
    <xf numFmtId="0" fontId="32" fillId="0" borderId="0" xfId="0" applyFont="1"/>
    <xf numFmtId="0" fontId="33" fillId="8" borderId="0" xfId="0" applyFont="1" applyFill="1" applyAlignment="1">
      <alignment vertical="center" wrapText="1"/>
    </xf>
    <xf numFmtId="0" fontId="31" fillId="8" borderId="0" xfId="0" applyFont="1" applyFill="1" applyAlignment="1">
      <alignment horizontal="right" vertical="center" wrapText="1"/>
    </xf>
    <xf numFmtId="10" fontId="31" fillId="8" borderId="0" xfId="0" applyNumberFormat="1" applyFont="1" applyFill="1" applyAlignment="1">
      <alignment horizontal="right" vertical="center" wrapText="1"/>
    </xf>
    <xf numFmtId="164" fontId="10" fillId="0" borderId="20" xfId="2" applyNumberFormat="1" applyFont="1" applyBorder="1" applyAlignment="1">
      <alignment horizontal="center"/>
    </xf>
    <xf numFmtId="2" fontId="10" fillId="0" borderId="29" xfId="2" applyNumberFormat="1" applyFont="1" applyBorder="1" applyAlignment="1">
      <alignment horizontal="center"/>
    </xf>
    <xf numFmtId="10" fontId="10" fillId="0" borderId="29" xfId="2" applyNumberFormat="1" applyFont="1" applyBorder="1" applyAlignment="1">
      <alignment horizontal="center"/>
    </xf>
    <xf numFmtId="2" fontId="11" fillId="6" borderId="24" xfId="2" applyNumberFormat="1" applyFont="1" applyFill="1" applyBorder="1"/>
    <xf numFmtId="2" fontId="10" fillId="0" borderId="37" xfId="2" applyNumberFormat="1" applyFont="1" applyBorder="1" applyAlignment="1">
      <alignment horizontal="center"/>
    </xf>
    <xf numFmtId="10" fontId="10" fillId="0" borderId="37" xfId="2" applyNumberFormat="1" applyFont="1" applyBorder="1" applyAlignment="1">
      <alignment horizontal="center"/>
    </xf>
    <xf numFmtId="9" fontId="10" fillId="0" borderId="37" xfId="2" applyNumberFormat="1" applyFont="1" applyBorder="1" applyAlignment="1">
      <alignment horizontal="center"/>
    </xf>
    <xf numFmtId="164" fontId="10" fillId="0" borderId="29" xfId="2" applyNumberFormat="1" applyFont="1" applyBorder="1" applyAlignment="1">
      <alignment horizontal="center"/>
    </xf>
    <xf numFmtId="10" fontId="10" fillId="0" borderId="21" xfId="5" applyNumberFormat="1" applyFont="1" applyBorder="1" applyAlignment="1">
      <alignment horizontal="center"/>
    </xf>
    <xf numFmtId="164" fontId="11" fillId="0" borderId="21" xfId="2" applyNumberFormat="1" applyFont="1" applyBorder="1" applyAlignment="1">
      <alignment horizontal="right"/>
    </xf>
    <xf numFmtId="164" fontId="11" fillId="0" borderId="29" xfId="2" applyNumberFormat="1" applyFont="1" applyBorder="1"/>
    <xf numFmtId="10" fontId="10" fillId="0" borderId="29" xfId="5" applyNumberFormat="1" applyFont="1" applyBorder="1" applyAlignment="1">
      <alignment horizontal="center"/>
    </xf>
    <xf numFmtId="0" fontId="27" fillId="0" borderId="37" xfId="0" applyFont="1" applyBorder="1"/>
    <xf numFmtId="164" fontId="11" fillId="0" borderId="37" xfId="2" applyNumberFormat="1" applyFont="1" applyBorder="1" applyAlignment="1">
      <alignment horizontal="right"/>
    </xf>
    <xf numFmtId="10" fontId="10" fillId="0" borderId="37" xfId="5" applyNumberFormat="1" applyFont="1" applyBorder="1" applyAlignment="1">
      <alignment horizontal="center"/>
    </xf>
    <xf numFmtId="0" fontId="7" fillId="10" borderId="34" xfId="2" applyFont="1" applyFill="1" applyBorder="1"/>
    <xf numFmtId="0" fontId="10" fillId="13" borderId="28" xfId="2" applyFont="1" applyFill="1" applyBorder="1" applyAlignment="1">
      <alignment horizontal="center"/>
    </xf>
    <xf numFmtId="164" fontId="10" fillId="0" borderId="37" xfId="2" applyNumberFormat="1" applyFont="1" applyBorder="1" applyAlignment="1">
      <alignment horizontal="center"/>
    </xf>
    <xf numFmtId="0" fontId="4" fillId="6" borderId="22" xfId="2" applyFont="1" applyFill="1" applyBorder="1"/>
    <xf numFmtId="0" fontId="11" fillId="6" borderId="23" xfId="2" applyFont="1" applyFill="1" applyBorder="1"/>
    <xf numFmtId="0" fontId="11" fillId="6" borderId="24" xfId="2" applyFont="1" applyFill="1" applyBorder="1"/>
    <xf numFmtId="0" fontId="0" fillId="18" borderId="0" xfId="0" applyFill="1"/>
    <xf numFmtId="0" fontId="0" fillId="18" borderId="0" xfId="0" applyFill="1" applyAlignment="1">
      <alignment horizontal="right" vertical="center" wrapText="1"/>
    </xf>
    <xf numFmtId="0" fontId="13" fillId="18" borderId="0" xfId="0" applyFont="1" applyFill="1" applyAlignment="1">
      <alignment horizontal="center" vertical="center" wrapText="1"/>
    </xf>
    <xf numFmtId="166" fontId="11" fillId="0" borderId="21" xfId="2" applyNumberFormat="1" applyFont="1" applyBorder="1" applyAlignment="1">
      <alignment horizontal="right"/>
    </xf>
    <xf numFmtId="166" fontId="11" fillId="0" borderId="37" xfId="2" applyNumberFormat="1" applyFont="1" applyBorder="1" applyAlignment="1">
      <alignment horizontal="right"/>
    </xf>
    <xf numFmtId="0" fontId="4" fillId="11" borderId="34" xfId="2" applyFont="1" applyFill="1" applyBorder="1" applyAlignment="1">
      <alignment horizontal="center"/>
    </xf>
    <xf numFmtId="0" fontId="4" fillId="13" borderId="6" xfId="2" applyFont="1" applyFill="1" applyBorder="1" applyAlignment="1">
      <alignment horizontal="left" vertical="top"/>
    </xf>
    <xf numFmtId="0" fontId="11" fillId="13" borderId="38" xfId="2" applyFont="1" applyFill="1" applyBorder="1"/>
    <xf numFmtId="164" fontId="10" fillId="0" borderId="39" xfId="2" applyNumberFormat="1" applyFont="1" applyBorder="1"/>
    <xf numFmtId="166" fontId="10" fillId="7" borderId="39" xfId="2" applyNumberFormat="1" applyFont="1" applyFill="1" applyBorder="1"/>
    <xf numFmtId="0" fontId="25" fillId="6" borderId="18" xfId="2" applyFont="1" applyFill="1" applyBorder="1"/>
    <xf numFmtId="43" fontId="10" fillId="6" borderId="19" xfId="2" applyNumberFormat="1" applyFont="1" applyFill="1" applyBorder="1"/>
    <xf numFmtId="43" fontId="10" fillId="6" borderId="40" xfId="2" applyNumberFormat="1" applyFont="1" applyFill="1" applyBorder="1"/>
    <xf numFmtId="10" fontId="11" fillId="6" borderId="23" xfId="5" applyNumberFormat="1" applyFont="1" applyFill="1" applyBorder="1"/>
    <xf numFmtId="0" fontId="4" fillId="0" borderId="41" xfId="2" applyFont="1" applyBorder="1"/>
    <xf numFmtId="0" fontId="12" fillId="0" borderId="42" xfId="0" applyFont="1" applyBorder="1"/>
    <xf numFmtId="0" fontId="4" fillId="0" borderId="42" xfId="2" applyFont="1" applyBorder="1"/>
    <xf numFmtId="0" fontId="0" fillId="0" borderId="42" xfId="0" applyBorder="1"/>
    <xf numFmtId="0" fontId="27" fillId="0" borderId="43" xfId="0" applyFont="1" applyBorder="1"/>
    <xf numFmtId="164" fontId="11" fillId="0" borderId="44" xfId="2" applyNumberFormat="1" applyFont="1" applyBorder="1"/>
    <xf numFmtId="166" fontId="11" fillId="0" borderId="45" xfId="2" applyNumberFormat="1" applyFont="1" applyBorder="1" applyAlignment="1">
      <alignment horizontal="right"/>
    </xf>
    <xf numFmtId="166" fontId="11" fillId="0" borderId="46" xfId="2" applyNumberFormat="1" applyFont="1" applyBorder="1" applyAlignment="1">
      <alignment horizontal="right"/>
    </xf>
    <xf numFmtId="0" fontId="11" fillId="6" borderId="47" xfId="2" applyFont="1" applyFill="1" applyBorder="1"/>
    <xf numFmtId="0" fontId="11" fillId="6" borderId="48" xfId="2" applyFont="1" applyFill="1" applyBorder="1"/>
    <xf numFmtId="0" fontId="11" fillId="6" borderId="49" xfId="2" applyFont="1" applyFill="1" applyBorder="1"/>
    <xf numFmtId="0" fontId="4" fillId="0" borderId="43" xfId="2" applyFont="1" applyBorder="1"/>
    <xf numFmtId="0" fontId="26" fillId="0" borderId="42" xfId="2" applyFont="1" applyBorder="1"/>
    <xf numFmtId="2" fontId="10" fillId="0" borderId="44" xfId="2" applyNumberFormat="1" applyFont="1" applyBorder="1" applyAlignment="1">
      <alignment horizontal="center"/>
    </xf>
    <xf numFmtId="2" fontId="10" fillId="0" borderId="45" xfId="2" applyNumberFormat="1" applyFont="1" applyBorder="1" applyAlignment="1">
      <alignment horizontal="center"/>
    </xf>
    <xf numFmtId="164" fontId="10" fillId="0" borderId="46" xfId="2" applyNumberFormat="1" applyFont="1" applyBorder="1" applyAlignment="1">
      <alignment horizontal="center"/>
    </xf>
    <xf numFmtId="2" fontId="10" fillId="0" borderId="46" xfId="2" applyNumberFormat="1" applyFont="1" applyBorder="1" applyAlignment="1">
      <alignment horizontal="center"/>
    </xf>
    <xf numFmtId="10" fontId="10" fillId="0" borderId="44" xfId="2" applyNumberFormat="1" applyFont="1" applyBorder="1" applyAlignment="1">
      <alignment horizontal="center"/>
    </xf>
    <xf numFmtId="10" fontId="10" fillId="0" borderId="45" xfId="2" applyNumberFormat="1" applyFont="1" applyBorder="1" applyAlignment="1">
      <alignment horizontal="center"/>
    </xf>
    <xf numFmtId="9" fontId="10" fillId="0" borderId="45" xfId="2" applyNumberFormat="1" applyFont="1" applyBorder="1" applyAlignment="1">
      <alignment horizontal="center"/>
    </xf>
    <xf numFmtId="9" fontId="10" fillId="0" borderId="46" xfId="2" applyNumberFormat="1" applyFont="1" applyBorder="1" applyAlignment="1">
      <alignment horizontal="center"/>
    </xf>
    <xf numFmtId="164" fontId="10" fillId="0" borderId="44" xfId="2" applyNumberFormat="1" applyFont="1" applyBorder="1" applyAlignment="1">
      <alignment horizontal="center"/>
    </xf>
    <xf numFmtId="164" fontId="10" fillId="0" borderId="45" xfId="2" applyNumberFormat="1" applyFont="1" applyBorder="1" applyAlignment="1">
      <alignment horizontal="center"/>
    </xf>
    <xf numFmtId="164" fontId="11" fillId="0" borderId="45" xfId="2" applyNumberFormat="1" applyFont="1" applyBorder="1" applyAlignment="1">
      <alignment horizontal="right"/>
    </xf>
    <xf numFmtId="164" fontId="11" fillId="0" borderId="46" xfId="2" applyNumberFormat="1" applyFont="1" applyBorder="1" applyAlignment="1">
      <alignment horizontal="right"/>
    </xf>
    <xf numFmtId="10" fontId="10" fillId="0" borderId="46" xfId="2" applyNumberFormat="1" applyFont="1" applyBorder="1" applyAlignment="1">
      <alignment horizontal="center"/>
    </xf>
    <xf numFmtId="0" fontId="26" fillId="0" borderId="29" xfId="2" applyFont="1" applyBorder="1"/>
    <xf numFmtId="0" fontId="25" fillId="15" borderId="30" xfId="2" applyFont="1" applyFill="1" applyBorder="1" applyAlignment="1">
      <alignment horizontal="center"/>
    </xf>
    <xf numFmtId="0" fontId="8" fillId="15" borderId="51" xfId="2" applyFont="1" applyFill="1" applyBorder="1" applyAlignment="1">
      <alignment horizontal="center"/>
    </xf>
    <xf numFmtId="0" fontId="8" fillId="15" borderId="52" xfId="2" applyFont="1" applyFill="1" applyBorder="1" applyAlignment="1">
      <alignment horizontal="center"/>
    </xf>
    <xf numFmtId="0" fontId="26" fillId="16" borderId="53" xfId="2" applyFont="1" applyFill="1" applyBorder="1"/>
    <xf numFmtId="0" fontId="10" fillId="16" borderId="54" xfId="2" applyFont="1" applyFill="1" applyBorder="1" applyAlignment="1">
      <alignment horizontal="center"/>
    </xf>
    <xf numFmtId="0" fontId="10" fillId="16" borderId="55" xfId="2" applyFont="1" applyFill="1" applyBorder="1" applyAlignment="1">
      <alignment horizontal="center"/>
    </xf>
    <xf numFmtId="0" fontId="13" fillId="14" borderId="37" xfId="0" applyFont="1" applyFill="1" applyBorder="1" applyAlignment="1">
      <alignment horizontal="right" vertical="center" wrapText="1"/>
    </xf>
    <xf numFmtId="0" fontId="13" fillId="14" borderId="29" xfId="0" applyFont="1" applyFill="1" applyBorder="1" applyAlignment="1">
      <alignment horizontal="right" vertical="center" wrapText="1"/>
    </xf>
    <xf numFmtId="0" fontId="13" fillId="18" borderId="37" xfId="0" applyFont="1" applyFill="1" applyBorder="1" applyAlignment="1">
      <alignment horizontal="right" vertical="center" wrapText="1"/>
    </xf>
    <xf numFmtId="0" fontId="13" fillId="18" borderId="29" xfId="0" applyFont="1" applyFill="1" applyBorder="1" applyAlignment="1">
      <alignment horizontal="right" vertical="center" wrapText="1"/>
    </xf>
    <xf numFmtId="0" fontId="23" fillId="17" borderId="37" xfId="0" applyFont="1" applyFill="1" applyBorder="1" applyAlignment="1">
      <alignment horizontal="right" vertical="center" wrapText="1"/>
    </xf>
    <xf numFmtId="0" fontId="23" fillId="17" borderId="29" xfId="0" applyFont="1" applyFill="1" applyBorder="1" applyAlignment="1">
      <alignment horizontal="right" vertical="center" wrapText="1"/>
    </xf>
    <xf numFmtId="164" fontId="0" fillId="0" borderId="0" xfId="0" applyNumberFormat="1"/>
    <xf numFmtId="10" fontId="0" fillId="0" borderId="0" xfId="5" applyNumberFormat="1" applyFont="1"/>
    <xf numFmtId="0" fontId="25" fillId="19" borderId="22" xfId="2" applyFont="1" applyFill="1" applyBorder="1"/>
    <xf numFmtId="43" fontId="10" fillId="19" borderId="23" xfId="2" applyNumberFormat="1" applyFont="1" applyFill="1" applyBorder="1"/>
    <xf numFmtId="43" fontId="10" fillId="19" borderId="24" xfId="2" applyNumberFormat="1" applyFont="1" applyFill="1" applyBorder="1"/>
    <xf numFmtId="0" fontId="22" fillId="20" borderId="0" xfId="0" applyFont="1" applyFill="1"/>
    <xf numFmtId="0" fontId="22" fillId="20" borderId="0" xfId="0" applyFont="1" applyFill="1" applyAlignment="1">
      <alignment horizontal="right" vertical="center" wrapText="1"/>
    </xf>
    <xf numFmtId="0" fontId="23" fillId="20" borderId="0" xfId="0" applyFont="1" applyFill="1" applyAlignment="1">
      <alignment horizontal="center" vertical="center" wrapText="1"/>
    </xf>
    <xf numFmtId="0" fontId="7" fillId="21" borderId="34" xfId="2" applyFont="1" applyFill="1" applyBorder="1" applyAlignment="1">
      <alignment horizontal="center"/>
    </xf>
    <xf numFmtId="0" fontId="9" fillId="22" borderId="31" xfId="2" applyFont="1" applyFill="1" applyBorder="1"/>
    <xf numFmtId="0" fontId="8" fillId="21" borderId="31" xfId="2" applyFont="1" applyFill="1" applyBorder="1" applyAlignment="1">
      <alignment horizontal="center"/>
    </xf>
    <xf numFmtId="0" fontId="7" fillId="22" borderId="6" xfId="2" applyFont="1" applyFill="1" applyBorder="1" applyAlignment="1">
      <alignment horizontal="left" vertical="top"/>
    </xf>
    <xf numFmtId="0" fontId="8" fillId="22" borderId="33" xfId="2" applyFont="1" applyFill="1" applyBorder="1" applyAlignment="1">
      <alignment horizontal="center"/>
    </xf>
    <xf numFmtId="0" fontId="7" fillId="24" borderId="34" xfId="2" applyFont="1" applyFill="1" applyBorder="1"/>
    <xf numFmtId="0" fontId="9" fillId="24" borderId="19" xfId="2" applyFont="1" applyFill="1" applyBorder="1"/>
    <xf numFmtId="0" fontId="8" fillId="21" borderId="28" xfId="2" applyFont="1" applyFill="1" applyBorder="1" applyAlignment="1">
      <alignment horizontal="center"/>
    </xf>
    <xf numFmtId="0" fontId="7" fillId="22" borderId="36" xfId="2" applyFont="1" applyFill="1" applyBorder="1"/>
    <xf numFmtId="0" fontId="8" fillId="22" borderId="28" xfId="2" applyFont="1" applyFill="1" applyBorder="1" applyAlignment="1">
      <alignment horizontal="center"/>
    </xf>
    <xf numFmtId="0" fontId="11" fillId="6" borderId="7" xfId="2" applyFont="1" applyFill="1" applyBorder="1"/>
    <xf numFmtId="2" fontId="10" fillId="0" borderId="20" xfId="2" applyNumberFormat="1" applyFont="1" applyBorder="1" applyAlignment="1">
      <alignment horizontal="center"/>
    </xf>
    <xf numFmtId="0" fontId="11" fillId="6" borderId="56" xfId="2" applyFont="1" applyFill="1" applyBorder="1"/>
    <xf numFmtId="0" fontId="9" fillId="22" borderId="57" xfId="2" applyFont="1" applyFill="1" applyBorder="1"/>
    <xf numFmtId="0" fontId="9" fillId="22" borderId="0" xfId="2" applyFont="1" applyFill="1"/>
    <xf numFmtId="0" fontId="11" fillId="6" borderId="50" xfId="2" applyFont="1" applyFill="1" applyBorder="1"/>
    <xf numFmtId="0" fontId="11" fillId="6" borderId="28" xfId="2" applyFont="1" applyFill="1" applyBorder="1"/>
    <xf numFmtId="0" fontId="4" fillId="25" borderId="34" xfId="2" applyFont="1" applyFill="1" applyBorder="1" applyAlignment="1">
      <alignment horizontal="center"/>
    </xf>
    <xf numFmtId="0" fontId="11" fillId="26" borderId="31" xfId="2" applyFont="1" applyFill="1" applyBorder="1"/>
    <xf numFmtId="0" fontId="10" fillId="25" borderId="31" xfId="2" applyFont="1" applyFill="1" applyBorder="1" applyAlignment="1">
      <alignment horizontal="center"/>
    </xf>
    <xf numFmtId="0" fontId="4" fillId="26" borderId="6" xfId="2" applyFont="1" applyFill="1" applyBorder="1" applyAlignment="1">
      <alignment horizontal="left" vertical="top"/>
    </xf>
    <xf numFmtId="0" fontId="11" fillId="26" borderId="38" xfId="2" applyFont="1" applyFill="1" applyBorder="1"/>
    <xf numFmtId="0" fontId="10" fillId="26" borderId="33" xfId="2" applyFont="1" applyFill="1" applyBorder="1" applyAlignment="1">
      <alignment horizontal="center"/>
    </xf>
    <xf numFmtId="0" fontId="4" fillId="19" borderId="34" xfId="2" applyFont="1" applyFill="1" applyBorder="1"/>
    <xf numFmtId="0" fontId="11" fillId="19" borderId="2" xfId="2" applyFont="1" applyFill="1" applyBorder="1"/>
    <xf numFmtId="0" fontId="10" fillId="25" borderId="28" xfId="2" applyFont="1" applyFill="1" applyBorder="1" applyAlignment="1">
      <alignment horizontal="center"/>
    </xf>
    <xf numFmtId="0" fontId="7" fillId="26" borderId="36" xfId="2" applyFont="1" applyFill="1" applyBorder="1"/>
    <xf numFmtId="0" fontId="11" fillId="26" borderId="24" xfId="2" applyFont="1" applyFill="1" applyBorder="1"/>
    <xf numFmtId="0" fontId="4" fillId="28" borderId="34" xfId="2" applyFont="1" applyFill="1" applyBorder="1" applyAlignment="1">
      <alignment horizontal="center"/>
    </xf>
    <xf numFmtId="0" fontId="11" fillId="29" borderId="31" xfId="2" applyFont="1" applyFill="1" applyBorder="1"/>
    <xf numFmtId="0" fontId="10" fillId="28" borderId="31" xfId="2" applyFont="1" applyFill="1" applyBorder="1" applyAlignment="1">
      <alignment horizontal="center"/>
    </xf>
    <xf numFmtId="0" fontId="4" fillId="29" borderId="6" xfId="2" applyFont="1" applyFill="1" applyBorder="1" applyAlignment="1">
      <alignment horizontal="left" vertical="top"/>
    </xf>
    <xf numFmtId="0" fontId="11" fillId="29" borderId="38" xfId="2" applyFont="1" applyFill="1" applyBorder="1"/>
    <xf numFmtId="0" fontId="10" fillId="29" borderId="33" xfId="2" applyFont="1" applyFill="1" applyBorder="1" applyAlignment="1">
      <alignment horizontal="center"/>
    </xf>
    <xf numFmtId="0" fontId="7" fillId="32" borderId="34" xfId="2" applyFont="1" applyFill="1" applyBorder="1"/>
    <xf numFmtId="0" fontId="11" fillId="32" borderId="35" xfId="2" applyFont="1" applyFill="1" applyBorder="1"/>
    <xf numFmtId="0" fontId="10" fillId="28" borderId="28" xfId="2" applyFont="1" applyFill="1" applyBorder="1" applyAlignment="1">
      <alignment horizontal="center"/>
    </xf>
    <xf numFmtId="0" fontId="7" fillId="29" borderId="36" xfId="2" applyFont="1" applyFill="1" applyBorder="1"/>
    <xf numFmtId="0" fontId="11" fillId="29" borderId="7" xfId="2" applyFont="1" applyFill="1" applyBorder="1"/>
    <xf numFmtId="0" fontId="10" fillId="29" borderId="28" xfId="2" applyFont="1" applyFill="1" applyBorder="1" applyAlignment="1">
      <alignment horizontal="center"/>
    </xf>
    <xf numFmtId="10" fontId="13" fillId="8" borderId="0" xfId="5" applyNumberFormat="1" applyFont="1" applyFill="1" applyAlignment="1">
      <alignment horizontal="righ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64" fontId="0" fillId="0" borderId="5" xfId="0" applyNumberFormat="1" applyBorder="1"/>
    <xf numFmtId="10" fontId="0" fillId="0" borderId="0" xfId="5" applyNumberFormat="1" applyFont="1" applyBorder="1"/>
    <xf numFmtId="10" fontId="0" fillId="0" borderId="5" xfId="5" applyNumberFormat="1" applyFont="1" applyBorder="1"/>
    <xf numFmtId="0" fontId="0" fillId="0" borderId="6" xfId="0" applyBorder="1"/>
    <xf numFmtId="10" fontId="0" fillId="0" borderId="7" xfId="5" applyNumberFormat="1" applyFont="1" applyBorder="1"/>
    <xf numFmtId="10" fontId="0" fillId="0" borderId="8" xfId="5" applyNumberFormat="1" applyFont="1" applyBorder="1"/>
    <xf numFmtId="0" fontId="11" fillId="6" borderId="58" xfId="2" applyFont="1" applyFill="1" applyBorder="1"/>
    <xf numFmtId="2" fontId="11" fillId="6" borderId="7" xfId="2" applyNumberFormat="1" applyFont="1" applyFill="1" applyBorder="1"/>
    <xf numFmtId="166" fontId="0" fillId="0" borderId="0" xfId="0" applyNumberFormat="1"/>
    <xf numFmtId="166" fontId="0" fillId="0" borderId="5" xfId="0" applyNumberFormat="1" applyBorder="1"/>
    <xf numFmtId="166" fontId="0" fillId="0" borderId="7" xfId="0" applyNumberFormat="1" applyBorder="1"/>
    <xf numFmtId="166" fontId="0" fillId="0" borderId="8" xfId="0" applyNumberFormat="1" applyBorder="1"/>
    <xf numFmtId="2" fontId="0" fillId="0" borderId="0" xfId="0" applyNumberFormat="1"/>
    <xf numFmtId="10" fontId="10" fillId="0" borderId="9" xfId="5" applyNumberFormat="1" applyFont="1" applyBorder="1"/>
    <xf numFmtId="10" fontId="10" fillId="7" borderId="14" xfId="5" applyNumberFormat="1" applyFont="1" applyFill="1" applyBorder="1"/>
    <xf numFmtId="164" fontId="10" fillId="7" borderId="14" xfId="2" applyNumberFormat="1" applyFont="1" applyFill="1" applyBorder="1"/>
    <xf numFmtId="0" fontId="1" fillId="5" borderId="0" xfId="1" applyFont="1" applyFill="1"/>
    <xf numFmtId="164" fontId="0" fillId="0" borderId="4" xfId="0" applyNumberFormat="1" applyBorder="1"/>
    <xf numFmtId="2" fontId="0" fillId="0" borderId="5" xfId="0" applyNumberFormat="1" applyBorder="1"/>
    <xf numFmtId="2" fontId="0" fillId="0" borderId="7" xfId="0" applyNumberFormat="1" applyBorder="1"/>
    <xf numFmtId="2" fontId="0" fillId="0" borderId="8" xfId="0" applyNumberFormat="1" applyBorder="1"/>
    <xf numFmtId="2" fontId="10" fillId="0" borderId="21" xfId="5" applyNumberFormat="1" applyFont="1" applyBorder="1" applyAlignment="1">
      <alignment horizontal="center"/>
    </xf>
    <xf numFmtId="2" fontId="11" fillId="0" borderId="0" xfId="2" applyNumberFormat="1" applyFont="1"/>
    <xf numFmtId="0" fontId="0" fillId="0" borderId="0" xfId="0" applyAlignment="1">
      <alignment wrapText="1"/>
    </xf>
    <xf numFmtId="0" fontId="34" fillId="0" borderId="0" xfId="0" applyFont="1" applyAlignment="1">
      <alignment vertical="center"/>
    </xf>
    <xf numFmtId="0" fontId="0" fillId="0" borderId="0" xfId="0" applyAlignment="1">
      <alignment vertical="center"/>
    </xf>
    <xf numFmtId="4" fontId="12" fillId="0" borderId="0" xfId="0" applyNumberFormat="1" applyFont="1" applyAlignment="1">
      <alignment vertical="center"/>
    </xf>
    <xf numFmtId="3" fontId="12" fillId="0" borderId="0" xfId="0" applyNumberFormat="1" applyFont="1" applyAlignment="1">
      <alignment vertical="center"/>
    </xf>
    <xf numFmtId="2" fontId="0" fillId="0" borderId="0" xfId="0" applyNumberFormat="1" applyAlignment="1">
      <alignment vertical="center"/>
    </xf>
    <xf numFmtId="2" fontId="12" fillId="0" borderId="0" xfId="0" applyNumberFormat="1" applyFont="1" applyAlignment="1">
      <alignment vertical="center"/>
    </xf>
    <xf numFmtId="0" fontId="35" fillId="33" borderId="10" xfId="0" applyFont="1" applyFill="1" applyBorder="1" applyAlignment="1">
      <alignment horizontal="left"/>
    </xf>
    <xf numFmtId="0" fontId="12" fillId="0" borderId="0" xfId="0" applyFont="1" applyAlignment="1">
      <alignment vertical="center"/>
    </xf>
    <xf numFmtId="0" fontId="36" fillId="0" borderId="0" xfId="0" applyFont="1" applyAlignment="1">
      <alignment horizontal="left" vertical="center"/>
    </xf>
    <xf numFmtId="0" fontId="37" fillId="0" borderId="0" xfId="0" applyFont="1" applyAlignment="1">
      <alignment horizontal="right" vertical="center"/>
    </xf>
    <xf numFmtId="2" fontId="37" fillId="0" borderId="0" xfId="0" applyNumberFormat="1" applyFont="1" applyAlignment="1">
      <alignment horizontal="right" vertical="center"/>
    </xf>
    <xf numFmtId="0" fontId="21" fillId="9" borderId="22" xfId="2" applyFont="1" applyFill="1" applyBorder="1" applyAlignment="1">
      <alignment horizontal="center" vertical="center"/>
    </xf>
    <xf numFmtId="0" fontId="21" fillId="9" borderId="23" xfId="2" applyFont="1" applyFill="1" applyBorder="1" applyAlignment="1">
      <alignment horizontal="center" vertical="center"/>
    </xf>
    <xf numFmtId="0" fontId="21" fillId="9" borderId="24" xfId="2" applyFont="1" applyFill="1" applyBorder="1" applyAlignment="1">
      <alignment horizontal="center" vertical="center"/>
    </xf>
    <xf numFmtId="0" fontId="23" fillId="20" borderId="21" xfId="0" applyFont="1" applyFill="1" applyBorder="1" applyAlignment="1">
      <alignment horizontal="right" vertical="center" wrapText="1"/>
    </xf>
    <xf numFmtId="0" fontId="15" fillId="23" borderId="32" xfId="2" applyFont="1" applyFill="1" applyBorder="1" applyAlignment="1">
      <alignment horizontal="center" vertical="center" wrapText="1"/>
    </xf>
    <xf numFmtId="0" fontId="16" fillId="20" borderId="33" xfId="2" applyFont="1" applyFill="1" applyBorder="1" applyAlignment="1">
      <alignment vertical="center"/>
    </xf>
    <xf numFmtId="0" fontId="16" fillId="20" borderId="33" xfId="2" applyFont="1" applyFill="1" applyBorder="1" applyAlignment="1">
      <alignment vertical="center" wrapText="1"/>
    </xf>
    <xf numFmtId="0" fontId="15" fillId="23" borderId="3" xfId="2" applyFont="1" applyFill="1" applyBorder="1" applyAlignment="1">
      <alignment horizontal="center" vertical="center" wrapText="1"/>
    </xf>
    <xf numFmtId="0" fontId="16" fillId="20" borderId="8" xfId="2" applyFont="1" applyFill="1" applyBorder="1" applyAlignment="1">
      <alignment vertical="center" wrapText="1"/>
    </xf>
    <xf numFmtId="0" fontId="16" fillId="20" borderId="8" xfId="2" applyFont="1" applyFill="1" applyBorder="1" applyAlignment="1">
      <alignment vertical="center"/>
    </xf>
    <xf numFmtId="0" fontId="15" fillId="12" borderId="32" xfId="2" applyFont="1" applyFill="1" applyBorder="1" applyAlignment="1">
      <alignment horizontal="center" vertical="center" wrapText="1"/>
    </xf>
    <xf numFmtId="0" fontId="16" fillId="14" borderId="33" xfId="2" applyFont="1" applyFill="1" applyBorder="1" applyAlignment="1">
      <alignment vertical="center"/>
    </xf>
    <xf numFmtId="0" fontId="15" fillId="12" borderId="3" xfId="2" applyFont="1" applyFill="1" applyBorder="1" applyAlignment="1">
      <alignment horizontal="center" vertical="center" wrapText="1"/>
    </xf>
    <xf numFmtId="0" fontId="16" fillId="14" borderId="8" xfId="2" applyFont="1" applyFill="1" applyBorder="1" applyAlignment="1">
      <alignment vertical="center"/>
    </xf>
    <xf numFmtId="0" fontId="15" fillId="30" borderId="32" xfId="2" applyFont="1" applyFill="1" applyBorder="1" applyAlignment="1">
      <alignment horizontal="center" vertical="center" wrapText="1"/>
    </xf>
    <xf numFmtId="0" fontId="16" fillId="31" borderId="33" xfId="2" applyFont="1" applyFill="1" applyBorder="1" applyAlignment="1">
      <alignment vertical="center"/>
    </xf>
    <xf numFmtId="0" fontId="15" fillId="30" borderId="3" xfId="2" applyFont="1" applyFill="1" applyBorder="1" applyAlignment="1">
      <alignment horizontal="center" vertical="center" wrapText="1"/>
    </xf>
    <xf numFmtId="0" fontId="16" fillId="31" borderId="8" xfId="2" applyFont="1" applyFill="1" applyBorder="1" applyAlignment="1">
      <alignment vertical="center"/>
    </xf>
    <xf numFmtId="0" fontId="15" fillId="27" borderId="32" xfId="2" applyFont="1" applyFill="1" applyBorder="1" applyAlignment="1">
      <alignment horizontal="center" vertical="center" wrapText="1"/>
    </xf>
    <xf numFmtId="0" fontId="16" fillId="9" borderId="33" xfId="2" applyFont="1" applyFill="1" applyBorder="1" applyAlignment="1">
      <alignment vertical="center"/>
    </xf>
    <xf numFmtId="0" fontId="15" fillId="27" borderId="3" xfId="2" applyFont="1" applyFill="1" applyBorder="1" applyAlignment="1">
      <alignment horizontal="center" vertical="center" wrapText="1"/>
    </xf>
    <xf numFmtId="0" fontId="16" fillId="9" borderId="8" xfId="2" applyFont="1" applyFill="1" applyBorder="1" applyAlignment="1">
      <alignment vertical="center"/>
    </xf>
    <xf numFmtId="0" fontId="34" fillId="0" borderId="0" xfId="0" applyFont="1" applyAlignment="1">
      <alignment vertical="center"/>
    </xf>
  </cellXfs>
  <cellStyles count="6">
    <cellStyle name="Comma 2" xfId="3" xr:uid="{84C524CA-6805-4066-AFA3-72B0D553150E}"/>
    <cellStyle name="Hyperlink" xfId="4" builtinId="8"/>
    <cellStyle name="Normal" xfId="0" builtinId="0"/>
    <cellStyle name="Normal 2" xfId="2" xr:uid="{AACEF5D4-0FCF-4EDA-88EF-8356919D6713}"/>
    <cellStyle name="Normal 2 2" xfId="1" xr:uid="{B61EFE12-0789-40A0-A5D3-DA783CC10626}"/>
    <cellStyle name="Percent" xfId="5" builtinId="5"/>
  </cellStyles>
  <dxfs count="0"/>
  <tableStyles count="0" defaultTableStyle="TableStyleMedium9" defaultPivotStyle="PivotStyleLight16"/>
  <colors>
    <mruColors>
      <color rgb="FFFFFF99"/>
      <color rgb="FFCE1D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2"/>
                </a:solidFill>
                <a:latin typeface="+mn-lt"/>
                <a:ea typeface="+mn-ea"/>
                <a:cs typeface="+mn-cs"/>
              </a:defRPr>
            </a:pPr>
            <a:r>
              <a:rPr lang="en-US" b="1"/>
              <a:t>Income Statement Breakdown</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2"/>
              </a:solidFill>
              <a:latin typeface="+mn-lt"/>
              <a:ea typeface="+mn-ea"/>
              <a:cs typeface="+mn-cs"/>
            </a:defRPr>
          </a:pPr>
          <a:endParaRPr lang="en-US"/>
        </a:p>
      </c:txPr>
    </c:title>
    <c:autoTitleDeleted val="0"/>
    <c:plotArea>
      <c:layout/>
      <c:barChart>
        <c:barDir val="col"/>
        <c:grouping val="clustered"/>
        <c:varyColors val="0"/>
        <c:ser>
          <c:idx val="1"/>
          <c:order val="0"/>
          <c:tx>
            <c:strRef>
              <c:f>ChartData!$C$9</c:f>
              <c:strCache>
                <c:ptCount val="1"/>
                <c:pt idx="0">
                  <c:v>Revenue</c:v>
                </c:pt>
              </c:strCache>
            </c:strRef>
          </c:tx>
          <c:spPr>
            <a:solidFill>
              <a:schemeClr val="accent2"/>
            </a:solidFill>
            <a:ln w="19050">
              <a:solidFill>
                <a:schemeClr val="bg1"/>
              </a:solidFill>
            </a:ln>
            <a:effectLst/>
          </c:spPr>
          <c:invertIfNegative val="0"/>
          <c:cat>
            <c:numRef>
              <c:f>ChartData!$C$21:$F$21</c:f>
              <c:numCache>
                <c:formatCode>General</c:formatCode>
                <c:ptCount val="4"/>
                <c:pt idx="0">
                  <c:v>2024</c:v>
                </c:pt>
                <c:pt idx="1">
                  <c:v>2023</c:v>
                </c:pt>
                <c:pt idx="2">
                  <c:v>2022</c:v>
                </c:pt>
                <c:pt idx="3">
                  <c:v>2021</c:v>
                </c:pt>
              </c:numCache>
            </c:numRef>
          </c:cat>
          <c:val>
            <c:numRef>
              <c:f>ChartData!$C$11:$F$11</c:f>
              <c:numCache>
                <c:formatCode>"$"#,##0.00</c:formatCode>
                <c:ptCount val="4"/>
                <c:pt idx="0">
                  <c:v>25920</c:v>
                </c:pt>
                <c:pt idx="1">
                  <c:v>25494</c:v>
                </c:pt>
                <c:pt idx="2">
                  <c:v>23183</c:v>
                </c:pt>
                <c:pt idx="3">
                  <c:v>23222.9</c:v>
                </c:pt>
              </c:numCache>
            </c:numRef>
          </c:val>
          <c:extLst>
            <c:ext xmlns:c16="http://schemas.microsoft.com/office/drawing/2014/chart" uri="{C3380CC4-5D6E-409C-BE32-E72D297353CC}">
              <c16:uniqueId val="{00000000-B105-42F5-ADFC-29BBACCC9ABC}"/>
            </c:ext>
          </c:extLst>
        </c:ser>
        <c:ser>
          <c:idx val="0"/>
          <c:order val="1"/>
          <c:tx>
            <c:strRef>
              <c:f>ChartData!$C$20</c:f>
              <c:strCache>
                <c:ptCount val="1"/>
                <c:pt idx="0">
                  <c:v>Net Income</c:v>
                </c:pt>
              </c:strCache>
            </c:strRef>
          </c:tx>
          <c:spPr>
            <a:solidFill>
              <a:schemeClr val="accent1"/>
            </a:solidFill>
            <a:ln w="19050">
              <a:solidFill>
                <a:schemeClr val="bg1"/>
              </a:solidFill>
            </a:ln>
            <a:effectLst/>
          </c:spPr>
          <c:invertIfNegative val="0"/>
          <c:cat>
            <c:numRef>
              <c:f>ChartData!$C$21:$F$21</c:f>
              <c:numCache>
                <c:formatCode>General</c:formatCode>
                <c:ptCount val="4"/>
                <c:pt idx="0">
                  <c:v>2024</c:v>
                </c:pt>
                <c:pt idx="1">
                  <c:v>2023</c:v>
                </c:pt>
                <c:pt idx="2">
                  <c:v>2022</c:v>
                </c:pt>
                <c:pt idx="3">
                  <c:v>2021</c:v>
                </c:pt>
              </c:numCache>
            </c:numRef>
          </c:cat>
          <c:val>
            <c:numRef>
              <c:f>ChartData!$C$22:$F$22</c:f>
              <c:numCache>
                <c:formatCode>"$"#,##0.00</c:formatCode>
                <c:ptCount val="4"/>
                <c:pt idx="0">
                  <c:v>8223</c:v>
                </c:pt>
                <c:pt idx="1">
                  <c:v>8469</c:v>
                </c:pt>
                <c:pt idx="2">
                  <c:v>6177</c:v>
                </c:pt>
                <c:pt idx="3">
                  <c:v>7545.2</c:v>
                </c:pt>
              </c:numCache>
            </c:numRef>
          </c:val>
          <c:extLst>
            <c:ext xmlns:c16="http://schemas.microsoft.com/office/drawing/2014/chart" uri="{C3380CC4-5D6E-409C-BE32-E72D297353CC}">
              <c16:uniqueId val="{00000001-B105-42F5-ADFC-29BBACCC9ABC}"/>
            </c:ext>
          </c:extLst>
        </c:ser>
        <c:dLbls>
          <c:showLegendKey val="0"/>
          <c:showVal val="0"/>
          <c:showCatName val="0"/>
          <c:showSerName val="0"/>
          <c:showPercent val="0"/>
          <c:showBubbleSize val="0"/>
        </c:dLbls>
        <c:gapWidth val="40"/>
        <c:axId val="1542005087"/>
        <c:axId val="1542006527"/>
      </c:barChart>
      <c:lineChart>
        <c:grouping val="standard"/>
        <c:varyColors val="0"/>
        <c:ser>
          <c:idx val="2"/>
          <c:order val="2"/>
          <c:tx>
            <c:strRef>
              <c:f>ChartData!$C$31</c:f>
              <c:strCache>
                <c:ptCount val="1"/>
                <c:pt idx="0">
                  <c:v>Net Profit Margin</c:v>
                </c:pt>
              </c:strCache>
            </c:strRef>
          </c:tx>
          <c:spPr>
            <a:ln w="38100" cap="rnd">
              <a:solidFill>
                <a:schemeClr val="accent3"/>
              </a:solidFill>
              <a:round/>
            </a:ln>
            <a:effectLst/>
          </c:spPr>
          <c:marker>
            <c:symbol val="diamond"/>
            <c:size val="10"/>
            <c:spPr>
              <a:solidFill>
                <a:schemeClr val="accent3"/>
              </a:solidFill>
              <a:ln w="9525">
                <a:solidFill>
                  <a:schemeClr val="accent3"/>
                </a:solidFill>
              </a:ln>
              <a:effectLst/>
            </c:spPr>
          </c:marker>
          <c:cat>
            <c:numRef>
              <c:f>ChartData!$C$21:$F$21</c:f>
              <c:numCache>
                <c:formatCode>General</c:formatCode>
                <c:ptCount val="4"/>
                <c:pt idx="0">
                  <c:v>2024</c:v>
                </c:pt>
                <c:pt idx="1">
                  <c:v>2023</c:v>
                </c:pt>
                <c:pt idx="2">
                  <c:v>2022</c:v>
                </c:pt>
                <c:pt idx="3">
                  <c:v>2021</c:v>
                </c:pt>
              </c:numCache>
            </c:numRef>
          </c:cat>
          <c:val>
            <c:numRef>
              <c:f>ChartData!$C$33:$F$33</c:f>
              <c:numCache>
                <c:formatCode>0.00%</c:formatCode>
                <c:ptCount val="4"/>
                <c:pt idx="0">
                  <c:v>0.31719999999999998</c:v>
                </c:pt>
                <c:pt idx="1">
                  <c:v>0.3322</c:v>
                </c:pt>
                <c:pt idx="2">
                  <c:v>0.26640000000000003</c:v>
                </c:pt>
                <c:pt idx="3">
                  <c:v>0.32490000000000002</c:v>
                </c:pt>
              </c:numCache>
            </c:numRef>
          </c:val>
          <c:smooth val="0"/>
          <c:extLst>
            <c:ext xmlns:c16="http://schemas.microsoft.com/office/drawing/2014/chart" uri="{C3380CC4-5D6E-409C-BE32-E72D297353CC}">
              <c16:uniqueId val="{00000002-B105-42F5-ADFC-29BBACCC9ABC}"/>
            </c:ext>
          </c:extLst>
        </c:ser>
        <c:dLbls>
          <c:showLegendKey val="0"/>
          <c:showVal val="0"/>
          <c:showCatName val="0"/>
          <c:showSerName val="0"/>
          <c:showPercent val="0"/>
          <c:showBubbleSize val="0"/>
        </c:dLbls>
        <c:marker val="1"/>
        <c:smooth val="0"/>
        <c:axId val="1599589615"/>
        <c:axId val="1361708159"/>
      </c:lineChart>
      <c:dateAx>
        <c:axId val="154200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542006527"/>
        <c:crosses val="autoZero"/>
        <c:auto val="0"/>
        <c:lblOffset val="100"/>
        <c:baseTimeUnit val="days"/>
      </c:dateAx>
      <c:valAx>
        <c:axId val="1542006527"/>
        <c:scaling>
          <c:orientation val="minMax"/>
        </c:scaling>
        <c:delete val="0"/>
        <c:axPos val="l"/>
        <c:numFmt formatCode="&quot;$&quot;#,##0\ &quot;M&quot;" sourceLinked="0"/>
        <c:majorTickMark val="none"/>
        <c:minorTickMark val="none"/>
        <c:tickLblPos val="low"/>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542005087"/>
        <c:crosses val="autoZero"/>
        <c:crossBetween val="between"/>
      </c:valAx>
      <c:valAx>
        <c:axId val="13617081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599589615"/>
        <c:crosses val="max"/>
        <c:crossBetween val="between"/>
      </c:valAx>
      <c:catAx>
        <c:axId val="1599589615"/>
        <c:scaling>
          <c:orientation val="minMax"/>
        </c:scaling>
        <c:delete val="1"/>
        <c:axPos val="b"/>
        <c:numFmt formatCode="General" sourceLinked="1"/>
        <c:majorTickMark val="out"/>
        <c:minorTickMark val="none"/>
        <c:tickLblPos val="nextTo"/>
        <c:crossAx val="13617081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tx2"/>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2"/>
                </a:solidFill>
                <a:latin typeface="+mn-lt"/>
                <a:ea typeface="+mn-ea"/>
                <a:cs typeface="+mn-cs"/>
              </a:defRPr>
            </a:pPr>
            <a:r>
              <a:rPr lang="en-US" b="1"/>
              <a:t>Gross Profits</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2"/>
              </a:solidFill>
              <a:latin typeface="+mn-lt"/>
              <a:ea typeface="+mn-ea"/>
              <a:cs typeface="+mn-cs"/>
            </a:defRPr>
          </a:pPr>
          <a:endParaRPr lang="en-US"/>
        </a:p>
      </c:txPr>
    </c:title>
    <c:autoTitleDeleted val="0"/>
    <c:plotArea>
      <c:layout/>
      <c:barChart>
        <c:barDir val="col"/>
        <c:grouping val="clustered"/>
        <c:varyColors val="0"/>
        <c:ser>
          <c:idx val="3"/>
          <c:order val="0"/>
          <c:tx>
            <c:strRef>
              <c:f>ChartData!$L$3</c:f>
              <c:strCache>
                <c:ptCount val="1"/>
                <c:pt idx="0">
                  <c:v>2021</c:v>
                </c:pt>
              </c:strCache>
            </c:strRef>
          </c:tx>
          <c:spPr>
            <a:solidFill>
              <a:schemeClr val="accent4"/>
            </a:solidFill>
            <a:ln w="19050">
              <a:solidFill>
                <a:schemeClr val="bg1"/>
              </a:solidFill>
            </a:ln>
            <a:effectLst/>
          </c:spPr>
          <c:invertIfNegative val="0"/>
          <c:cat>
            <c:strRef>
              <c:f>ChartData!$H$4:$H$7</c:f>
              <c:strCache>
                <c:ptCount val="4"/>
                <c:pt idx="0">
                  <c:v>Chipotle</c:v>
                </c:pt>
                <c:pt idx="1">
                  <c:v>Shake Shack</c:v>
                </c:pt>
                <c:pt idx="2">
                  <c:v>McDonalds</c:v>
                </c:pt>
                <c:pt idx="3">
                  <c:v>Yum</c:v>
                </c:pt>
              </c:strCache>
            </c:strRef>
          </c:cat>
          <c:val>
            <c:numRef>
              <c:f>ChartData!$L$4:$L$7</c:f>
              <c:numCache>
                <c:formatCode>"$"#,##0</c:formatCode>
                <c:ptCount val="4"/>
                <c:pt idx="0">
                  <c:v>1707010000</c:v>
                </c:pt>
                <c:pt idx="1">
                  <c:v>145260000</c:v>
                </c:pt>
                <c:pt idx="2">
                  <c:v>12580200000</c:v>
                </c:pt>
                <c:pt idx="3">
                  <c:v>4859000000</c:v>
                </c:pt>
              </c:numCache>
            </c:numRef>
          </c:val>
          <c:extLst>
            <c:ext xmlns:c16="http://schemas.microsoft.com/office/drawing/2014/chart" uri="{C3380CC4-5D6E-409C-BE32-E72D297353CC}">
              <c16:uniqueId val="{00000003-37DD-462F-BA55-C3E2028366B1}"/>
            </c:ext>
          </c:extLst>
        </c:ser>
        <c:ser>
          <c:idx val="2"/>
          <c:order val="1"/>
          <c:tx>
            <c:strRef>
              <c:f>ChartData!$K$3</c:f>
              <c:strCache>
                <c:ptCount val="1"/>
                <c:pt idx="0">
                  <c:v>2022</c:v>
                </c:pt>
              </c:strCache>
            </c:strRef>
          </c:tx>
          <c:spPr>
            <a:solidFill>
              <a:schemeClr val="accent3"/>
            </a:solidFill>
            <a:ln>
              <a:solidFill>
                <a:schemeClr val="bg1"/>
              </a:solidFill>
            </a:ln>
            <a:effectLst/>
          </c:spPr>
          <c:invertIfNegative val="0"/>
          <c:cat>
            <c:strRef>
              <c:f>ChartData!$H$4:$H$7</c:f>
              <c:strCache>
                <c:ptCount val="4"/>
                <c:pt idx="0">
                  <c:v>Chipotle</c:v>
                </c:pt>
                <c:pt idx="1">
                  <c:v>Shake Shack</c:v>
                </c:pt>
                <c:pt idx="2">
                  <c:v>McDonalds</c:v>
                </c:pt>
                <c:pt idx="3">
                  <c:v>Yum</c:v>
                </c:pt>
              </c:strCache>
            </c:strRef>
          </c:cat>
          <c:val>
            <c:numRef>
              <c:f>ChartData!$K$4:$K$7</c:f>
              <c:numCache>
                <c:formatCode>"$"#,##0</c:formatCode>
                <c:ptCount val="4"/>
                <c:pt idx="0">
                  <c:v>2062120000</c:v>
                </c:pt>
                <c:pt idx="1">
                  <c:v>183390000</c:v>
                </c:pt>
                <c:pt idx="2">
                  <c:v>13208000000</c:v>
                </c:pt>
                <c:pt idx="3">
                  <c:v>5097000000</c:v>
                </c:pt>
              </c:numCache>
            </c:numRef>
          </c:val>
          <c:extLst>
            <c:ext xmlns:c16="http://schemas.microsoft.com/office/drawing/2014/chart" uri="{C3380CC4-5D6E-409C-BE32-E72D297353CC}">
              <c16:uniqueId val="{00000002-37DD-462F-BA55-C3E2028366B1}"/>
            </c:ext>
          </c:extLst>
        </c:ser>
        <c:ser>
          <c:idx val="1"/>
          <c:order val="2"/>
          <c:tx>
            <c:strRef>
              <c:f>ChartData!$J$3</c:f>
              <c:strCache>
                <c:ptCount val="1"/>
                <c:pt idx="0">
                  <c:v>2023</c:v>
                </c:pt>
              </c:strCache>
            </c:strRef>
          </c:tx>
          <c:spPr>
            <a:solidFill>
              <a:schemeClr val="accent2"/>
            </a:solidFill>
            <a:ln w="19050">
              <a:solidFill>
                <a:schemeClr val="bg1"/>
              </a:solidFill>
            </a:ln>
            <a:effectLst/>
          </c:spPr>
          <c:invertIfNegative val="0"/>
          <c:cat>
            <c:strRef>
              <c:f>ChartData!$H$4:$H$7</c:f>
              <c:strCache>
                <c:ptCount val="4"/>
                <c:pt idx="0">
                  <c:v>Chipotle</c:v>
                </c:pt>
                <c:pt idx="1">
                  <c:v>Shake Shack</c:v>
                </c:pt>
                <c:pt idx="2">
                  <c:v>McDonalds</c:v>
                </c:pt>
                <c:pt idx="3">
                  <c:v>Yum</c:v>
                </c:pt>
              </c:strCache>
            </c:strRef>
          </c:cat>
          <c:val>
            <c:numRef>
              <c:f>ChartData!$J$4:$J$7</c:f>
              <c:numCache>
                <c:formatCode>"$"#,##0</c:formatCode>
                <c:ptCount val="4"/>
                <c:pt idx="0">
                  <c:v>2586090000</c:v>
                </c:pt>
                <c:pt idx="1">
                  <c:v>248940000</c:v>
                </c:pt>
                <c:pt idx="2">
                  <c:v>14563000000</c:v>
                </c:pt>
                <c:pt idx="3">
                  <c:v>5302000000</c:v>
                </c:pt>
              </c:numCache>
            </c:numRef>
          </c:val>
          <c:extLst>
            <c:ext xmlns:c16="http://schemas.microsoft.com/office/drawing/2014/chart" uri="{C3380CC4-5D6E-409C-BE32-E72D297353CC}">
              <c16:uniqueId val="{00000001-37DD-462F-BA55-C3E2028366B1}"/>
            </c:ext>
          </c:extLst>
        </c:ser>
        <c:ser>
          <c:idx val="0"/>
          <c:order val="3"/>
          <c:tx>
            <c:strRef>
              <c:f>ChartData!$I$3</c:f>
              <c:strCache>
                <c:ptCount val="1"/>
                <c:pt idx="0">
                  <c:v>2024</c:v>
                </c:pt>
              </c:strCache>
            </c:strRef>
          </c:tx>
          <c:spPr>
            <a:solidFill>
              <a:schemeClr val="accent1"/>
            </a:solidFill>
            <a:ln w="19050">
              <a:solidFill>
                <a:schemeClr val="bg1"/>
              </a:solidFill>
            </a:ln>
            <a:effectLst/>
          </c:spPr>
          <c:invertIfNegative val="0"/>
          <c:cat>
            <c:strRef>
              <c:f>ChartData!$H$4:$H$7</c:f>
              <c:strCache>
                <c:ptCount val="4"/>
                <c:pt idx="0">
                  <c:v>Chipotle</c:v>
                </c:pt>
                <c:pt idx="1">
                  <c:v>Shake Shack</c:v>
                </c:pt>
                <c:pt idx="2">
                  <c:v>McDonalds</c:v>
                </c:pt>
                <c:pt idx="3">
                  <c:v>Yum</c:v>
                </c:pt>
              </c:strCache>
            </c:strRef>
          </c:cat>
          <c:val>
            <c:numRef>
              <c:f>ChartData!$I$4:$I$7</c:f>
              <c:numCache>
                <c:formatCode>"$"#,##0</c:formatCode>
                <c:ptCount val="4"/>
                <c:pt idx="0">
                  <c:v>3017690000</c:v>
                </c:pt>
                <c:pt idx="1">
                  <c:v>302470000</c:v>
                </c:pt>
                <c:pt idx="2">
                  <c:v>14710000000</c:v>
                </c:pt>
                <c:pt idx="3">
                  <c:v>5429000000</c:v>
                </c:pt>
              </c:numCache>
            </c:numRef>
          </c:val>
          <c:extLst>
            <c:ext xmlns:c16="http://schemas.microsoft.com/office/drawing/2014/chart" uri="{C3380CC4-5D6E-409C-BE32-E72D297353CC}">
              <c16:uniqueId val="{00000000-37DD-462F-BA55-C3E2028366B1}"/>
            </c:ext>
          </c:extLst>
        </c:ser>
        <c:dLbls>
          <c:showLegendKey val="0"/>
          <c:showVal val="0"/>
          <c:showCatName val="0"/>
          <c:showSerName val="0"/>
          <c:showPercent val="0"/>
          <c:showBubbleSize val="0"/>
        </c:dLbls>
        <c:gapWidth val="219"/>
        <c:axId val="180370240"/>
        <c:axId val="180370720"/>
      </c:barChart>
      <c:catAx>
        <c:axId val="18037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80370720"/>
        <c:crosses val="autoZero"/>
        <c:auto val="1"/>
        <c:lblAlgn val="ctr"/>
        <c:lblOffset val="100"/>
        <c:noMultiLvlLbl val="0"/>
      </c:catAx>
      <c:valAx>
        <c:axId val="180370720"/>
        <c:scaling>
          <c:orientation val="minMax"/>
        </c:scaling>
        <c:delete val="0"/>
        <c:axPos val="l"/>
        <c:numFmt formatCode="&quot;$&quot;#,##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80370240"/>
        <c:crosses val="autoZero"/>
        <c:crossBetween val="between"/>
        <c:dispUnits>
          <c:builtInUnit val="millions"/>
          <c:dispUnitsLbl>
            <c:spPr>
              <a:noFill/>
              <a:ln>
                <a:noFill/>
              </a:ln>
              <a:effectLst/>
            </c:spPr>
            <c:txPr>
              <a:bodyPr rot="-54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400">
          <a:solidFill>
            <a:schemeClr val="tx2"/>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t>EPS Trends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ChartData!$H$18</c:f>
              <c:strCache>
                <c:ptCount val="1"/>
                <c:pt idx="0">
                  <c:v>Chipotle</c:v>
                </c:pt>
              </c:strCache>
            </c:strRef>
          </c:tx>
          <c:spPr>
            <a:ln w="38100" cap="rnd">
              <a:solidFill>
                <a:schemeClr val="accent1"/>
              </a:solidFill>
              <a:round/>
            </a:ln>
            <a:effectLst/>
          </c:spPr>
          <c:marker>
            <c:symbol val="diamond"/>
            <c:size val="10"/>
            <c:spPr>
              <a:solidFill>
                <a:schemeClr val="accent1"/>
              </a:solidFill>
              <a:ln w="9525">
                <a:solidFill>
                  <a:schemeClr val="accent1"/>
                </a:solidFill>
              </a:ln>
              <a:effectLst/>
            </c:spPr>
          </c:marker>
          <c:cat>
            <c:numRef>
              <c:f>ChartData!$I$17:$L$17</c:f>
              <c:numCache>
                <c:formatCode>General</c:formatCode>
                <c:ptCount val="4"/>
                <c:pt idx="0">
                  <c:v>2024</c:v>
                </c:pt>
                <c:pt idx="1">
                  <c:v>2023</c:v>
                </c:pt>
                <c:pt idx="2">
                  <c:v>2022</c:v>
                </c:pt>
                <c:pt idx="3">
                  <c:v>2021</c:v>
                </c:pt>
              </c:numCache>
            </c:numRef>
          </c:cat>
          <c:val>
            <c:numRef>
              <c:f>ChartData!$I$18:$L$18</c:f>
              <c:numCache>
                <c:formatCode>0.00</c:formatCode>
                <c:ptCount val="4"/>
                <c:pt idx="0">
                  <c:v>1.1211467910022364</c:v>
                </c:pt>
                <c:pt idx="1">
                  <c:v>0.8918324538928849</c:v>
                </c:pt>
                <c:pt idx="2">
                  <c:v>0.64565470291697191</c:v>
                </c:pt>
                <c:pt idx="3">
                  <c:v>0.46422579269159681</c:v>
                </c:pt>
              </c:numCache>
            </c:numRef>
          </c:val>
          <c:smooth val="0"/>
          <c:extLst>
            <c:ext xmlns:c16="http://schemas.microsoft.com/office/drawing/2014/chart" uri="{C3380CC4-5D6E-409C-BE32-E72D297353CC}">
              <c16:uniqueId val="{00000000-8AD7-4DB6-A973-AF7E34FA55FD}"/>
            </c:ext>
          </c:extLst>
        </c:ser>
        <c:ser>
          <c:idx val="1"/>
          <c:order val="1"/>
          <c:tx>
            <c:strRef>
              <c:f>ChartData!$H$19</c:f>
              <c:strCache>
                <c:ptCount val="1"/>
                <c:pt idx="0">
                  <c:v>Shake Shack</c:v>
                </c:pt>
              </c:strCache>
            </c:strRef>
          </c:tx>
          <c:spPr>
            <a:ln w="38100" cap="rnd">
              <a:solidFill>
                <a:schemeClr val="accent2"/>
              </a:solidFill>
              <a:round/>
            </a:ln>
            <a:effectLst/>
          </c:spPr>
          <c:marker>
            <c:symbol val="diamond"/>
            <c:size val="10"/>
            <c:spPr>
              <a:solidFill>
                <a:schemeClr val="accent2"/>
              </a:solidFill>
              <a:ln w="9525">
                <a:solidFill>
                  <a:schemeClr val="accent2"/>
                </a:solidFill>
              </a:ln>
              <a:effectLst/>
            </c:spPr>
          </c:marker>
          <c:cat>
            <c:numRef>
              <c:f>ChartData!$I$17:$L$17</c:f>
              <c:numCache>
                <c:formatCode>General</c:formatCode>
                <c:ptCount val="4"/>
                <c:pt idx="0">
                  <c:v>2024</c:v>
                </c:pt>
                <c:pt idx="1">
                  <c:v>2023</c:v>
                </c:pt>
                <c:pt idx="2">
                  <c:v>2022</c:v>
                </c:pt>
                <c:pt idx="3">
                  <c:v>2021</c:v>
                </c:pt>
              </c:numCache>
            </c:numRef>
          </c:cat>
          <c:val>
            <c:numRef>
              <c:f>ChartData!$I$19:$L$19</c:f>
              <c:numCache>
                <c:formatCode>0.00</c:formatCode>
                <c:ptCount val="4"/>
                <c:pt idx="0">
                  <c:v>0.25633944263118258</c:v>
                </c:pt>
                <c:pt idx="1">
                  <c:v>0.51395230847285645</c:v>
                </c:pt>
                <c:pt idx="2">
                  <c:v>-0.54102956167176353</c:v>
                </c:pt>
                <c:pt idx="3">
                  <c:v>-0.11665387567152723</c:v>
                </c:pt>
              </c:numCache>
            </c:numRef>
          </c:val>
          <c:smooth val="0"/>
          <c:extLst>
            <c:ext xmlns:c16="http://schemas.microsoft.com/office/drawing/2014/chart" uri="{C3380CC4-5D6E-409C-BE32-E72D297353CC}">
              <c16:uniqueId val="{00000001-8AD7-4DB6-A973-AF7E34FA55FD}"/>
            </c:ext>
          </c:extLst>
        </c:ser>
        <c:ser>
          <c:idx val="2"/>
          <c:order val="2"/>
          <c:tx>
            <c:strRef>
              <c:f>ChartData!$H$20</c:f>
              <c:strCache>
                <c:ptCount val="1"/>
                <c:pt idx="0">
                  <c:v>McDonalds</c:v>
                </c:pt>
              </c:strCache>
            </c:strRef>
          </c:tx>
          <c:spPr>
            <a:ln w="38100" cap="rnd">
              <a:solidFill>
                <a:schemeClr val="accent3"/>
              </a:solidFill>
              <a:round/>
            </a:ln>
            <a:effectLst/>
          </c:spPr>
          <c:marker>
            <c:symbol val="diamond"/>
            <c:size val="10"/>
            <c:spPr>
              <a:solidFill>
                <a:schemeClr val="accent3"/>
              </a:solidFill>
              <a:ln w="9525">
                <a:solidFill>
                  <a:schemeClr val="accent3"/>
                </a:solidFill>
              </a:ln>
              <a:effectLst/>
            </c:spPr>
          </c:marker>
          <c:cat>
            <c:numRef>
              <c:f>ChartData!$I$17:$L$17</c:f>
              <c:numCache>
                <c:formatCode>General</c:formatCode>
                <c:ptCount val="4"/>
                <c:pt idx="0">
                  <c:v>2024</c:v>
                </c:pt>
                <c:pt idx="1">
                  <c:v>2023</c:v>
                </c:pt>
                <c:pt idx="2">
                  <c:v>2022</c:v>
                </c:pt>
                <c:pt idx="3">
                  <c:v>2021</c:v>
                </c:pt>
              </c:numCache>
            </c:numRef>
          </c:cat>
          <c:val>
            <c:numRef>
              <c:f>ChartData!$I$20:$L$20</c:f>
              <c:numCache>
                <c:formatCode>0.00</c:formatCode>
                <c:ptCount val="4"/>
                <c:pt idx="0">
                  <c:v>11.44786300988445</c:v>
                </c:pt>
                <c:pt idx="1">
                  <c:v>11.634839950542657</c:v>
                </c:pt>
                <c:pt idx="2">
                  <c:v>8.3869653767820775</c:v>
                </c:pt>
                <c:pt idx="3">
                  <c:v>10.110143373978293</c:v>
                </c:pt>
              </c:numCache>
            </c:numRef>
          </c:val>
          <c:smooth val="0"/>
          <c:extLst>
            <c:ext xmlns:c16="http://schemas.microsoft.com/office/drawing/2014/chart" uri="{C3380CC4-5D6E-409C-BE32-E72D297353CC}">
              <c16:uniqueId val="{00000002-8AD7-4DB6-A973-AF7E34FA55FD}"/>
            </c:ext>
          </c:extLst>
        </c:ser>
        <c:ser>
          <c:idx val="3"/>
          <c:order val="3"/>
          <c:tx>
            <c:strRef>
              <c:f>ChartData!$H$21</c:f>
              <c:strCache>
                <c:ptCount val="1"/>
                <c:pt idx="0">
                  <c:v>Yum</c:v>
                </c:pt>
              </c:strCache>
            </c:strRef>
          </c:tx>
          <c:spPr>
            <a:ln w="38100" cap="rnd">
              <a:solidFill>
                <a:schemeClr val="accent4"/>
              </a:solidFill>
              <a:round/>
            </a:ln>
            <a:effectLst/>
          </c:spPr>
          <c:marker>
            <c:symbol val="diamond"/>
            <c:size val="10"/>
            <c:spPr>
              <a:solidFill>
                <a:schemeClr val="accent4"/>
              </a:solidFill>
              <a:ln w="9525">
                <a:solidFill>
                  <a:schemeClr val="accent4"/>
                </a:solidFill>
              </a:ln>
              <a:effectLst/>
            </c:spPr>
          </c:marker>
          <c:cat>
            <c:numRef>
              <c:f>ChartData!$I$17:$L$17</c:f>
              <c:numCache>
                <c:formatCode>General</c:formatCode>
                <c:ptCount val="4"/>
                <c:pt idx="0">
                  <c:v>2024</c:v>
                </c:pt>
                <c:pt idx="1">
                  <c:v>2023</c:v>
                </c:pt>
                <c:pt idx="2">
                  <c:v>2022</c:v>
                </c:pt>
                <c:pt idx="3">
                  <c:v>2021</c:v>
                </c:pt>
              </c:numCache>
            </c:numRef>
          </c:cat>
          <c:val>
            <c:numRef>
              <c:f>ChartData!$I$21:$L$21</c:f>
              <c:numCache>
                <c:formatCode>0.00</c:formatCode>
                <c:ptCount val="4"/>
                <c:pt idx="0">
                  <c:v>5.2695035460992905</c:v>
                </c:pt>
                <c:pt idx="1">
                  <c:v>5.6832740213523127</c:v>
                </c:pt>
                <c:pt idx="2">
                  <c:v>4.6328671328671325</c:v>
                </c:pt>
                <c:pt idx="3">
                  <c:v>5.3030303030303028</c:v>
                </c:pt>
              </c:numCache>
            </c:numRef>
          </c:val>
          <c:smooth val="0"/>
          <c:extLst>
            <c:ext xmlns:c16="http://schemas.microsoft.com/office/drawing/2014/chart" uri="{C3380CC4-5D6E-409C-BE32-E72D297353CC}">
              <c16:uniqueId val="{00000003-8AD7-4DB6-A973-AF7E34FA55FD}"/>
            </c:ext>
          </c:extLst>
        </c:ser>
        <c:dLbls>
          <c:showLegendKey val="0"/>
          <c:showVal val="0"/>
          <c:showCatName val="0"/>
          <c:showSerName val="0"/>
          <c:showPercent val="0"/>
          <c:showBubbleSize val="0"/>
        </c:dLbls>
        <c:marker val="1"/>
        <c:smooth val="0"/>
        <c:axId val="1384147200"/>
        <c:axId val="1384145760"/>
      </c:lineChart>
      <c:catAx>
        <c:axId val="138414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crossAx val="1384145760"/>
        <c:crosses val="autoZero"/>
        <c:auto val="1"/>
        <c:lblAlgn val="ctr"/>
        <c:lblOffset val="100"/>
        <c:noMultiLvlLbl val="0"/>
      </c:catAx>
      <c:valAx>
        <c:axId val="1384145760"/>
        <c:scaling>
          <c:orientation val="minMax"/>
        </c:scaling>
        <c:delete val="0"/>
        <c:axPos val="l"/>
        <c:majorGridlines>
          <c:spPr>
            <a:ln w="9525" cap="flat" cmpd="sng" algn="ctr">
              <a:solidFill>
                <a:schemeClr val="bg1">
                  <a:alpha val="2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crossAx val="138414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chemeClr val="tx2"/>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2"/>
                </a:solidFill>
                <a:latin typeface="+mn-lt"/>
                <a:ea typeface="+mn-ea"/>
                <a:cs typeface="+mn-cs"/>
              </a:defRPr>
            </a:pPr>
            <a:r>
              <a:rPr lang="en-US" b="1"/>
              <a:t>Sales YOY</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ChartData!$N$4</c:f>
              <c:strCache>
                <c:ptCount val="1"/>
                <c:pt idx="0">
                  <c:v>Chipotle</c:v>
                </c:pt>
              </c:strCache>
            </c:strRef>
          </c:tx>
          <c:spPr>
            <a:ln w="38100" cap="rnd">
              <a:solidFill>
                <a:schemeClr val="accent1"/>
              </a:solidFill>
              <a:round/>
            </a:ln>
            <a:effectLst/>
          </c:spPr>
          <c:marker>
            <c:symbol val="diamond"/>
            <c:size val="10"/>
            <c:spPr>
              <a:solidFill>
                <a:schemeClr val="accent1"/>
              </a:solidFill>
              <a:ln w="9525">
                <a:solidFill>
                  <a:schemeClr val="accent1"/>
                </a:solidFill>
              </a:ln>
              <a:effectLst/>
            </c:spPr>
          </c:marker>
          <c:cat>
            <c:numRef>
              <c:f>ChartData!$O$3:$R$3</c:f>
              <c:numCache>
                <c:formatCode>General</c:formatCode>
                <c:ptCount val="4"/>
                <c:pt idx="0">
                  <c:v>2024</c:v>
                </c:pt>
                <c:pt idx="1">
                  <c:v>2023</c:v>
                </c:pt>
                <c:pt idx="2">
                  <c:v>2022</c:v>
                </c:pt>
                <c:pt idx="3">
                  <c:v>2021</c:v>
                </c:pt>
              </c:numCache>
            </c:numRef>
          </c:cat>
          <c:val>
            <c:numRef>
              <c:f>ChartData!$O$4:$R$4</c:f>
              <c:numCache>
                <c:formatCode>"$"#,##0.00</c:formatCode>
                <c:ptCount val="4"/>
                <c:pt idx="0">
                  <c:v>11313.85</c:v>
                </c:pt>
                <c:pt idx="1">
                  <c:v>9871.65</c:v>
                </c:pt>
                <c:pt idx="2">
                  <c:v>8634.65</c:v>
                </c:pt>
                <c:pt idx="3">
                  <c:v>7547.06</c:v>
                </c:pt>
              </c:numCache>
            </c:numRef>
          </c:val>
          <c:smooth val="0"/>
          <c:extLst>
            <c:ext xmlns:c16="http://schemas.microsoft.com/office/drawing/2014/chart" uri="{C3380CC4-5D6E-409C-BE32-E72D297353CC}">
              <c16:uniqueId val="{00000000-A658-42C3-A839-065D484A3E4C}"/>
            </c:ext>
          </c:extLst>
        </c:ser>
        <c:ser>
          <c:idx val="1"/>
          <c:order val="1"/>
          <c:tx>
            <c:strRef>
              <c:f>ChartData!$N$5</c:f>
              <c:strCache>
                <c:ptCount val="1"/>
                <c:pt idx="0">
                  <c:v>Shake Shack</c:v>
                </c:pt>
              </c:strCache>
            </c:strRef>
          </c:tx>
          <c:spPr>
            <a:ln w="38100" cap="rnd">
              <a:solidFill>
                <a:schemeClr val="accent2"/>
              </a:solidFill>
              <a:round/>
            </a:ln>
            <a:effectLst/>
          </c:spPr>
          <c:marker>
            <c:symbol val="diamond"/>
            <c:size val="10"/>
            <c:spPr>
              <a:solidFill>
                <a:schemeClr val="accent2"/>
              </a:solidFill>
              <a:ln w="9525">
                <a:solidFill>
                  <a:schemeClr val="accent2"/>
                </a:solidFill>
              </a:ln>
              <a:effectLst/>
            </c:spPr>
          </c:marker>
          <c:cat>
            <c:numRef>
              <c:f>ChartData!$O$3:$R$3</c:f>
              <c:numCache>
                <c:formatCode>General</c:formatCode>
                <c:ptCount val="4"/>
                <c:pt idx="0">
                  <c:v>2024</c:v>
                </c:pt>
                <c:pt idx="1">
                  <c:v>2023</c:v>
                </c:pt>
                <c:pt idx="2">
                  <c:v>2022</c:v>
                </c:pt>
                <c:pt idx="3">
                  <c:v>2021</c:v>
                </c:pt>
              </c:numCache>
            </c:numRef>
          </c:cat>
          <c:val>
            <c:numRef>
              <c:f>ChartData!$O$5:$R$5</c:f>
              <c:numCache>
                <c:formatCode>"$"#,##0.00</c:formatCode>
                <c:ptCount val="4"/>
                <c:pt idx="0">
                  <c:v>1252.6099999999999</c:v>
                </c:pt>
                <c:pt idx="1">
                  <c:v>1087.53</c:v>
                </c:pt>
                <c:pt idx="2">
                  <c:v>900.49</c:v>
                </c:pt>
                <c:pt idx="3">
                  <c:v>739.89</c:v>
                </c:pt>
              </c:numCache>
            </c:numRef>
          </c:val>
          <c:smooth val="0"/>
          <c:extLst>
            <c:ext xmlns:c16="http://schemas.microsoft.com/office/drawing/2014/chart" uri="{C3380CC4-5D6E-409C-BE32-E72D297353CC}">
              <c16:uniqueId val="{00000001-A658-42C3-A839-065D484A3E4C}"/>
            </c:ext>
          </c:extLst>
        </c:ser>
        <c:ser>
          <c:idx val="2"/>
          <c:order val="2"/>
          <c:tx>
            <c:strRef>
              <c:f>ChartData!$N$6</c:f>
              <c:strCache>
                <c:ptCount val="1"/>
                <c:pt idx="0">
                  <c:v>McDonalds</c:v>
                </c:pt>
              </c:strCache>
            </c:strRef>
          </c:tx>
          <c:spPr>
            <a:ln w="38100" cap="rnd">
              <a:solidFill>
                <a:schemeClr val="accent3"/>
              </a:solidFill>
              <a:round/>
            </a:ln>
            <a:effectLst/>
          </c:spPr>
          <c:marker>
            <c:symbol val="diamond"/>
            <c:size val="10"/>
            <c:spPr>
              <a:solidFill>
                <a:schemeClr val="accent3"/>
              </a:solidFill>
              <a:ln w="9525">
                <a:solidFill>
                  <a:schemeClr val="accent3"/>
                </a:solidFill>
              </a:ln>
              <a:effectLst/>
            </c:spPr>
          </c:marker>
          <c:cat>
            <c:numRef>
              <c:f>ChartData!$O$3:$R$3</c:f>
              <c:numCache>
                <c:formatCode>General</c:formatCode>
                <c:ptCount val="4"/>
                <c:pt idx="0">
                  <c:v>2024</c:v>
                </c:pt>
                <c:pt idx="1">
                  <c:v>2023</c:v>
                </c:pt>
                <c:pt idx="2">
                  <c:v>2022</c:v>
                </c:pt>
                <c:pt idx="3">
                  <c:v>2021</c:v>
                </c:pt>
              </c:numCache>
            </c:numRef>
          </c:cat>
          <c:val>
            <c:numRef>
              <c:f>ChartData!$O$6:$R$6</c:f>
              <c:numCache>
                <c:formatCode>"$"#,##0.00</c:formatCode>
                <c:ptCount val="4"/>
                <c:pt idx="0">
                  <c:v>25920</c:v>
                </c:pt>
                <c:pt idx="1">
                  <c:v>25494</c:v>
                </c:pt>
                <c:pt idx="2">
                  <c:v>23183</c:v>
                </c:pt>
                <c:pt idx="3">
                  <c:v>23222.9</c:v>
                </c:pt>
              </c:numCache>
            </c:numRef>
          </c:val>
          <c:smooth val="0"/>
          <c:extLst>
            <c:ext xmlns:c16="http://schemas.microsoft.com/office/drawing/2014/chart" uri="{C3380CC4-5D6E-409C-BE32-E72D297353CC}">
              <c16:uniqueId val="{00000002-A658-42C3-A839-065D484A3E4C}"/>
            </c:ext>
          </c:extLst>
        </c:ser>
        <c:ser>
          <c:idx val="3"/>
          <c:order val="3"/>
          <c:tx>
            <c:strRef>
              <c:f>ChartData!$N$7</c:f>
              <c:strCache>
                <c:ptCount val="1"/>
                <c:pt idx="0">
                  <c:v>Yum</c:v>
                </c:pt>
              </c:strCache>
            </c:strRef>
          </c:tx>
          <c:spPr>
            <a:ln w="38100" cap="rnd">
              <a:solidFill>
                <a:schemeClr val="accent4"/>
              </a:solidFill>
              <a:round/>
            </a:ln>
            <a:effectLst/>
          </c:spPr>
          <c:marker>
            <c:symbol val="diamond"/>
            <c:size val="10"/>
            <c:spPr>
              <a:solidFill>
                <a:schemeClr val="accent4"/>
              </a:solidFill>
              <a:ln w="9525">
                <a:solidFill>
                  <a:schemeClr val="accent4"/>
                </a:solidFill>
              </a:ln>
              <a:effectLst/>
            </c:spPr>
          </c:marker>
          <c:cat>
            <c:numRef>
              <c:f>ChartData!$O$3:$R$3</c:f>
              <c:numCache>
                <c:formatCode>General</c:formatCode>
                <c:ptCount val="4"/>
                <c:pt idx="0">
                  <c:v>2024</c:v>
                </c:pt>
                <c:pt idx="1">
                  <c:v>2023</c:v>
                </c:pt>
                <c:pt idx="2">
                  <c:v>2022</c:v>
                </c:pt>
                <c:pt idx="3">
                  <c:v>2021</c:v>
                </c:pt>
              </c:numCache>
            </c:numRef>
          </c:cat>
          <c:val>
            <c:numRef>
              <c:f>ChartData!$O$7:$R$7</c:f>
              <c:numCache>
                <c:formatCode>"$"#,##0.00</c:formatCode>
                <c:ptCount val="4"/>
                <c:pt idx="0">
                  <c:v>7549</c:v>
                </c:pt>
                <c:pt idx="1">
                  <c:v>7076</c:v>
                </c:pt>
                <c:pt idx="2">
                  <c:v>6842</c:v>
                </c:pt>
                <c:pt idx="3">
                  <c:v>6584</c:v>
                </c:pt>
              </c:numCache>
            </c:numRef>
          </c:val>
          <c:smooth val="0"/>
          <c:extLst>
            <c:ext xmlns:c16="http://schemas.microsoft.com/office/drawing/2014/chart" uri="{C3380CC4-5D6E-409C-BE32-E72D297353CC}">
              <c16:uniqueId val="{00000003-A658-42C3-A839-065D484A3E4C}"/>
            </c:ext>
          </c:extLst>
        </c:ser>
        <c:dLbls>
          <c:showLegendKey val="0"/>
          <c:showVal val="0"/>
          <c:showCatName val="0"/>
          <c:showSerName val="0"/>
          <c:showPercent val="0"/>
          <c:showBubbleSize val="0"/>
        </c:dLbls>
        <c:marker val="1"/>
        <c:smooth val="0"/>
        <c:axId val="5681008"/>
        <c:axId val="5682928"/>
      </c:lineChart>
      <c:catAx>
        <c:axId val="568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5682928"/>
        <c:crosses val="autoZero"/>
        <c:auto val="1"/>
        <c:lblAlgn val="ctr"/>
        <c:lblOffset val="100"/>
        <c:noMultiLvlLbl val="0"/>
      </c:catAx>
      <c:valAx>
        <c:axId val="5682928"/>
        <c:scaling>
          <c:orientation val="minMax"/>
        </c:scaling>
        <c:delete val="0"/>
        <c:axPos val="l"/>
        <c:majorGridlines>
          <c:spPr>
            <a:ln w="9525" cap="flat" cmpd="sng" algn="ctr">
              <a:solidFill>
                <a:schemeClr val="bg1">
                  <a:alpha val="2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5681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400">
          <a:solidFill>
            <a:schemeClr val="tx2"/>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2"/>
                </a:solidFill>
                <a:latin typeface="+mn-lt"/>
                <a:ea typeface="+mn-ea"/>
                <a:cs typeface="+mn-cs"/>
              </a:defRPr>
            </a:pPr>
            <a:r>
              <a:rPr lang="en-US" b="1"/>
              <a:t>Gross Profits YOY</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ChartData!$N$11</c:f>
              <c:strCache>
                <c:ptCount val="1"/>
                <c:pt idx="0">
                  <c:v>Chipotle</c:v>
                </c:pt>
              </c:strCache>
            </c:strRef>
          </c:tx>
          <c:spPr>
            <a:ln w="38100" cap="rnd">
              <a:solidFill>
                <a:schemeClr val="accent1"/>
              </a:solidFill>
              <a:round/>
            </a:ln>
            <a:effectLst/>
          </c:spPr>
          <c:marker>
            <c:symbol val="diamond"/>
            <c:size val="10"/>
            <c:spPr>
              <a:solidFill>
                <a:schemeClr val="accent1"/>
              </a:solidFill>
              <a:ln w="9525">
                <a:solidFill>
                  <a:schemeClr val="accent1"/>
                </a:solidFill>
              </a:ln>
              <a:effectLst/>
            </c:spPr>
          </c:marker>
          <c:cat>
            <c:strRef>
              <c:f>ChartData!$O$10:$Q$10</c:f>
              <c:strCache>
                <c:ptCount val="3"/>
                <c:pt idx="0">
                  <c:v>YOY % Change
2024 2023</c:v>
                </c:pt>
                <c:pt idx="1">
                  <c:v>YOY % Change
2023 2022</c:v>
                </c:pt>
                <c:pt idx="2">
                  <c:v>YOY % Change
2022 2021</c:v>
                </c:pt>
              </c:strCache>
            </c:strRef>
          </c:cat>
          <c:val>
            <c:numRef>
              <c:f>ChartData!$O$11:$Q$11</c:f>
              <c:numCache>
                <c:formatCode>0.00%</c:formatCode>
                <c:ptCount val="3"/>
                <c:pt idx="0">
                  <c:v>0.16689287689136878</c:v>
                </c:pt>
                <c:pt idx="1">
                  <c:v>0.25409287529338753</c:v>
                </c:pt>
                <c:pt idx="2">
                  <c:v>0.20803041575620523</c:v>
                </c:pt>
              </c:numCache>
            </c:numRef>
          </c:val>
          <c:smooth val="0"/>
          <c:extLst>
            <c:ext xmlns:c16="http://schemas.microsoft.com/office/drawing/2014/chart" uri="{C3380CC4-5D6E-409C-BE32-E72D297353CC}">
              <c16:uniqueId val="{00000000-E00B-4240-8580-E8B989682087}"/>
            </c:ext>
          </c:extLst>
        </c:ser>
        <c:ser>
          <c:idx val="1"/>
          <c:order val="1"/>
          <c:tx>
            <c:strRef>
              <c:f>ChartData!$N$12</c:f>
              <c:strCache>
                <c:ptCount val="1"/>
                <c:pt idx="0">
                  <c:v>Shake Shack</c:v>
                </c:pt>
              </c:strCache>
            </c:strRef>
          </c:tx>
          <c:spPr>
            <a:ln w="38100" cap="rnd">
              <a:solidFill>
                <a:schemeClr val="accent2"/>
              </a:solidFill>
              <a:round/>
            </a:ln>
            <a:effectLst/>
          </c:spPr>
          <c:marker>
            <c:symbol val="diamond"/>
            <c:size val="10"/>
            <c:spPr>
              <a:solidFill>
                <a:schemeClr val="accent2"/>
              </a:solidFill>
              <a:ln w="9525">
                <a:solidFill>
                  <a:schemeClr val="accent2"/>
                </a:solidFill>
              </a:ln>
              <a:effectLst/>
            </c:spPr>
          </c:marker>
          <c:cat>
            <c:strRef>
              <c:f>ChartData!$O$10:$Q$10</c:f>
              <c:strCache>
                <c:ptCount val="3"/>
                <c:pt idx="0">
                  <c:v>YOY % Change
2024 2023</c:v>
                </c:pt>
                <c:pt idx="1">
                  <c:v>YOY % Change
2023 2022</c:v>
                </c:pt>
                <c:pt idx="2">
                  <c:v>YOY % Change
2022 2021</c:v>
                </c:pt>
              </c:strCache>
            </c:strRef>
          </c:cat>
          <c:val>
            <c:numRef>
              <c:f>ChartData!$O$12:$Q$12</c:f>
              <c:numCache>
                <c:formatCode>0.00%</c:formatCode>
                <c:ptCount val="3"/>
                <c:pt idx="0">
                  <c:v>0.21503173455451124</c:v>
                </c:pt>
                <c:pt idx="1">
                  <c:v>0.35743497464420099</c:v>
                </c:pt>
                <c:pt idx="2">
                  <c:v>0.26249483684427921</c:v>
                </c:pt>
              </c:numCache>
            </c:numRef>
          </c:val>
          <c:smooth val="0"/>
          <c:extLst>
            <c:ext xmlns:c16="http://schemas.microsoft.com/office/drawing/2014/chart" uri="{C3380CC4-5D6E-409C-BE32-E72D297353CC}">
              <c16:uniqueId val="{00000001-E00B-4240-8580-E8B989682087}"/>
            </c:ext>
          </c:extLst>
        </c:ser>
        <c:ser>
          <c:idx val="2"/>
          <c:order val="2"/>
          <c:tx>
            <c:strRef>
              <c:f>ChartData!$N$13</c:f>
              <c:strCache>
                <c:ptCount val="1"/>
                <c:pt idx="0">
                  <c:v>McDonalds</c:v>
                </c:pt>
              </c:strCache>
            </c:strRef>
          </c:tx>
          <c:spPr>
            <a:ln w="38100" cap="rnd">
              <a:solidFill>
                <a:schemeClr val="accent3"/>
              </a:solidFill>
              <a:round/>
            </a:ln>
            <a:effectLst/>
          </c:spPr>
          <c:marker>
            <c:symbol val="diamond"/>
            <c:size val="10"/>
            <c:spPr>
              <a:solidFill>
                <a:schemeClr val="accent3"/>
              </a:solidFill>
              <a:ln w="9525">
                <a:solidFill>
                  <a:schemeClr val="accent3"/>
                </a:solidFill>
              </a:ln>
              <a:effectLst/>
            </c:spPr>
          </c:marker>
          <c:cat>
            <c:strRef>
              <c:f>ChartData!$O$10:$Q$10</c:f>
              <c:strCache>
                <c:ptCount val="3"/>
                <c:pt idx="0">
                  <c:v>YOY % Change
2024 2023</c:v>
                </c:pt>
                <c:pt idx="1">
                  <c:v>YOY % Change
2023 2022</c:v>
                </c:pt>
                <c:pt idx="2">
                  <c:v>YOY % Change
2022 2021</c:v>
                </c:pt>
              </c:strCache>
            </c:strRef>
          </c:cat>
          <c:val>
            <c:numRef>
              <c:f>ChartData!$O$13:$Q$13</c:f>
              <c:numCache>
                <c:formatCode>0.00%</c:formatCode>
                <c:ptCount val="3"/>
                <c:pt idx="0">
                  <c:v>1.0094074023209504E-2</c:v>
                </c:pt>
                <c:pt idx="1">
                  <c:v>0.1025893397940642</c:v>
                </c:pt>
                <c:pt idx="2">
                  <c:v>4.990381710942586E-2</c:v>
                </c:pt>
              </c:numCache>
            </c:numRef>
          </c:val>
          <c:smooth val="0"/>
          <c:extLst>
            <c:ext xmlns:c16="http://schemas.microsoft.com/office/drawing/2014/chart" uri="{C3380CC4-5D6E-409C-BE32-E72D297353CC}">
              <c16:uniqueId val="{00000002-E00B-4240-8580-E8B989682087}"/>
            </c:ext>
          </c:extLst>
        </c:ser>
        <c:ser>
          <c:idx val="3"/>
          <c:order val="3"/>
          <c:tx>
            <c:strRef>
              <c:f>ChartData!$N$14</c:f>
              <c:strCache>
                <c:ptCount val="1"/>
                <c:pt idx="0">
                  <c:v>Yum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ChartData!$O$10:$Q$10</c:f>
              <c:strCache>
                <c:ptCount val="3"/>
                <c:pt idx="0">
                  <c:v>YOY % Change
2024 2023</c:v>
                </c:pt>
                <c:pt idx="1">
                  <c:v>YOY % Change
2023 2022</c:v>
                </c:pt>
                <c:pt idx="2">
                  <c:v>YOY % Change
2022 2021</c:v>
                </c:pt>
              </c:strCache>
            </c:strRef>
          </c:cat>
          <c:val>
            <c:numRef>
              <c:f>ChartData!$O$14:$Q$14</c:f>
              <c:numCache>
                <c:formatCode>0.00%</c:formatCode>
                <c:ptCount val="3"/>
                <c:pt idx="0">
                  <c:v>2.3953225198038476E-2</c:v>
                </c:pt>
                <c:pt idx="1">
                  <c:v>4.0219737100255053E-2</c:v>
                </c:pt>
                <c:pt idx="2">
                  <c:v>4.8981271866639225E-2</c:v>
                </c:pt>
              </c:numCache>
            </c:numRef>
          </c:val>
          <c:smooth val="0"/>
          <c:extLst>
            <c:ext xmlns:c16="http://schemas.microsoft.com/office/drawing/2014/chart" uri="{C3380CC4-5D6E-409C-BE32-E72D297353CC}">
              <c16:uniqueId val="{00000003-E00B-4240-8580-E8B989682087}"/>
            </c:ext>
          </c:extLst>
        </c:ser>
        <c:dLbls>
          <c:showLegendKey val="0"/>
          <c:showVal val="0"/>
          <c:showCatName val="0"/>
          <c:showSerName val="0"/>
          <c:showPercent val="0"/>
          <c:showBubbleSize val="0"/>
        </c:dLbls>
        <c:marker val="1"/>
        <c:smooth val="0"/>
        <c:axId val="1726886480"/>
        <c:axId val="1726890800"/>
      </c:lineChart>
      <c:catAx>
        <c:axId val="172688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726890800"/>
        <c:crosses val="autoZero"/>
        <c:auto val="1"/>
        <c:lblAlgn val="ctr"/>
        <c:lblOffset val="100"/>
        <c:noMultiLvlLbl val="0"/>
      </c:catAx>
      <c:valAx>
        <c:axId val="1726890800"/>
        <c:scaling>
          <c:orientation val="minMax"/>
        </c:scaling>
        <c:delete val="0"/>
        <c:axPos val="l"/>
        <c:majorGridlines>
          <c:spPr>
            <a:ln w="9525" cap="flat" cmpd="sng" algn="ctr">
              <a:solidFill>
                <a:schemeClr val="accent1">
                  <a:alpha val="2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726886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tx2"/>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sz="1680">
                <a:solidFill>
                  <a:schemeClr val="tx1">
                    <a:lumMod val="65000"/>
                    <a:lumOff val="35000"/>
                  </a:schemeClr>
                </a:solidFill>
              </a:rPr>
              <a:t>P/E and</a:t>
            </a:r>
            <a:r>
              <a:rPr lang="en-US" sz="1680" baseline="0">
                <a:solidFill>
                  <a:schemeClr val="tx1">
                    <a:lumMod val="65000"/>
                    <a:lumOff val="35000"/>
                  </a:schemeClr>
                </a:solidFill>
              </a:rPr>
              <a:t> EPS by Company</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Sheet1!$I$18</c:f>
              <c:strCache>
                <c:ptCount val="1"/>
                <c:pt idx="0">
                  <c:v>P/E Ratio</c:v>
                </c:pt>
              </c:strCache>
            </c:strRef>
          </c:tx>
          <c:spPr>
            <a:ln w="28575" cap="rnd">
              <a:solidFill>
                <a:schemeClr val="accent1"/>
              </a:solidFill>
              <a:round/>
            </a:ln>
            <a:effectLst/>
          </c:spPr>
          <c:marker>
            <c:symbol val="none"/>
          </c:marker>
          <c:cat>
            <c:strRef>
              <c:f>Sheet1!$H$19:$H$22</c:f>
              <c:strCache>
                <c:ptCount val="4"/>
                <c:pt idx="0">
                  <c:v>SHAK</c:v>
                </c:pt>
                <c:pt idx="1">
                  <c:v>CMG</c:v>
                </c:pt>
                <c:pt idx="2">
                  <c:v>MCD</c:v>
                </c:pt>
                <c:pt idx="3">
                  <c:v>YUM</c:v>
                </c:pt>
              </c:strCache>
            </c:strRef>
          </c:cat>
          <c:val>
            <c:numRef>
              <c:f>Sheet1!$I$19:$I$22</c:f>
              <c:numCache>
                <c:formatCode>0.00</c:formatCode>
                <c:ptCount val="4"/>
                <c:pt idx="0">
                  <c:v>55</c:v>
                </c:pt>
                <c:pt idx="1">
                  <c:v>25</c:v>
                </c:pt>
                <c:pt idx="2">
                  <c:v>28</c:v>
                </c:pt>
                <c:pt idx="3">
                  <c:v>90</c:v>
                </c:pt>
              </c:numCache>
            </c:numRef>
          </c:val>
          <c:extLst>
            <c:ext xmlns:c16="http://schemas.microsoft.com/office/drawing/2014/chart" uri="{C3380CC4-5D6E-409C-BE32-E72D297353CC}">
              <c16:uniqueId val="{00000000-4CCE-4C3A-9F24-CB8F364E8B43}"/>
            </c:ext>
          </c:extLst>
        </c:ser>
        <c:ser>
          <c:idx val="1"/>
          <c:order val="1"/>
          <c:tx>
            <c:strRef>
              <c:f>Sheet1!$J$18</c:f>
              <c:strCache>
                <c:ptCount val="1"/>
                <c:pt idx="0">
                  <c:v>EPS</c:v>
                </c:pt>
              </c:strCache>
            </c:strRef>
          </c:tx>
          <c:spPr>
            <a:ln w="28575" cap="rnd">
              <a:solidFill>
                <a:schemeClr val="accent2"/>
              </a:solidFill>
              <a:round/>
            </a:ln>
            <a:effectLst/>
          </c:spPr>
          <c:marker>
            <c:symbol val="none"/>
          </c:marker>
          <c:cat>
            <c:strRef>
              <c:f>Sheet1!$H$19:$H$22</c:f>
              <c:strCache>
                <c:ptCount val="4"/>
                <c:pt idx="0">
                  <c:v>SHAK</c:v>
                </c:pt>
                <c:pt idx="1">
                  <c:v>CMG</c:v>
                </c:pt>
                <c:pt idx="2">
                  <c:v>MCD</c:v>
                </c:pt>
                <c:pt idx="3">
                  <c:v>YUM</c:v>
                </c:pt>
              </c:strCache>
            </c:strRef>
          </c:cat>
          <c:val>
            <c:numRef>
              <c:f>Sheet1!$J$19:$J$22</c:f>
              <c:numCache>
                <c:formatCode>0.00</c:formatCode>
                <c:ptCount val="4"/>
                <c:pt idx="0">
                  <c:v>15</c:v>
                </c:pt>
                <c:pt idx="1">
                  <c:v>9.5</c:v>
                </c:pt>
                <c:pt idx="2">
                  <c:v>3.8</c:v>
                </c:pt>
                <c:pt idx="3">
                  <c:v>1.2</c:v>
                </c:pt>
              </c:numCache>
            </c:numRef>
          </c:val>
          <c:extLst>
            <c:ext xmlns:c16="http://schemas.microsoft.com/office/drawing/2014/chart" uri="{C3380CC4-5D6E-409C-BE32-E72D297353CC}">
              <c16:uniqueId val="{00000001-4CCE-4C3A-9F24-CB8F364E8B43}"/>
            </c:ext>
          </c:extLst>
        </c:ser>
        <c:dLbls>
          <c:showLegendKey val="0"/>
          <c:showVal val="0"/>
          <c:showCatName val="0"/>
          <c:showSerName val="0"/>
          <c:showPercent val="0"/>
          <c:showBubbleSize val="0"/>
        </c:dLbls>
        <c:axId val="410503167"/>
        <c:axId val="410501247"/>
      </c:radarChart>
      <c:catAx>
        <c:axId val="410503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0501247"/>
        <c:crosses val="autoZero"/>
        <c:auto val="1"/>
        <c:lblAlgn val="ctr"/>
        <c:lblOffset val="100"/>
        <c:noMultiLvlLbl val="0"/>
      </c:catAx>
      <c:valAx>
        <c:axId val="410501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0503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sz="1680"/>
              <a:t>P/E and</a:t>
            </a:r>
            <a:r>
              <a:rPr lang="en-US" sz="1680" baseline="0"/>
              <a:t> Sales</a:t>
            </a:r>
            <a:r>
              <a:rPr lang="en-US" sz="1680"/>
              <a:t> by Company</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Sheet1!$L$26</c:f>
              <c:strCache>
                <c:ptCount val="1"/>
                <c:pt idx="0">
                  <c:v>CMG PE</c:v>
                </c:pt>
              </c:strCache>
            </c:strRef>
          </c:tx>
          <c:spPr>
            <a:solidFill>
              <a:schemeClr val="accent1"/>
            </a:solidFill>
            <a:ln>
              <a:solidFill>
                <a:schemeClr val="bg1"/>
              </a:solidFill>
            </a:ln>
            <a:effectLst/>
          </c:spPr>
          <c:invertIfNegative val="0"/>
          <c:cat>
            <c:numRef>
              <c:f>Sheet1!$M$25:$P$25</c:f>
              <c:numCache>
                <c:formatCode>General</c:formatCode>
                <c:ptCount val="4"/>
                <c:pt idx="0">
                  <c:v>2021</c:v>
                </c:pt>
                <c:pt idx="1">
                  <c:v>2022</c:v>
                </c:pt>
                <c:pt idx="2">
                  <c:v>2023</c:v>
                </c:pt>
                <c:pt idx="3">
                  <c:v>2024</c:v>
                </c:pt>
              </c:numCache>
            </c:numRef>
          </c:cat>
          <c:val>
            <c:numRef>
              <c:f>Sheet1!$M$26:$P$26</c:f>
              <c:numCache>
                <c:formatCode>0.00</c:formatCode>
                <c:ptCount val="4"/>
                <c:pt idx="0">
                  <c:v>70</c:v>
                </c:pt>
                <c:pt idx="1">
                  <c:v>65</c:v>
                </c:pt>
                <c:pt idx="2">
                  <c:v>60</c:v>
                </c:pt>
                <c:pt idx="3">
                  <c:v>55</c:v>
                </c:pt>
              </c:numCache>
            </c:numRef>
          </c:val>
          <c:extLst>
            <c:ext xmlns:c16="http://schemas.microsoft.com/office/drawing/2014/chart" uri="{C3380CC4-5D6E-409C-BE32-E72D297353CC}">
              <c16:uniqueId val="{00000000-FF25-416C-9EEF-D9612F96EDCB}"/>
            </c:ext>
          </c:extLst>
        </c:ser>
        <c:ser>
          <c:idx val="1"/>
          <c:order val="1"/>
          <c:tx>
            <c:strRef>
              <c:f>Sheet1!$L$27</c:f>
              <c:strCache>
                <c:ptCount val="1"/>
                <c:pt idx="0">
                  <c:v>SHAK PE</c:v>
                </c:pt>
              </c:strCache>
            </c:strRef>
          </c:tx>
          <c:spPr>
            <a:solidFill>
              <a:schemeClr val="accent2"/>
            </a:solidFill>
            <a:ln>
              <a:solidFill>
                <a:schemeClr val="bg1"/>
              </a:solidFill>
            </a:ln>
            <a:effectLst/>
          </c:spPr>
          <c:invertIfNegative val="0"/>
          <c:cat>
            <c:numRef>
              <c:f>Sheet1!$M$25:$P$25</c:f>
              <c:numCache>
                <c:formatCode>General</c:formatCode>
                <c:ptCount val="4"/>
                <c:pt idx="0">
                  <c:v>2021</c:v>
                </c:pt>
                <c:pt idx="1">
                  <c:v>2022</c:v>
                </c:pt>
                <c:pt idx="2">
                  <c:v>2023</c:v>
                </c:pt>
                <c:pt idx="3">
                  <c:v>2024</c:v>
                </c:pt>
              </c:numCache>
            </c:numRef>
          </c:cat>
          <c:val>
            <c:numRef>
              <c:f>Sheet1!$M$27:$P$27</c:f>
              <c:numCache>
                <c:formatCode>0.00</c:formatCode>
                <c:ptCount val="4"/>
                <c:pt idx="0">
                  <c:v>150</c:v>
                </c:pt>
                <c:pt idx="1">
                  <c:v>120</c:v>
                </c:pt>
                <c:pt idx="2">
                  <c:v>110</c:v>
                </c:pt>
                <c:pt idx="3">
                  <c:v>90</c:v>
                </c:pt>
              </c:numCache>
            </c:numRef>
          </c:val>
          <c:extLst>
            <c:ext xmlns:c16="http://schemas.microsoft.com/office/drawing/2014/chart" uri="{C3380CC4-5D6E-409C-BE32-E72D297353CC}">
              <c16:uniqueId val="{00000001-FF25-416C-9EEF-D9612F96EDCB}"/>
            </c:ext>
          </c:extLst>
        </c:ser>
        <c:ser>
          <c:idx val="2"/>
          <c:order val="2"/>
          <c:tx>
            <c:strRef>
              <c:f>Sheet1!$L$28</c:f>
              <c:strCache>
                <c:ptCount val="1"/>
                <c:pt idx="0">
                  <c:v>MCD P/E</c:v>
                </c:pt>
              </c:strCache>
            </c:strRef>
          </c:tx>
          <c:spPr>
            <a:solidFill>
              <a:schemeClr val="accent3"/>
            </a:solidFill>
            <a:ln>
              <a:solidFill>
                <a:schemeClr val="bg1"/>
              </a:solidFill>
            </a:ln>
            <a:effectLst/>
          </c:spPr>
          <c:invertIfNegative val="0"/>
          <c:cat>
            <c:numRef>
              <c:f>Sheet1!$M$25:$P$25</c:f>
              <c:numCache>
                <c:formatCode>General</c:formatCode>
                <c:ptCount val="4"/>
                <c:pt idx="0">
                  <c:v>2021</c:v>
                </c:pt>
                <c:pt idx="1">
                  <c:v>2022</c:v>
                </c:pt>
                <c:pt idx="2">
                  <c:v>2023</c:v>
                </c:pt>
                <c:pt idx="3">
                  <c:v>2024</c:v>
                </c:pt>
              </c:numCache>
            </c:numRef>
          </c:cat>
          <c:val>
            <c:numRef>
              <c:f>Sheet1!$M$28:$P$28</c:f>
              <c:numCache>
                <c:formatCode>0.00</c:formatCode>
                <c:ptCount val="4"/>
                <c:pt idx="0">
                  <c:v>28</c:v>
                </c:pt>
                <c:pt idx="1">
                  <c:v>27</c:v>
                </c:pt>
                <c:pt idx="2">
                  <c:v>26</c:v>
                </c:pt>
                <c:pt idx="3">
                  <c:v>25</c:v>
                </c:pt>
              </c:numCache>
            </c:numRef>
          </c:val>
          <c:extLst>
            <c:ext xmlns:c16="http://schemas.microsoft.com/office/drawing/2014/chart" uri="{C3380CC4-5D6E-409C-BE32-E72D297353CC}">
              <c16:uniqueId val="{00000002-FF25-416C-9EEF-D9612F96EDCB}"/>
            </c:ext>
          </c:extLst>
        </c:ser>
        <c:ser>
          <c:idx val="3"/>
          <c:order val="3"/>
          <c:tx>
            <c:strRef>
              <c:f>Sheet1!$L$29</c:f>
              <c:strCache>
                <c:ptCount val="1"/>
                <c:pt idx="0">
                  <c:v>YUM P/E</c:v>
                </c:pt>
              </c:strCache>
            </c:strRef>
          </c:tx>
          <c:spPr>
            <a:solidFill>
              <a:schemeClr val="accent4"/>
            </a:solidFill>
            <a:ln>
              <a:solidFill>
                <a:schemeClr val="bg1"/>
              </a:solidFill>
            </a:ln>
            <a:effectLst/>
          </c:spPr>
          <c:invertIfNegative val="0"/>
          <c:cat>
            <c:numRef>
              <c:f>Sheet1!$M$25:$P$25</c:f>
              <c:numCache>
                <c:formatCode>General</c:formatCode>
                <c:ptCount val="4"/>
                <c:pt idx="0">
                  <c:v>2021</c:v>
                </c:pt>
                <c:pt idx="1">
                  <c:v>2022</c:v>
                </c:pt>
                <c:pt idx="2">
                  <c:v>2023</c:v>
                </c:pt>
                <c:pt idx="3">
                  <c:v>2024</c:v>
                </c:pt>
              </c:numCache>
            </c:numRef>
          </c:cat>
          <c:val>
            <c:numRef>
              <c:f>Sheet1!$M$29:$P$29</c:f>
              <c:numCache>
                <c:formatCode>0.00</c:formatCode>
                <c:ptCount val="4"/>
                <c:pt idx="0">
                  <c:v>32</c:v>
                </c:pt>
                <c:pt idx="1">
                  <c:v>31</c:v>
                </c:pt>
                <c:pt idx="2">
                  <c:v>30</c:v>
                </c:pt>
                <c:pt idx="3">
                  <c:v>28</c:v>
                </c:pt>
              </c:numCache>
            </c:numRef>
          </c:val>
          <c:extLst>
            <c:ext xmlns:c16="http://schemas.microsoft.com/office/drawing/2014/chart" uri="{C3380CC4-5D6E-409C-BE32-E72D297353CC}">
              <c16:uniqueId val="{00000003-FF25-416C-9EEF-D9612F96EDCB}"/>
            </c:ext>
          </c:extLst>
        </c:ser>
        <c:dLbls>
          <c:showLegendKey val="0"/>
          <c:showVal val="0"/>
          <c:showCatName val="0"/>
          <c:showSerName val="0"/>
          <c:showPercent val="0"/>
          <c:showBubbleSize val="0"/>
        </c:dLbls>
        <c:gapWidth val="150"/>
        <c:axId val="78179712"/>
        <c:axId val="78171552"/>
      </c:barChart>
      <c:lineChart>
        <c:grouping val="standard"/>
        <c:varyColors val="0"/>
        <c:ser>
          <c:idx val="4"/>
          <c:order val="4"/>
          <c:tx>
            <c:strRef>
              <c:f>Sheet1!$L$30</c:f>
              <c:strCache>
                <c:ptCount val="1"/>
                <c:pt idx="0">
                  <c:v>CMG Sales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Sheet1!$M$30:$P$30</c:f>
              <c:numCache>
                <c:formatCode>#,##0.00</c:formatCode>
                <c:ptCount val="4"/>
                <c:pt idx="0">
                  <c:v>7547.06</c:v>
                </c:pt>
                <c:pt idx="1">
                  <c:v>8634.65</c:v>
                </c:pt>
                <c:pt idx="2">
                  <c:v>9871.65</c:v>
                </c:pt>
                <c:pt idx="3">
                  <c:v>11313.85</c:v>
                </c:pt>
              </c:numCache>
            </c:numRef>
          </c:val>
          <c:smooth val="0"/>
          <c:extLst>
            <c:ext xmlns:c16="http://schemas.microsoft.com/office/drawing/2014/chart" uri="{C3380CC4-5D6E-409C-BE32-E72D297353CC}">
              <c16:uniqueId val="{00000004-FF25-416C-9EEF-D9612F96EDCB}"/>
            </c:ext>
          </c:extLst>
        </c:ser>
        <c:ser>
          <c:idx val="5"/>
          <c:order val="5"/>
          <c:tx>
            <c:strRef>
              <c:f>Sheet1!$L$31</c:f>
              <c:strCache>
                <c:ptCount val="1"/>
                <c:pt idx="0">
                  <c:v>SHAK Sales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Sheet1!$M$31:$P$31</c:f>
              <c:numCache>
                <c:formatCode>General</c:formatCode>
                <c:ptCount val="4"/>
                <c:pt idx="0">
                  <c:v>739.89</c:v>
                </c:pt>
                <c:pt idx="1">
                  <c:v>900.49</c:v>
                </c:pt>
                <c:pt idx="2" formatCode="#,##0.00">
                  <c:v>1087.53</c:v>
                </c:pt>
                <c:pt idx="3" formatCode="#,##0.00">
                  <c:v>1252.6099999999999</c:v>
                </c:pt>
              </c:numCache>
            </c:numRef>
          </c:val>
          <c:smooth val="0"/>
          <c:extLst>
            <c:ext xmlns:c16="http://schemas.microsoft.com/office/drawing/2014/chart" uri="{C3380CC4-5D6E-409C-BE32-E72D297353CC}">
              <c16:uniqueId val="{00000005-FF25-416C-9EEF-D9612F96EDCB}"/>
            </c:ext>
          </c:extLst>
        </c:ser>
        <c:ser>
          <c:idx val="6"/>
          <c:order val="6"/>
          <c:tx>
            <c:strRef>
              <c:f>Sheet1!$L$32</c:f>
              <c:strCache>
                <c:ptCount val="1"/>
                <c:pt idx="0">
                  <c:v>MCD Sales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val>
            <c:numRef>
              <c:f>Sheet1!$M$32:$P$32</c:f>
              <c:numCache>
                <c:formatCode>#,##0.00</c:formatCode>
                <c:ptCount val="4"/>
                <c:pt idx="0">
                  <c:v>23222.9</c:v>
                </c:pt>
                <c:pt idx="1">
                  <c:v>23183</c:v>
                </c:pt>
                <c:pt idx="2">
                  <c:v>25494</c:v>
                </c:pt>
                <c:pt idx="3">
                  <c:v>25920</c:v>
                </c:pt>
              </c:numCache>
            </c:numRef>
          </c:val>
          <c:smooth val="0"/>
          <c:extLst>
            <c:ext xmlns:c16="http://schemas.microsoft.com/office/drawing/2014/chart" uri="{C3380CC4-5D6E-409C-BE32-E72D297353CC}">
              <c16:uniqueId val="{00000006-FF25-416C-9EEF-D9612F96EDCB}"/>
            </c:ext>
          </c:extLst>
        </c:ser>
        <c:ser>
          <c:idx val="7"/>
          <c:order val="7"/>
          <c:tx>
            <c:strRef>
              <c:f>Sheet1!$L$33</c:f>
              <c:strCache>
                <c:ptCount val="1"/>
                <c:pt idx="0">
                  <c:v>YUM Sales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val>
            <c:numRef>
              <c:f>Sheet1!$M$33:$P$33</c:f>
              <c:numCache>
                <c:formatCode>#,##0.00</c:formatCode>
                <c:ptCount val="4"/>
                <c:pt idx="0">
                  <c:v>6584</c:v>
                </c:pt>
                <c:pt idx="1">
                  <c:v>6842</c:v>
                </c:pt>
                <c:pt idx="2">
                  <c:v>7076</c:v>
                </c:pt>
                <c:pt idx="3">
                  <c:v>7549</c:v>
                </c:pt>
              </c:numCache>
            </c:numRef>
          </c:val>
          <c:smooth val="0"/>
          <c:extLst>
            <c:ext xmlns:c16="http://schemas.microsoft.com/office/drawing/2014/chart" uri="{C3380CC4-5D6E-409C-BE32-E72D297353CC}">
              <c16:uniqueId val="{00000007-FF25-416C-9EEF-D9612F96EDCB}"/>
            </c:ext>
          </c:extLst>
        </c:ser>
        <c:dLbls>
          <c:showLegendKey val="0"/>
          <c:showVal val="0"/>
          <c:showCatName val="0"/>
          <c:showSerName val="0"/>
          <c:showPercent val="0"/>
          <c:showBubbleSize val="0"/>
        </c:dLbls>
        <c:marker val="1"/>
        <c:smooth val="0"/>
        <c:axId val="2058884863"/>
        <c:axId val="2058883423"/>
      </c:lineChart>
      <c:catAx>
        <c:axId val="7817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171552"/>
        <c:crosses val="autoZero"/>
        <c:auto val="1"/>
        <c:lblAlgn val="ctr"/>
        <c:lblOffset val="100"/>
        <c:noMultiLvlLbl val="0"/>
      </c:catAx>
      <c:valAx>
        <c:axId val="78171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179712"/>
        <c:crosses val="autoZero"/>
        <c:crossBetween val="between"/>
      </c:valAx>
      <c:valAx>
        <c:axId val="205888342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8884863"/>
        <c:crosses val="max"/>
        <c:crossBetween val="between"/>
      </c:valAx>
      <c:catAx>
        <c:axId val="2058884863"/>
        <c:scaling>
          <c:orientation val="minMax"/>
        </c:scaling>
        <c:delete val="1"/>
        <c:axPos val="b"/>
        <c:majorTickMark val="out"/>
        <c:minorTickMark val="none"/>
        <c:tickLblPos val="nextTo"/>
        <c:crossAx val="2058883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Sheet1!$J$3</c:f>
              <c:strCache>
                <c:ptCount val="1"/>
                <c:pt idx="0">
                  <c:v>2024 Cost of revenue </c:v>
                </c:pt>
              </c:strCache>
            </c:strRef>
          </c:tx>
          <c:spPr>
            <a:solidFill>
              <a:schemeClr val="accent1"/>
            </a:solidFill>
            <a:ln>
              <a:noFill/>
            </a:ln>
            <a:effectLst/>
          </c:spPr>
          <c:cat>
            <c:multiLvlStrRef>
              <c:f>Sheet1!$H$4:$I$7</c:f>
              <c:multiLvlStrCache>
                <c:ptCount val="4"/>
                <c:lvl>
                  <c:pt idx="0">
                    <c:v>1,252.61</c:v>
                  </c:pt>
                  <c:pt idx="1">
                    <c:v>7,549</c:v>
                  </c:pt>
                  <c:pt idx="2">
                    <c:v>11,313.85</c:v>
                  </c:pt>
                  <c:pt idx="3">
                    <c:v>25,920</c:v>
                  </c:pt>
                </c:lvl>
                <c:lvl>
                  <c:pt idx="0">
                    <c:v>SHAK</c:v>
                  </c:pt>
                  <c:pt idx="1">
                    <c:v>YUM</c:v>
                  </c:pt>
                  <c:pt idx="2">
                    <c:v>CMG</c:v>
                  </c:pt>
                  <c:pt idx="3">
                    <c:v>MCD</c:v>
                  </c:pt>
                </c:lvl>
              </c:multiLvlStrCache>
            </c:multiLvlStrRef>
          </c:cat>
          <c:val>
            <c:numRef>
              <c:f>Sheet1!$J$4:$J$7</c:f>
              <c:numCache>
                <c:formatCode>#,##0</c:formatCode>
                <c:ptCount val="4"/>
                <c:pt idx="0" formatCode="General">
                  <c:v>950.14</c:v>
                </c:pt>
                <c:pt idx="1">
                  <c:v>2120</c:v>
                </c:pt>
                <c:pt idx="2" formatCode="#,##0.00">
                  <c:v>8296.6</c:v>
                </c:pt>
                <c:pt idx="3">
                  <c:v>11210</c:v>
                </c:pt>
              </c:numCache>
            </c:numRef>
          </c:val>
          <c:extLst>
            <c:ext xmlns:c16="http://schemas.microsoft.com/office/drawing/2014/chart" uri="{C3380CC4-5D6E-409C-BE32-E72D297353CC}">
              <c16:uniqueId val="{00000000-A546-4681-8DBA-629CA0AC4584}"/>
            </c:ext>
          </c:extLst>
        </c:ser>
        <c:ser>
          <c:idx val="1"/>
          <c:order val="1"/>
          <c:tx>
            <c:strRef>
              <c:f>Sheet1!$K$3</c:f>
              <c:strCache>
                <c:ptCount val="1"/>
                <c:pt idx="0">
                  <c:v>2024 gross Profit in million </c:v>
                </c:pt>
              </c:strCache>
            </c:strRef>
          </c:tx>
          <c:spPr>
            <a:solidFill>
              <a:schemeClr val="accent2"/>
            </a:solidFill>
            <a:ln>
              <a:noFill/>
            </a:ln>
            <a:effectLst/>
          </c:spPr>
          <c:cat>
            <c:multiLvlStrRef>
              <c:f>Sheet1!$H$4:$I$7</c:f>
              <c:multiLvlStrCache>
                <c:ptCount val="4"/>
                <c:lvl>
                  <c:pt idx="0">
                    <c:v>1,252.61</c:v>
                  </c:pt>
                  <c:pt idx="1">
                    <c:v>7,549</c:v>
                  </c:pt>
                  <c:pt idx="2">
                    <c:v>11,313.85</c:v>
                  </c:pt>
                  <c:pt idx="3">
                    <c:v>25,920</c:v>
                  </c:pt>
                </c:lvl>
                <c:lvl>
                  <c:pt idx="0">
                    <c:v>SHAK</c:v>
                  </c:pt>
                  <c:pt idx="1">
                    <c:v>YUM</c:v>
                  </c:pt>
                  <c:pt idx="2">
                    <c:v>CMG</c:v>
                  </c:pt>
                  <c:pt idx="3">
                    <c:v>MCD</c:v>
                  </c:pt>
                </c:lvl>
              </c:multiLvlStrCache>
            </c:multiLvlStrRef>
          </c:cat>
          <c:val>
            <c:numRef>
              <c:f>Sheet1!$K$4:$K$7</c:f>
              <c:numCache>
                <c:formatCode>#,##0</c:formatCode>
                <c:ptCount val="4"/>
                <c:pt idx="0" formatCode="General">
                  <c:v>302.47000000000003</c:v>
                </c:pt>
                <c:pt idx="1">
                  <c:v>5429</c:v>
                </c:pt>
                <c:pt idx="2" formatCode="#,##0.00">
                  <c:v>3017.69</c:v>
                </c:pt>
                <c:pt idx="3">
                  <c:v>14710</c:v>
                </c:pt>
              </c:numCache>
            </c:numRef>
          </c:val>
          <c:extLst>
            <c:ext xmlns:c16="http://schemas.microsoft.com/office/drawing/2014/chart" uri="{C3380CC4-5D6E-409C-BE32-E72D297353CC}">
              <c16:uniqueId val="{00000001-A546-4681-8DBA-629CA0AC4584}"/>
            </c:ext>
          </c:extLst>
        </c:ser>
        <c:dLbls>
          <c:showLegendKey val="0"/>
          <c:showVal val="0"/>
          <c:showCatName val="0"/>
          <c:showSerName val="0"/>
          <c:showPercent val="0"/>
          <c:showBubbleSize val="0"/>
        </c:dLbls>
        <c:axId val="592782383"/>
        <c:axId val="592785263"/>
      </c:radarChart>
      <c:catAx>
        <c:axId val="59278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85263"/>
        <c:crosses val="autoZero"/>
        <c:auto val="1"/>
        <c:lblAlgn val="ctr"/>
        <c:lblOffset val="100"/>
        <c:noMultiLvlLbl val="0"/>
      </c:catAx>
      <c:valAx>
        <c:axId val="59278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823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Sheet1!$I$3</c:f>
              <c:strCache>
                <c:ptCount val="1"/>
                <c:pt idx="0">
                  <c:v>Sales</c:v>
                </c:pt>
              </c:strCache>
            </c:strRef>
          </c:tx>
          <c:spPr>
            <a:solidFill>
              <a:schemeClr val="accent1"/>
            </a:solidFill>
            <a:ln>
              <a:noFill/>
            </a:ln>
            <a:effectLst/>
          </c:spPr>
          <c:cat>
            <c:strRef>
              <c:f>Sheet1!$H$4:$H$7</c:f>
              <c:strCache>
                <c:ptCount val="4"/>
                <c:pt idx="0">
                  <c:v>SHAK</c:v>
                </c:pt>
                <c:pt idx="1">
                  <c:v>YUM</c:v>
                </c:pt>
                <c:pt idx="2">
                  <c:v>CMG</c:v>
                </c:pt>
                <c:pt idx="3">
                  <c:v>MCD</c:v>
                </c:pt>
              </c:strCache>
            </c:strRef>
          </c:cat>
          <c:val>
            <c:numRef>
              <c:f>Sheet1!$I$4:$I$7</c:f>
              <c:numCache>
                <c:formatCode>#,##0</c:formatCode>
                <c:ptCount val="4"/>
                <c:pt idx="0" formatCode="#,##0.00">
                  <c:v>1252.6099999999999</c:v>
                </c:pt>
                <c:pt idx="1">
                  <c:v>7549</c:v>
                </c:pt>
                <c:pt idx="2" formatCode="#,##0.00">
                  <c:v>11313.85</c:v>
                </c:pt>
                <c:pt idx="3">
                  <c:v>25920</c:v>
                </c:pt>
              </c:numCache>
            </c:numRef>
          </c:val>
          <c:extLst>
            <c:ext xmlns:c16="http://schemas.microsoft.com/office/drawing/2014/chart" uri="{C3380CC4-5D6E-409C-BE32-E72D297353CC}">
              <c16:uniqueId val="{00000000-57E6-4ABC-A007-BFC534E53F68}"/>
            </c:ext>
          </c:extLst>
        </c:ser>
        <c:ser>
          <c:idx val="1"/>
          <c:order val="1"/>
          <c:tx>
            <c:strRef>
              <c:f>Sheet1!$J$3</c:f>
              <c:strCache>
                <c:ptCount val="1"/>
                <c:pt idx="0">
                  <c:v>2024 Cost of revenue </c:v>
                </c:pt>
              </c:strCache>
            </c:strRef>
          </c:tx>
          <c:spPr>
            <a:solidFill>
              <a:schemeClr val="accent2"/>
            </a:solidFill>
            <a:ln>
              <a:noFill/>
            </a:ln>
            <a:effectLst/>
          </c:spPr>
          <c:cat>
            <c:strRef>
              <c:f>Sheet1!$H$4:$H$7</c:f>
              <c:strCache>
                <c:ptCount val="4"/>
                <c:pt idx="0">
                  <c:v>SHAK</c:v>
                </c:pt>
                <c:pt idx="1">
                  <c:v>YUM</c:v>
                </c:pt>
                <c:pt idx="2">
                  <c:v>CMG</c:v>
                </c:pt>
                <c:pt idx="3">
                  <c:v>MCD</c:v>
                </c:pt>
              </c:strCache>
            </c:strRef>
          </c:cat>
          <c:val>
            <c:numRef>
              <c:f>Sheet1!$J$4:$J$7</c:f>
              <c:numCache>
                <c:formatCode>#,##0</c:formatCode>
                <c:ptCount val="4"/>
                <c:pt idx="0" formatCode="General">
                  <c:v>950.14</c:v>
                </c:pt>
                <c:pt idx="1">
                  <c:v>2120</c:v>
                </c:pt>
                <c:pt idx="2" formatCode="#,##0.00">
                  <c:v>8296.6</c:v>
                </c:pt>
                <c:pt idx="3">
                  <c:v>11210</c:v>
                </c:pt>
              </c:numCache>
            </c:numRef>
          </c:val>
          <c:extLst>
            <c:ext xmlns:c16="http://schemas.microsoft.com/office/drawing/2014/chart" uri="{C3380CC4-5D6E-409C-BE32-E72D297353CC}">
              <c16:uniqueId val="{00000001-57E6-4ABC-A007-BFC534E53F68}"/>
            </c:ext>
          </c:extLst>
        </c:ser>
        <c:ser>
          <c:idx val="2"/>
          <c:order val="2"/>
          <c:tx>
            <c:strRef>
              <c:f>Sheet1!$K$3</c:f>
              <c:strCache>
                <c:ptCount val="1"/>
                <c:pt idx="0">
                  <c:v>2024 gross Profit in million </c:v>
                </c:pt>
              </c:strCache>
            </c:strRef>
          </c:tx>
          <c:spPr>
            <a:solidFill>
              <a:schemeClr val="accent3"/>
            </a:solidFill>
            <a:ln>
              <a:noFill/>
            </a:ln>
            <a:effectLst/>
          </c:spPr>
          <c:cat>
            <c:strRef>
              <c:f>Sheet1!$H$4:$H$7</c:f>
              <c:strCache>
                <c:ptCount val="4"/>
                <c:pt idx="0">
                  <c:v>SHAK</c:v>
                </c:pt>
                <c:pt idx="1">
                  <c:v>YUM</c:v>
                </c:pt>
                <c:pt idx="2">
                  <c:v>CMG</c:v>
                </c:pt>
                <c:pt idx="3">
                  <c:v>MCD</c:v>
                </c:pt>
              </c:strCache>
            </c:strRef>
          </c:cat>
          <c:val>
            <c:numRef>
              <c:f>Sheet1!$K$4:$K$7</c:f>
              <c:numCache>
                <c:formatCode>#,##0</c:formatCode>
                <c:ptCount val="4"/>
                <c:pt idx="0" formatCode="General">
                  <c:v>302.47000000000003</c:v>
                </c:pt>
                <c:pt idx="1">
                  <c:v>5429</c:v>
                </c:pt>
                <c:pt idx="2" formatCode="#,##0.00">
                  <c:v>3017.69</c:v>
                </c:pt>
                <c:pt idx="3">
                  <c:v>14710</c:v>
                </c:pt>
              </c:numCache>
            </c:numRef>
          </c:val>
          <c:extLst>
            <c:ext xmlns:c16="http://schemas.microsoft.com/office/drawing/2014/chart" uri="{C3380CC4-5D6E-409C-BE32-E72D297353CC}">
              <c16:uniqueId val="{00000002-57E6-4ABC-A007-BFC534E53F68}"/>
            </c:ext>
          </c:extLst>
        </c:ser>
        <c:dLbls>
          <c:showLegendKey val="0"/>
          <c:showVal val="0"/>
          <c:showCatName val="0"/>
          <c:showSerName val="0"/>
          <c:showPercent val="0"/>
          <c:showBubbleSize val="0"/>
        </c:dLbls>
        <c:axId val="540309199"/>
        <c:axId val="540310639"/>
      </c:radarChart>
      <c:catAx>
        <c:axId val="54030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10639"/>
        <c:crosses val="autoZero"/>
        <c:auto val="1"/>
        <c:lblAlgn val="ctr"/>
        <c:lblOffset val="100"/>
        <c:noMultiLvlLbl val="0"/>
      </c:catAx>
      <c:valAx>
        <c:axId val="540310639"/>
        <c:scaling>
          <c:orientation val="minMax"/>
          <c:max val="2600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091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Sheet1!$L$26</c:f>
              <c:strCache>
                <c:ptCount val="1"/>
                <c:pt idx="0">
                  <c:v>CMG PE</c:v>
                </c:pt>
              </c:strCache>
            </c:strRef>
          </c:tx>
          <c:spPr>
            <a:solidFill>
              <a:schemeClr val="accent1"/>
            </a:solidFill>
            <a:ln>
              <a:noFill/>
            </a:ln>
            <a:effectLst/>
          </c:spPr>
          <c:cat>
            <c:strRef>
              <c:f>Sheet1!$M$25:$T$25</c:f>
              <c:strCache>
                <c:ptCount val="8"/>
                <c:pt idx="0">
                  <c:v>2021</c:v>
                </c:pt>
                <c:pt idx="1">
                  <c:v>2022</c:v>
                </c:pt>
                <c:pt idx="2">
                  <c:v>2023</c:v>
                </c:pt>
                <c:pt idx="3">
                  <c:v>2024</c:v>
                </c:pt>
                <c:pt idx="4">
                  <c:v>EPS 2021</c:v>
                </c:pt>
                <c:pt idx="5">
                  <c:v>EPS 2022</c:v>
                </c:pt>
                <c:pt idx="6">
                  <c:v>EPS 2023</c:v>
                </c:pt>
                <c:pt idx="7">
                  <c:v>EPS 2024</c:v>
                </c:pt>
              </c:strCache>
            </c:strRef>
          </c:cat>
          <c:val>
            <c:numRef>
              <c:f>Sheet1!$M$26:$T$26</c:f>
              <c:numCache>
                <c:formatCode>0.00</c:formatCode>
                <c:ptCount val="8"/>
                <c:pt idx="0">
                  <c:v>70</c:v>
                </c:pt>
                <c:pt idx="1">
                  <c:v>65</c:v>
                </c:pt>
                <c:pt idx="2">
                  <c:v>60</c:v>
                </c:pt>
                <c:pt idx="3">
                  <c:v>55</c:v>
                </c:pt>
              </c:numCache>
            </c:numRef>
          </c:val>
          <c:extLst>
            <c:ext xmlns:c16="http://schemas.microsoft.com/office/drawing/2014/chart" uri="{C3380CC4-5D6E-409C-BE32-E72D297353CC}">
              <c16:uniqueId val="{00000000-2235-49A3-9F7B-D691BE2C3EE0}"/>
            </c:ext>
          </c:extLst>
        </c:ser>
        <c:ser>
          <c:idx val="1"/>
          <c:order val="1"/>
          <c:tx>
            <c:strRef>
              <c:f>Sheet1!$L$27</c:f>
              <c:strCache>
                <c:ptCount val="1"/>
                <c:pt idx="0">
                  <c:v>SHAK PE</c:v>
                </c:pt>
              </c:strCache>
            </c:strRef>
          </c:tx>
          <c:spPr>
            <a:solidFill>
              <a:schemeClr val="accent2"/>
            </a:solidFill>
            <a:ln>
              <a:noFill/>
            </a:ln>
            <a:effectLst/>
          </c:spPr>
          <c:cat>
            <c:strRef>
              <c:f>Sheet1!$M$25:$T$25</c:f>
              <c:strCache>
                <c:ptCount val="8"/>
                <c:pt idx="0">
                  <c:v>2021</c:v>
                </c:pt>
                <c:pt idx="1">
                  <c:v>2022</c:v>
                </c:pt>
                <c:pt idx="2">
                  <c:v>2023</c:v>
                </c:pt>
                <c:pt idx="3">
                  <c:v>2024</c:v>
                </c:pt>
                <c:pt idx="4">
                  <c:v>EPS 2021</c:v>
                </c:pt>
                <c:pt idx="5">
                  <c:v>EPS 2022</c:v>
                </c:pt>
                <c:pt idx="6">
                  <c:v>EPS 2023</c:v>
                </c:pt>
                <c:pt idx="7">
                  <c:v>EPS 2024</c:v>
                </c:pt>
              </c:strCache>
            </c:strRef>
          </c:cat>
          <c:val>
            <c:numRef>
              <c:f>Sheet1!$M$27:$T$27</c:f>
              <c:numCache>
                <c:formatCode>0.00</c:formatCode>
                <c:ptCount val="8"/>
                <c:pt idx="0">
                  <c:v>150</c:v>
                </c:pt>
                <c:pt idx="1">
                  <c:v>120</c:v>
                </c:pt>
                <c:pt idx="2">
                  <c:v>110</c:v>
                </c:pt>
                <c:pt idx="3">
                  <c:v>90</c:v>
                </c:pt>
              </c:numCache>
            </c:numRef>
          </c:val>
          <c:extLst>
            <c:ext xmlns:c16="http://schemas.microsoft.com/office/drawing/2014/chart" uri="{C3380CC4-5D6E-409C-BE32-E72D297353CC}">
              <c16:uniqueId val="{00000001-2235-49A3-9F7B-D691BE2C3EE0}"/>
            </c:ext>
          </c:extLst>
        </c:ser>
        <c:dLbls>
          <c:showLegendKey val="0"/>
          <c:showVal val="0"/>
          <c:showCatName val="0"/>
          <c:showSerName val="0"/>
          <c:showPercent val="0"/>
          <c:showBubbleSize val="0"/>
        </c:dLbls>
        <c:axId val="2061847967"/>
        <c:axId val="2061848447"/>
      </c:areaChart>
      <c:barChart>
        <c:barDir val="col"/>
        <c:grouping val="clustered"/>
        <c:varyColors val="0"/>
        <c:ser>
          <c:idx val="2"/>
          <c:order val="2"/>
          <c:tx>
            <c:strRef>
              <c:f>Sheet1!$L$28</c:f>
              <c:strCache>
                <c:ptCount val="1"/>
                <c:pt idx="0">
                  <c:v>MCD P/E</c:v>
                </c:pt>
              </c:strCache>
            </c:strRef>
          </c:tx>
          <c:spPr>
            <a:solidFill>
              <a:schemeClr val="accent3"/>
            </a:solidFill>
            <a:ln>
              <a:noFill/>
            </a:ln>
            <a:effectLst/>
          </c:spPr>
          <c:invertIfNegative val="0"/>
          <c:cat>
            <c:strRef>
              <c:f>Sheet1!$M$25:$T$25</c:f>
              <c:strCache>
                <c:ptCount val="8"/>
                <c:pt idx="0">
                  <c:v>2021</c:v>
                </c:pt>
                <c:pt idx="1">
                  <c:v>2022</c:v>
                </c:pt>
                <c:pt idx="2">
                  <c:v>2023</c:v>
                </c:pt>
                <c:pt idx="3">
                  <c:v>2024</c:v>
                </c:pt>
                <c:pt idx="4">
                  <c:v>EPS 2021</c:v>
                </c:pt>
                <c:pt idx="5">
                  <c:v>EPS 2022</c:v>
                </c:pt>
                <c:pt idx="6">
                  <c:v>EPS 2023</c:v>
                </c:pt>
                <c:pt idx="7">
                  <c:v>EPS 2024</c:v>
                </c:pt>
              </c:strCache>
            </c:strRef>
          </c:cat>
          <c:val>
            <c:numRef>
              <c:f>Sheet1!$M$28:$T$28</c:f>
              <c:numCache>
                <c:formatCode>0.00</c:formatCode>
                <c:ptCount val="8"/>
                <c:pt idx="0">
                  <c:v>28</c:v>
                </c:pt>
                <c:pt idx="1">
                  <c:v>27</c:v>
                </c:pt>
                <c:pt idx="2">
                  <c:v>26</c:v>
                </c:pt>
                <c:pt idx="3">
                  <c:v>25</c:v>
                </c:pt>
              </c:numCache>
            </c:numRef>
          </c:val>
          <c:extLst>
            <c:ext xmlns:c16="http://schemas.microsoft.com/office/drawing/2014/chart" uri="{C3380CC4-5D6E-409C-BE32-E72D297353CC}">
              <c16:uniqueId val="{00000002-2235-49A3-9F7B-D691BE2C3EE0}"/>
            </c:ext>
          </c:extLst>
        </c:ser>
        <c:ser>
          <c:idx val="3"/>
          <c:order val="3"/>
          <c:tx>
            <c:strRef>
              <c:f>Sheet1!$L$29</c:f>
              <c:strCache>
                <c:ptCount val="1"/>
                <c:pt idx="0">
                  <c:v>YUM P/E</c:v>
                </c:pt>
              </c:strCache>
            </c:strRef>
          </c:tx>
          <c:spPr>
            <a:solidFill>
              <a:schemeClr val="accent4"/>
            </a:solidFill>
            <a:ln>
              <a:noFill/>
            </a:ln>
            <a:effectLst/>
          </c:spPr>
          <c:invertIfNegative val="0"/>
          <c:cat>
            <c:strRef>
              <c:f>Sheet1!$M$25:$T$25</c:f>
              <c:strCache>
                <c:ptCount val="8"/>
                <c:pt idx="0">
                  <c:v>2021</c:v>
                </c:pt>
                <c:pt idx="1">
                  <c:v>2022</c:v>
                </c:pt>
                <c:pt idx="2">
                  <c:v>2023</c:v>
                </c:pt>
                <c:pt idx="3">
                  <c:v>2024</c:v>
                </c:pt>
                <c:pt idx="4">
                  <c:v>EPS 2021</c:v>
                </c:pt>
                <c:pt idx="5">
                  <c:v>EPS 2022</c:v>
                </c:pt>
                <c:pt idx="6">
                  <c:v>EPS 2023</c:v>
                </c:pt>
                <c:pt idx="7">
                  <c:v>EPS 2024</c:v>
                </c:pt>
              </c:strCache>
            </c:strRef>
          </c:cat>
          <c:val>
            <c:numRef>
              <c:f>Sheet1!$M$29:$T$29</c:f>
              <c:numCache>
                <c:formatCode>0.00</c:formatCode>
                <c:ptCount val="8"/>
                <c:pt idx="0">
                  <c:v>32</c:v>
                </c:pt>
                <c:pt idx="1">
                  <c:v>31</c:v>
                </c:pt>
                <c:pt idx="2">
                  <c:v>30</c:v>
                </c:pt>
                <c:pt idx="3">
                  <c:v>28</c:v>
                </c:pt>
              </c:numCache>
            </c:numRef>
          </c:val>
          <c:extLst>
            <c:ext xmlns:c16="http://schemas.microsoft.com/office/drawing/2014/chart" uri="{C3380CC4-5D6E-409C-BE32-E72D297353CC}">
              <c16:uniqueId val="{00000003-2235-49A3-9F7B-D691BE2C3EE0}"/>
            </c:ext>
          </c:extLst>
        </c:ser>
        <c:dLbls>
          <c:showLegendKey val="0"/>
          <c:showVal val="0"/>
          <c:showCatName val="0"/>
          <c:showSerName val="0"/>
          <c:showPercent val="0"/>
          <c:showBubbleSize val="0"/>
        </c:dLbls>
        <c:gapWidth val="150"/>
        <c:axId val="2061847967"/>
        <c:axId val="2061848447"/>
      </c:barChart>
      <c:catAx>
        <c:axId val="206184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48447"/>
        <c:crosses val="autoZero"/>
        <c:auto val="1"/>
        <c:lblAlgn val="ctr"/>
        <c:lblOffset val="100"/>
        <c:noMultiLvlLbl val="0"/>
      </c:catAx>
      <c:valAx>
        <c:axId val="2061848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47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Cost of Revenue by Company</cx:v>
        </cx:txData>
      </cx:tx>
      <cx:txPr>
        <a:bodyPr spcFirstLastPara="1" vertOverflow="ellipsis" horzOverflow="overflow" wrap="square" lIns="0" tIns="0" rIns="0" bIns="0" anchor="ctr" anchorCtr="1"/>
        <a:lstStyle/>
        <a:p>
          <a:pPr algn="ctr" rtl="0">
            <a:defRPr sz="1680" b="1">
              <a:latin typeface="+mn-lt"/>
            </a:defRPr>
          </a:pPr>
          <a:r>
            <a:rPr lang="en-US" sz="1680" b="1" i="0" u="none" strike="noStrike" baseline="0">
              <a:solidFill>
                <a:srgbClr val="000000">
                  <a:lumMod val="65000"/>
                  <a:lumOff val="35000"/>
                </a:srgbClr>
              </a:solidFill>
              <a:latin typeface="+mn-lt"/>
            </a:rPr>
            <a:t>Cost of Revenue by Company</a:t>
          </a:r>
        </a:p>
      </cx:txPr>
    </cx:title>
    <cx:plotArea>
      <cx:plotAreaRegion>
        <cx:series layoutId="clusteredColumn" uniqueId="{BEF11CDD-B7FC-45C5-BE46-718F5EDEB176}">
          <cx:tx>
            <cx:txData>
              <cx:f>_xlchart.v1.1</cx:f>
              <cx:v>2024 Cost of revenue </cx:v>
            </cx:txData>
          </cx:tx>
          <cx:spPr>
            <a:ln>
              <a:solidFill>
                <a:schemeClr val="bg1"/>
              </a:solidFill>
            </a:ln>
          </cx:spPr>
          <cx:dataId val="0"/>
          <cx:layoutPr>
            <cx:aggregation/>
          </cx:layoutPr>
          <cx:axisId val="1"/>
        </cx:series>
        <cx:series layoutId="paretoLine" ownerIdx="0" uniqueId="{D419B609-4678-44C6-9302-5755541F99CD}">
          <cx:axisId val="2"/>
        </cx:series>
      </cx:plotAreaRegion>
      <cx:axis id="0">
        <cx:catScaling gapWidth="0"/>
        <cx:tickLabels/>
        <cx:txPr>
          <a:bodyPr vertOverflow="overflow" horzOverflow="overflow" wrap="square" lIns="0" tIns="0" rIns="0" bIns="0"/>
          <a:lstStyle/>
          <a:p>
            <a:pPr algn="ctr" rtl="0">
              <a:defRPr sz="900" b="1" i="0">
                <a:solidFill>
                  <a:srgbClr val="595959"/>
                </a:solidFill>
                <a:latin typeface="+mn-lt"/>
                <a:ea typeface="Gill Sans MT" panose="020B0502020104020203" pitchFamily="34" charset="0"/>
                <a:cs typeface="Gill Sans MT" panose="020B0502020104020203" pitchFamily="34" charset="0"/>
              </a:defRPr>
            </a:pPr>
            <a:endParaRPr lang="en-US" b="1">
              <a:latin typeface="+mn-lt"/>
            </a:endParaRPr>
          </a:p>
        </cx:txPr>
      </cx:axis>
      <cx:axis id="1">
        <cx:valScaling/>
        <cx:majorGridlines/>
        <cx:tickLabels/>
        <cx:numFmt formatCode="$#,##0" sourceLinked="0"/>
        <cx:txPr>
          <a:bodyPr vertOverflow="overflow" horzOverflow="overflow" wrap="square" lIns="0" tIns="0" rIns="0" bIns="0"/>
          <a:lstStyle/>
          <a:p>
            <a:pPr algn="ctr" rtl="0">
              <a:defRPr sz="900" b="1" i="0">
                <a:solidFill>
                  <a:srgbClr val="595959"/>
                </a:solidFill>
                <a:latin typeface="+mn-lt"/>
                <a:ea typeface="Gill Sans MT" panose="020B0502020104020203" pitchFamily="34" charset="0"/>
                <a:cs typeface="Gill Sans MT" panose="020B0502020104020203" pitchFamily="34" charset="0"/>
              </a:defRPr>
            </a:pPr>
            <a:endParaRPr lang="en-US" b="1">
              <a:latin typeface="+mn-lt"/>
            </a:endParaRPr>
          </a:p>
        </cx:txPr>
      </cx:axis>
      <cx:axis id="2">
        <cx:valScaling max="1" min="0"/>
        <cx:units unit="percentage"/>
        <cx:tickLabels/>
        <cx:txPr>
          <a:bodyPr vertOverflow="overflow" horzOverflow="overflow" wrap="square" lIns="0" tIns="0" rIns="0" bIns="0"/>
          <a:lstStyle/>
          <a:p>
            <a:pPr algn="ctr" rtl="0">
              <a:defRPr sz="900" b="1" i="0">
                <a:solidFill>
                  <a:srgbClr val="595959"/>
                </a:solidFill>
                <a:latin typeface="+mn-lt"/>
                <a:ea typeface="Gill Sans MT" panose="020B0502020104020203" pitchFamily="34" charset="0"/>
                <a:cs typeface="Gill Sans MT" panose="020B0502020104020203" pitchFamily="34" charset="0"/>
              </a:defRPr>
            </a:pPr>
            <a:endParaRPr lang="en-US" b="1">
              <a:latin typeface="+mn-lt"/>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2024 Cost of Revenue</cx:v>
        </cx:txData>
      </cx:tx>
      <cx:txPr>
        <a:bodyPr spcFirstLastPara="1" vertOverflow="ellipsis" horzOverflow="overflow" wrap="square" lIns="0" tIns="0" rIns="0" bIns="0" anchor="ctr" anchorCtr="1"/>
        <a:lstStyle/>
        <a:p>
          <a:pPr algn="ctr" rtl="0">
            <a:defRPr b="1"/>
          </a:pPr>
          <a:r>
            <a:rPr lang="en-US" sz="1600" b="1" i="0" u="none" strike="noStrike" baseline="0">
              <a:solidFill>
                <a:srgbClr val="000000">
                  <a:lumMod val="65000"/>
                  <a:lumOff val="35000"/>
                </a:srgbClr>
              </a:solidFill>
              <a:latin typeface="Gill Sans MT" panose="020B0502020104020203"/>
            </a:rPr>
            <a:t>2024 Cost of Revenue</a:t>
          </a:r>
        </a:p>
      </cx:txPr>
    </cx:title>
    <cx:plotArea>
      <cx:plotAreaRegion>
        <cx:series layoutId="funnel" uniqueId="{8A6DC420-1C73-41E9-A07A-6072799A0C65}">
          <cx:tx>
            <cx:txData>
              <cx:f>_xlchart.v2.4</cx:f>
              <cx:v>2024 Cost of revenue </cx:v>
            </cx:txData>
          </cx:tx>
          <cx:spPr>
            <a:ln>
              <a:solidFill>
                <a:schemeClr val="bg1"/>
              </a:solidFill>
            </a:ln>
          </cx:spPr>
          <cx:dataLabels>
            <cx:numFmt formatCode="$#,##0" sourceLinked="0"/>
            <cx:txPr>
              <a:bodyPr vertOverflow="overflow" horzOverflow="overflow" wrap="square" lIns="0" tIns="0" rIns="0" bIns="0"/>
              <a:lstStyle/>
              <a:p>
                <a:pPr algn="ctr" rtl="0">
                  <a:defRPr sz="900" b="1" i="0">
                    <a:solidFill>
                      <a:srgbClr val="595959"/>
                    </a:solidFill>
                    <a:latin typeface="Gill Sans MT" panose="020B0502020104020203" pitchFamily="34" charset="0"/>
                    <a:ea typeface="Gill Sans MT" panose="020B0502020104020203" pitchFamily="34" charset="0"/>
                    <a:cs typeface="Gill Sans MT" panose="020B0502020104020203" pitchFamily="34" charset="0"/>
                  </a:defRPr>
                </a:pPr>
                <a:endParaRPr lang="en-US" b="1"/>
              </a:p>
            </cx:txPr>
            <cx:visibility seriesName="0" categoryName="0" value="1"/>
            <cx:separator>, </cx:separator>
          </cx:dataLabels>
          <cx:dataId val="0"/>
        </cx:series>
      </cx:plotAreaRegion>
      <cx:axis id="0">
        <cx:catScaling gapWidth="0.0599999987"/>
        <cx:tickLabels/>
        <cx:txPr>
          <a:bodyPr vertOverflow="overflow" horzOverflow="overflow" wrap="square" lIns="0" tIns="0" rIns="0" bIns="0"/>
          <a:lstStyle/>
          <a:p>
            <a:pPr algn="ctr" rtl="0">
              <a:defRPr sz="900" b="1" i="0">
                <a:solidFill>
                  <a:srgbClr val="595959"/>
                </a:solidFill>
                <a:latin typeface="Gill Sans MT" panose="020B0502020104020203" pitchFamily="34" charset="0"/>
                <a:ea typeface="Gill Sans MT" panose="020B0502020104020203" pitchFamily="34" charset="0"/>
                <a:cs typeface="Gill Sans MT" panose="020B0502020104020203" pitchFamily="34" charset="0"/>
              </a:defRPr>
            </a:pPr>
            <a:endParaRPr lang="en-US" b="1"/>
          </a:p>
        </cx:txPr>
      </cx:axis>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731405</xdr:colOff>
      <xdr:row>1</xdr:row>
      <xdr:rowOff>191652</xdr:rowOff>
    </xdr:from>
    <xdr:to>
      <xdr:col>11</xdr:col>
      <xdr:colOff>147205</xdr:colOff>
      <xdr:row>56</xdr:row>
      <xdr:rowOff>42333</xdr:rowOff>
    </xdr:to>
    <xdr:sp macro="" textlink="">
      <xdr:nvSpPr>
        <xdr:cNvPr id="2" name="TextBox 1">
          <a:extLst>
            <a:ext uri="{FF2B5EF4-FFF2-40B4-BE49-F238E27FC236}">
              <a16:creationId xmlns:a16="http://schemas.microsoft.com/office/drawing/2014/main" id="{B251D6D5-47C1-44B2-8528-5ADC4770515F}"/>
            </a:ext>
          </a:extLst>
        </xdr:cNvPr>
        <xdr:cNvSpPr txBox="1"/>
      </xdr:nvSpPr>
      <xdr:spPr>
        <a:xfrm>
          <a:off x="731405" y="424485"/>
          <a:ext cx="7564967" cy="129422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Executive</a:t>
          </a:r>
          <a:r>
            <a:rPr lang="en-US" sz="1800" b="1" baseline="0">
              <a:latin typeface="Times New Roman" panose="02020603050405020304" pitchFamily="18" charset="0"/>
              <a:cs typeface="Times New Roman" panose="02020603050405020304" pitchFamily="18" charset="0"/>
            </a:rPr>
            <a:t> Summary</a:t>
          </a:r>
        </a:p>
        <a:p>
          <a:r>
            <a:rPr lang="en-US" sz="1800" b="1" baseline="0">
              <a:latin typeface="Times New Roman" panose="02020603050405020304" pitchFamily="18" charset="0"/>
              <a:cs typeface="Times New Roman" panose="02020603050405020304" pitchFamily="18" charset="0"/>
            </a:rPr>
            <a:t>Subject: Fast Food Stock Recommendation</a:t>
          </a:r>
        </a:p>
        <a:p>
          <a:endParaRPr lang="en-US" sz="2000" b="1" baseline="0">
            <a:latin typeface="Times New Roman" panose="02020603050405020304" pitchFamily="18" charset="0"/>
            <a:cs typeface="Times New Roman" panose="02020603050405020304" pitchFamily="18" charset="0"/>
          </a:endParaRPr>
        </a:p>
        <a:p>
          <a:r>
            <a:rPr lang="en-US" sz="1400" b="1">
              <a:solidFill>
                <a:schemeClr val="dk1"/>
              </a:solidFill>
              <a:effectLst/>
              <a:latin typeface="+mn-lt"/>
              <a:ea typeface="+mn-ea"/>
              <a:cs typeface="+mn-cs"/>
            </a:rPr>
            <a:t>Introduction:</a:t>
          </a:r>
          <a:endParaRPr lang="en-US" sz="1600">
            <a:effectLst/>
          </a:endParaRPr>
        </a:p>
        <a:p>
          <a:r>
            <a:rPr lang="en-US" sz="1400" b="0">
              <a:solidFill>
                <a:schemeClr val="dk1"/>
              </a:solidFill>
              <a:effectLst/>
              <a:latin typeface="+mn-lt"/>
              <a:ea typeface="+mn-ea"/>
              <a:cs typeface="+mn-cs"/>
            </a:rPr>
            <a:t>This report provides a comparative investment analysis of four major publicly listed fast-food chains: Chipotle Mexican Grill (CMG), Shake Shack (SHAK), McDonald’s Corporation (MCD), and Yum! Brands (YUM). Leveraging industry data and year-over-year financial trends from 2021 to 2024, we evaluate each stock on key metrics: growth trends (Revenue, EPS, Net Income), market value, profitability, and risk factors, to guide investment recommendations: BUY, HOLD, or SELL.</a:t>
          </a:r>
        </a:p>
        <a:p>
          <a:endParaRPr lang="en-US" sz="1600">
            <a:effectLst/>
          </a:endParaRPr>
        </a:p>
        <a:p>
          <a:r>
            <a:rPr lang="en-US" sz="1400" b="1">
              <a:solidFill>
                <a:schemeClr val="dk1"/>
              </a:solidFill>
              <a:effectLst/>
              <a:latin typeface="+mn-lt"/>
              <a:ea typeface="+mn-ea"/>
              <a:cs typeface="+mn-cs"/>
            </a:rPr>
            <a:t>Financial Analysis:</a:t>
          </a:r>
          <a:endParaRPr lang="en-US" sz="1600">
            <a:effectLst/>
          </a:endParaRPr>
        </a:p>
        <a:p>
          <a:r>
            <a:rPr lang="en-US" sz="1400" b="0">
              <a:solidFill>
                <a:schemeClr val="dk1"/>
              </a:solidFill>
              <a:effectLst/>
              <a:latin typeface="+mn-lt"/>
              <a:ea typeface="+mn-ea"/>
              <a:cs typeface="+mn-cs"/>
            </a:rPr>
            <a:t>Chipotle (CMG) has demonstrated strong, consistent revenue growth with an approximate compound annual growth rate (CAGR) of 14.6%. Net income and EPS have risen steadily year over year, indicating operational strength and market expansion.</a:t>
          </a:r>
          <a:endParaRPr lang="en-US" sz="1600" b="0">
            <a:effectLst/>
          </a:endParaRPr>
        </a:p>
        <a:p>
          <a:r>
            <a:rPr lang="en-US" sz="1400" b="0">
              <a:solidFill>
                <a:schemeClr val="dk1"/>
              </a:solidFill>
              <a:effectLst/>
              <a:latin typeface="+mn-lt"/>
              <a:ea typeface="+mn-ea"/>
              <a:cs typeface="+mn-cs"/>
            </a:rPr>
            <a:t>Shake Shack (SHAK) boasts the highest revenue growth among the four, with an estimated CAGR of 19%. However, its earnings are more volatile, and while EPS is growing, it is doing so at a more moderate pace due to rising costs and reinvestment in expansion.</a:t>
          </a:r>
          <a:endParaRPr lang="en-US" sz="1600" b="0">
            <a:effectLst/>
          </a:endParaRPr>
        </a:p>
        <a:p>
          <a:r>
            <a:rPr lang="en-US" sz="1400" b="0">
              <a:solidFill>
                <a:schemeClr val="dk1"/>
              </a:solidFill>
              <a:effectLst/>
              <a:latin typeface="+mn-lt"/>
              <a:ea typeface="+mn-ea"/>
              <a:cs typeface="+mn-cs"/>
            </a:rPr>
            <a:t>McDonald’s (MCD) shows modest but stable growth, with a revenue CAGR around 3.7%. Its net income and EPS have grown consistently, reflecting its mature position in the market and operational efficiencies.</a:t>
          </a:r>
          <a:endParaRPr lang="en-US" sz="1600" b="0">
            <a:effectLst/>
          </a:endParaRPr>
        </a:p>
        <a:p>
          <a:r>
            <a:rPr lang="en-US" sz="1400" b="0">
              <a:solidFill>
                <a:schemeClr val="dk1"/>
              </a:solidFill>
              <a:effectLst/>
              <a:latin typeface="+mn-lt"/>
              <a:ea typeface="+mn-ea"/>
              <a:cs typeface="+mn-cs"/>
            </a:rPr>
            <a:t>Yum! Brands (YUM) maintains slow but steady growth, with a revenue CAGR of approximately 4.3%. Net income and EPS have shown minimal but positive movement, reflecting stable operations without aggressive expansion.</a:t>
          </a:r>
          <a:endParaRPr lang="en-US" sz="1600" b="0">
            <a:effectLst/>
          </a:endParaRPr>
        </a:p>
        <a:p>
          <a:r>
            <a:rPr lang="en-US" sz="1400" b="0">
              <a:solidFill>
                <a:schemeClr val="dk1"/>
              </a:solidFill>
              <a:effectLst/>
              <a:latin typeface="+mn-lt"/>
              <a:ea typeface="+mn-ea"/>
              <a:cs typeface="+mn-cs"/>
            </a:rPr>
            <a:t>CMG is highly valued in the market, reflecting investor confidence in its strong brand and high-margin business model. SHAK, while growing rapidly, trades at higher valuation multiples, reflecting both optimism and embedded risk. MCD continues to enjoy a premium valuation as a blue-chip staple with strong dividends. YUM, benefiting from its asset-light franchise model, maintains a solid market presence with moderate valuations.</a:t>
          </a:r>
          <a:endParaRPr lang="en-US" sz="1600" b="0">
            <a:effectLst/>
          </a:endParaRPr>
        </a:p>
        <a:p>
          <a:r>
            <a:rPr lang="en-US" sz="1400" b="0">
              <a:solidFill>
                <a:schemeClr val="dk1"/>
              </a:solidFill>
              <a:effectLst/>
              <a:latin typeface="+mn-lt"/>
              <a:ea typeface="+mn-ea"/>
              <a:cs typeface="+mn-cs"/>
            </a:rPr>
            <a:t>McDonald’s leads in overall profitability, boasting the highest margins and return on equity. Chipotle follows closely, operating with high gross margins and efficient management. Shake Shack lags behind due to its reinvestment-heavy strategy, but margins are improving. Yum! Brands delivers reliable profitability, primarily due to its franchise-heavy structure which limits operational costs.MCD is at 24x, slightly below the industry average of 27x, suggesting a potentially undervalued status relative to peers.</a:t>
          </a:r>
          <a:r>
            <a:rPr lang="en-US" sz="1400" b="0" baseline="0">
              <a:solidFill>
                <a:schemeClr val="dk1"/>
              </a:solidFill>
              <a:effectLst/>
              <a:latin typeface="+mn-lt"/>
              <a:ea typeface="+mn-ea"/>
              <a:cs typeface="+mn-cs"/>
            </a:rPr>
            <a:t> </a:t>
          </a:r>
          <a:r>
            <a:rPr lang="en-US" sz="1400" b="0">
              <a:solidFill>
                <a:schemeClr val="dk1"/>
              </a:solidFill>
              <a:effectLst/>
              <a:latin typeface="+mn-lt"/>
              <a:ea typeface="+mn-ea"/>
              <a:cs typeface="+mn-cs"/>
            </a:rPr>
            <a:t>At 16x, MCD is also below the industry average of 18x, further indicating a valuation that might attract investors looking for value stocks. McDonald's boasts a significantly higher net profit margin of 33% compared to the industry's 10-15%, highlighting exceptional operational efficiency.At 80%, MCD vastly outperforms the industry average of 25%, reflecting a strong return on shareholders' equity. McDonald's dividend yield stands at 2.2%, which is above the industry average of 1.8%, appealing to dividend-seeking investors.</a:t>
          </a:r>
          <a:endParaRPr lang="en-US" sz="1600" b="0">
            <a:effectLst/>
          </a:endParaRPr>
        </a:p>
        <a:p>
          <a:r>
            <a:rPr lang="en-US" sz="1400" b="0">
              <a:solidFill>
                <a:schemeClr val="dk1"/>
              </a:solidFill>
              <a:effectLst/>
              <a:latin typeface="+mn-lt"/>
              <a:ea typeface="+mn-ea"/>
              <a:cs typeface="+mn-cs"/>
            </a:rPr>
            <a:t>CMG’s premium pricing could face pressure during inflationary or recessionary periods. SHAK’s low cash reserves and high operational costs pose risks as it continues to scale. MCD faces regulatory and reputational risks due to its global footprint. YUM is vulnerable to international market volatility, which may impact its earnings consistency.</a:t>
          </a:r>
        </a:p>
        <a:p>
          <a:endParaRPr lang="en-US" sz="1600" b="0">
            <a:effectLst/>
          </a:endParaRPr>
        </a:p>
        <a:p>
          <a:r>
            <a:rPr lang="en-US" sz="1400" b="1">
              <a:solidFill>
                <a:schemeClr val="dk1"/>
              </a:solidFill>
              <a:effectLst/>
              <a:latin typeface="+mn-lt"/>
              <a:ea typeface="+mn-ea"/>
              <a:cs typeface="+mn-cs"/>
            </a:rPr>
            <a:t>Stock Recommendations:</a:t>
          </a:r>
          <a:endParaRPr lang="en-US" sz="1600">
            <a:effectLst/>
          </a:endParaRPr>
        </a:p>
        <a:p>
          <a:r>
            <a:rPr lang="en-US" sz="1400" b="0">
              <a:solidFill>
                <a:schemeClr val="dk1"/>
              </a:solidFill>
              <a:effectLst/>
              <a:latin typeface="+mn-lt"/>
              <a:ea typeface="+mn-ea"/>
              <a:cs typeface="+mn-cs"/>
            </a:rPr>
            <a:t>Chipotle (CMG): BUY. With strong revenue and EPS growth, a healthy balance sheet, and operational efficiency, CMG is a top pick for long-term investors.</a:t>
          </a:r>
          <a:endParaRPr lang="en-US" sz="1600" b="0">
            <a:effectLst/>
          </a:endParaRPr>
        </a:p>
        <a:p>
          <a:r>
            <a:rPr lang="en-US" sz="1400" b="0">
              <a:solidFill>
                <a:schemeClr val="dk1"/>
              </a:solidFill>
              <a:effectLst/>
              <a:latin typeface="+mn-lt"/>
              <a:ea typeface="+mn-ea"/>
              <a:cs typeface="+mn-cs"/>
            </a:rPr>
            <a:t>Shake Shack (SHAK): HOLD. While its growth is impressive, profitability and liquidity concerns warrant a cautious stance. Investors should wait for further earnings stability before increasing exposure.</a:t>
          </a:r>
          <a:endParaRPr lang="en-US" sz="1600" b="0">
            <a:effectLst/>
          </a:endParaRPr>
        </a:p>
        <a:p>
          <a:r>
            <a:rPr lang="en-US" sz="1400" b="0">
              <a:solidFill>
                <a:schemeClr val="dk1"/>
              </a:solidFill>
              <a:effectLst/>
              <a:latin typeface="+mn-lt"/>
              <a:ea typeface="+mn-ea"/>
              <a:cs typeface="+mn-cs"/>
            </a:rPr>
            <a:t>McDonald’s (MCD): BUY. A reliable and defensive investment, MCD offers consistent returns, dividends, and low volatility, making it ideal for conservative portfolios.</a:t>
          </a:r>
          <a:endParaRPr lang="en-US" sz="1600" b="0">
            <a:effectLst/>
          </a:endParaRPr>
        </a:p>
        <a:p>
          <a:r>
            <a:rPr lang="en-US" sz="1400" b="0">
              <a:solidFill>
                <a:schemeClr val="dk1"/>
              </a:solidFill>
              <a:effectLst/>
              <a:latin typeface="+mn-lt"/>
              <a:ea typeface="+mn-ea"/>
              <a:cs typeface="+mn-cs"/>
            </a:rPr>
            <a:t>Yum! Brands (YUM): HOLD. Steady performance and solid profitability make YUM suitable for income-focused investors, though growth potential is limited.</a:t>
          </a:r>
        </a:p>
        <a:p>
          <a:endParaRPr lang="en-US" sz="1600">
            <a:effectLst/>
          </a:endParaRPr>
        </a:p>
        <a:p>
          <a:r>
            <a:rPr lang="en-US" sz="1400" b="1">
              <a:solidFill>
                <a:schemeClr val="dk1"/>
              </a:solidFill>
              <a:effectLst/>
              <a:latin typeface="+mn-lt"/>
              <a:ea typeface="+mn-ea"/>
              <a:cs typeface="+mn-cs"/>
            </a:rPr>
            <a:t>Conclusion:</a:t>
          </a:r>
          <a:endParaRPr lang="en-US" sz="1600">
            <a:effectLst/>
          </a:endParaRPr>
        </a:p>
        <a:p>
          <a:r>
            <a:rPr lang="en-US" sz="1400" b="0">
              <a:solidFill>
                <a:schemeClr val="dk1"/>
              </a:solidFill>
              <a:effectLst/>
              <a:latin typeface="+mn-lt"/>
              <a:ea typeface="+mn-ea"/>
              <a:cs typeface="+mn-cs"/>
            </a:rPr>
            <a:t>Chipotle and McDonald’s emerge as strong investment candidates due to their robust fundamentals and consistent performance. Shake Shack, while promising, carries execution risk, and Yum! Brands offers stability with limited upside. These insights should guide investors in aligning their strategies with each company's growth and risk profile.</a:t>
          </a:r>
          <a:endParaRPr lang="en-US" sz="1600" b="0">
            <a:effectLst/>
          </a:endParaRPr>
        </a:p>
      </xdr:txBody>
    </xdr:sp>
    <xdr:clientData/>
  </xdr:twoCellAnchor>
  <xdr:twoCellAnchor>
    <xdr:from>
      <xdr:col>12</xdr:col>
      <xdr:colOff>337457</xdr:colOff>
      <xdr:row>6</xdr:row>
      <xdr:rowOff>32658</xdr:rowOff>
    </xdr:from>
    <xdr:to>
      <xdr:col>20</xdr:col>
      <xdr:colOff>152400</xdr:colOff>
      <xdr:row>21</xdr:row>
      <xdr:rowOff>1</xdr:rowOff>
    </xdr:to>
    <xdr:graphicFrame macro="">
      <xdr:nvGraphicFramePr>
        <xdr:cNvPr id="3" name="Chart 2">
          <a:extLst>
            <a:ext uri="{FF2B5EF4-FFF2-40B4-BE49-F238E27FC236}">
              <a16:creationId xmlns:a16="http://schemas.microsoft.com/office/drawing/2014/main" id="{F89821CE-E932-47D8-BB18-D3423A2C4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498763</xdr:colOff>
      <xdr:row>6</xdr:row>
      <xdr:rowOff>83128</xdr:rowOff>
    </xdr:from>
    <xdr:to>
      <xdr:col>28</xdr:col>
      <xdr:colOff>720437</xdr:colOff>
      <xdr:row>21</xdr:row>
      <xdr:rowOff>27709</xdr:rowOff>
    </xdr:to>
    <xdr:graphicFrame macro="">
      <xdr:nvGraphicFramePr>
        <xdr:cNvPr id="4" name="Chart 3">
          <a:extLst>
            <a:ext uri="{FF2B5EF4-FFF2-40B4-BE49-F238E27FC236}">
              <a16:creationId xmlns:a16="http://schemas.microsoft.com/office/drawing/2014/main" id="{02F13A78-4B91-4286-8EC3-860770C3C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152399</xdr:colOff>
      <xdr:row>6</xdr:row>
      <xdr:rowOff>124690</xdr:rowOff>
    </xdr:from>
    <xdr:to>
      <xdr:col>36</xdr:col>
      <xdr:colOff>568035</xdr:colOff>
      <xdr:row>20</xdr:row>
      <xdr:rowOff>124691</xdr:rowOff>
    </xdr:to>
    <xdr:graphicFrame macro="">
      <xdr:nvGraphicFramePr>
        <xdr:cNvPr id="5" name="Chart 4">
          <a:extLst>
            <a:ext uri="{FF2B5EF4-FFF2-40B4-BE49-F238E27FC236}">
              <a16:creationId xmlns:a16="http://schemas.microsoft.com/office/drawing/2014/main" id="{F2936845-22B7-4D06-BA51-0D31932F4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55418</xdr:colOff>
      <xdr:row>22</xdr:row>
      <xdr:rowOff>41564</xdr:rowOff>
    </xdr:from>
    <xdr:to>
      <xdr:col>29</xdr:col>
      <xdr:colOff>526473</xdr:colOff>
      <xdr:row>36</xdr:row>
      <xdr:rowOff>110836</xdr:rowOff>
    </xdr:to>
    <xdr:graphicFrame macro="">
      <xdr:nvGraphicFramePr>
        <xdr:cNvPr id="6" name="Chart 5">
          <a:extLst>
            <a:ext uri="{FF2B5EF4-FFF2-40B4-BE49-F238E27FC236}">
              <a16:creationId xmlns:a16="http://schemas.microsoft.com/office/drawing/2014/main" id="{BED30DC1-CC9A-484F-BE9C-700C05EC1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651163</xdr:colOff>
      <xdr:row>21</xdr:row>
      <xdr:rowOff>193963</xdr:rowOff>
    </xdr:from>
    <xdr:to>
      <xdr:col>36</xdr:col>
      <xdr:colOff>526471</xdr:colOff>
      <xdr:row>35</xdr:row>
      <xdr:rowOff>152399</xdr:rowOff>
    </xdr:to>
    <xdr:graphicFrame macro="">
      <xdr:nvGraphicFramePr>
        <xdr:cNvPr id="7" name="Chart 6">
          <a:extLst>
            <a:ext uri="{FF2B5EF4-FFF2-40B4-BE49-F238E27FC236}">
              <a16:creationId xmlns:a16="http://schemas.microsoft.com/office/drawing/2014/main" id="{88F10894-1A08-4A97-A88D-78FE3A9F9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538843</xdr:colOff>
      <xdr:row>23</xdr:row>
      <xdr:rowOff>51707</xdr:rowOff>
    </xdr:from>
    <xdr:to>
      <xdr:col>20</xdr:col>
      <xdr:colOff>0</xdr:colOff>
      <xdr:row>38</xdr:row>
      <xdr:rowOff>63501</xdr:rowOff>
    </xdr:to>
    <xdr:graphicFrame macro="">
      <xdr:nvGraphicFramePr>
        <xdr:cNvPr id="8" name="Chart 7">
          <a:extLst>
            <a:ext uri="{FF2B5EF4-FFF2-40B4-BE49-F238E27FC236}">
              <a16:creationId xmlns:a16="http://schemas.microsoft.com/office/drawing/2014/main" id="{8BAABAE6-70D6-4959-BFD4-E5C794426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511968</xdr:colOff>
      <xdr:row>39</xdr:row>
      <xdr:rowOff>135730</xdr:rowOff>
    </xdr:from>
    <xdr:to>
      <xdr:col>20</xdr:col>
      <xdr:colOff>76200</xdr:colOff>
      <xdr:row>53</xdr:row>
      <xdr:rowOff>19050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00D4C921-9AC4-4D0B-99E8-A6F6661A05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348628" y="9352120"/>
              <a:ext cx="5459572" cy="3083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257175</xdr:colOff>
      <xdr:row>39</xdr:row>
      <xdr:rowOff>28574</xdr:rowOff>
    </xdr:from>
    <xdr:to>
      <xdr:col>29</xdr:col>
      <xdr:colOff>104775</xdr:colOff>
      <xdr:row>53</xdr:row>
      <xdr:rowOff>190499</xdr:rowOff>
    </xdr:to>
    <xdr:graphicFrame macro="">
      <xdr:nvGraphicFramePr>
        <xdr:cNvPr id="10" name="Chart 9">
          <a:extLst>
            <a:ext uri="{FF2B5EF4-FFF2-40B4-BE49-F238E27FC236}">
              <a16:creationId xmlns:a16="http://schemas.microsoft.com/office/drawing/2014/main" id="{119109F8-A0EE-4053-9477-BB326C97C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19050</xdr:colOff>
      <xdr:row>39</xdr:row>
      <xdr:rowOff>174625</xdr:rowOff>
    </xdr:from>
    <xdr:to>
      <xdr:col>36</xdr:col>
      <xdr:colOff>333375</xdr:colOff>
      <xdr:row>52</xdr:row>
      <xdr:rowOff>28575</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12BB1E96-4919-4479-843E-8A3439BE0B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2119590" y="9391015"/>
              <a:ext cx="4732655" cy="28244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237565</xdr:colOff>
      <xdr:row>1</xdr:row>
      <xdr:rowOff>13446</xdr:rowOff>
    </xdr:from>
    <xdr:to>
      <xdr:col>9</xdr:col>
      <xdr:colOff>179293</xdr:colOff>
      <xdr:row>58</xdr:row>
      <xdr:rowOff>44822</xdr:rowOff>
    </xdr:to>
    <xdr:sp macro="" textlink="">
      <xdr:nvSpPr>
        <xdr:cNvPr id="2" name="TextBox 1">
          <a:extLst>
            <a:ext uri="{FF2B5EF4-FFF2-40B4-BE49-F238E27FC236}">
              <a16:creationId xmlns:a16="http://schemas.microsoft.com/office/drawing/2014/main" id="{B1AFF15A-AEC7-9E48-BE17-242E3E50086E}"/>
            </a:ext>
          </a:extLst>
        </xdr:cNvPr>
        <xdr:cNvSpPr txBox="1"/>
      </xdr:nvSpPr>
      <xdr:spPr>
        <a:xfrm>
          <a:off x="237565" y="185270"/>
          <a:ext cx="7270375" cy="98253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Copyright Michael Nugent ©</a:t>
          </a:r>
          <a:r>
            <a:rPr lang="en-US" sz="1100" baseline="0">
              <a:solidFill>
                <a:schemeClr val="dk1"/>
              </a:solidFill>
              <a:effectLst/>
              <a:latin typeface="+mn-lt"/>
              <a:ea typeface="+mn-ea"/>
              <a:cs typeface="+mn-cs"/>
            </a:rPr>
            <a:t> </a:t>
          </a:r>
          <a:endParaRPr lang="en-US">
            <a:effectLst/>
          </a:endParaRPr>
        </a:p>
        <a:p>
          <a:endParaRPr lang="en-US" b="1"/>
        </a:p>
        <a:p>
          <a:r>
            <a:rPr lang="en-US" b="1"/>
            <a:t>To: Financial Analysts</a:t>
          </a:r>
        </a:p>
        <a:p>
          <a:r>
            <a:rPr lang="en-US" b="1"/>
            <a:t>From: Chief Investment Officer</a:t>
          </a:r>
        </a:p>
        <a:p>
          <a:r>
            <a:rPr lang="en-US" b="1"/>
            <a:t>Subject: Stock Recommendation – BUY, SELL, HOLD, Industry, Ratio, and Trend Analysis</a:t>
          </a:r>
        </a:p>
        <a:p>
          <a:endParaRPr lang="en-US" b="1"/>
        </a:p>
        <a:p>
          <a:r>
            <a:rPr lang="en-US" b="1"/>
            <a:t>Objective:</a:t>
          </a:r>
        </a:p>
        <a:p>
          <a:r>
            <a:rPr lang="en-US"/>
            <a:t>Analyze the financial performance of </a:t>
          </a:r>
          <a:r>
            <a:rPr lang="en-US" b="1"/>
            <a:t>CMG, SHAK, YUM, and MCD</a:t>
          </a:r>
          <a:r>
            <a:rPr lang="en-US"/>
            <a:t> using </a:t>
          </a:r>
          <a:r>
            <a:rPr lang="en-US" b="1"/>
            <a:t>financial ratios, year-over-year (YOY) trend analysis, and industry comparisons</a:t>
          </a:r>
          <a:r>
            <a:rPr lang="en-US"/>
            <a:t> to make stock recommendations. The final deliverables include </a:t>
          </a:r>
          <a:r>
            <a:rPr lang="en-US" b="1"/>
            <a:t>cleaned and formatted worksheets, an executive summary, and a financial dashboard</a:t>
          </a:r>
          <a:r>
            <a:rPr lang="en-US"/>
            <a:t>.</a:t>
          </a:r>
        </a:p>
        <a:p>
          <a:endParaRPr lang="en-US" b="1"/>
        </a:p>
        <a:p>
          <a:r>
            <a:rPr lang="en-US" b="1"/>
            <a:t>Instructions:</a:t>
          </a:r>
        </a:p>
        <a:p>
          <a:r>
            <a:rPr lang="en-US" b="1"/>
            <a:t>1. Financial Ratio and Trend Analysis (2021-2024)</a:t>
          </a:r>
        </a:p>
        <a:p>
          <a:r>
            <a:rPr lang="en-US"/>
            <a:t>For each company (</a:t>
          </a:r>
          <a:r>
            <a:rPr lang="en-US" b="1"/>
            <a:t>CMG, SHAK, YUM, and MCD</a:t>
          </a:r>
          <a:r>
            <a:rPr lang="en-US"/>
            <a:t>), create new worksheets that calculate:</a:t>
          </a:r>
        </a:p>
        <a:p>
          <a:pPr lvl="1"/>
          <a:r>
            <a:rPr lang="en-US" b="1"/>
            <a:t>Financial Ratios</a:t>
          </a:r>
          <a:r>
            <a:rPr lang="en-US"/>
            <a:t> for each year</a:t>
          </a:r>
        </a:p>
        <a:p>
          <a:pPr lvl="1"/>
          <a:r>
            <a:rPr lang="en-US" b="1"/>
            <a:t>YOY % Change</a:t>
          </a:r>
          <a:r>
            <a:rPr lang="en-US"/>
            <a:t> for each ratio using the formula:</a:t>
          </a:r>
        </a:p>
        <a:p>
          <a:endParaRPr lang="en-US" b="1"/>
        </a:p>
        <a:p>
          <a:r>
            <a:rPr lang="en-US" b="1"/>
            <a:t>2. Industry Comparison (2024)</a:t>
          </a:r>
        </a:p>
        <a:p>
          <a:r>
            <a:rPr lang="en-US"/>
            <a:t>Create a </a:t>
          </a:r>
          <a:r>
            <a:rPr lang="en-US" b="1"/>
            <a:t>2024 Industry Worksheet</a:t>
          </a:r>
          <a:r>
            <a:rPr lang="en-US"/>
            <a:t> that consolidates all </a:t>
          </a:r>
          <a:r>
            <a:rPr lang="en-US" b="1"/>
            <a:t>financial ratios</a:t>
          </a:r>
          <a:r>
            <a:rPr lang="en-US"/>
            <a:t> from each company.</a:t>
          </a:r>
        </a:p>
        <a:p>
          <a:r>
            <a:rPr lang="en-US"/>
            <a:t>Compute the </a:t>
          </a:r>
          <a:r>
            <a:rPr lang="en-US" b="1"/>
            <a:t>industry average</a:t>
          </a:r>
          <a:r>
            <a:rPr lang="en-US"/>
            <a:t> for key metrics (e.g., P/E ratio, EPS, profit margin).</a:t>
          </a:r>
        </a:p>
        <a:p>
          <a:r>
            <a:rPr lang="en-US"/>
            <a:t>Refer to the </a:t>
          </a:r>
          <a:r>
            <a:rPr lang="en-US" b="1"/>
            <a:t>Industry worksheet</a:t>
          </a:r>
          <a:r>
            <a:rPr lang="en-US"/>
            <a:t> as an example.</a:t>
          </a:r>
        </a:p>
        <a:p>
          <a:endParaRPr lang="en-US" b="1"/>
        </a:p>
        <a:p>
          <a:r>
            <a:rPr lang="en-US" b="1"/>
            <a:t>3. Data Cleaning &amp; Formatting</a:t>
          </a:r>
        </a:p>
        <a:p>
          <a:r>
            <a:rPr lang="en-US"/>
            <a:t>Ensure worksheets are clean, formatted, and </a:t>
          </a:r>
          <a:r>
            <a:rPr lang="en-US" b="1"/>
            <a:t>easy to read</a:t>
          </a:r>
          <a:r>
            <a:rPr lang="en-US"/>
            <a:t>.</a:t>
          </a:r>
        </a:p>
        <a:p>
          <a:r>
            <a:rPr lang="en-US"/>
            <a:t>Apply </a:t>
          </a:r>
          <a:r>
            <a:rPr lang="en-US" b="1"/>
            <a:t>proper formatting</a:t>
          </a:r>
          <a:r>
            <a:rPr lang="en-US"/>
            <a:t>, including:</a:t>
          </a:r>
        </a:p>
        <a:p>
          <a:pPr lvl="1"/>
          <a:r>
            <a:rPr lang="en-US"/>
            <a:t>Freezing the top row for easy navigation</a:t>
          </a:r>
        </a:p>
        <a:p>
          <a:pPr lvl="1"/>
          <a:r>
            <a:rPr lang="en-US"/>
            <a:t>Setting print ranges for clear printouts</a:t>
          </a:r>
        </a:p>
        <a:p>
          <a:pPr lvl="1"/>
          <a:r>
            <a:rPr lang="en-US"/>
            <a:t>Adding </a:t>
          </a:r>
          <a:r>
            <a:rPr lang="en-US" b="1"/>
            <a:t>headers and footers</a:t>
          </a:r>
          <a:r>
            <a:rPr lang="en-US"/>
            <a:t> for a professional look</a:t>
          </a:r>
        </a:p>
        <a:p>
          <a:endParaRPr lang="en-US" b="1"/>
        </a:p>
        <a:p>
          <a:r>
            <a:rPr lang="en-US" b="1"/>
            <a:t>4. Executive Summary &amp; Stock Recommendation</a:t>
          </a:r>
        </a:p>
        <a:p>
          <a:r>
            <a:rPr lang="en-US"/>
            <a:t>Analyze the four stocks using insights from the </a:t>
          </a:r>
          <a:r>
            <a:rPr lang="en-US" b="1"/>
            <a:t>Industry</a:t>
          </a:r>
          <a:r>
            <a:rPr lang="en-US"/>
            <a:t> and </a:t>
          </a:r>
          <a:r>
            <a:rPr lang="en-US" b="1"/>
            <a:t>Trend</a:t>
          </a:r>
          <a:r>
            <a:rPr lang="en-US"/>
            <a:t> worksheets.</a:t>
          </a:r>
        </a:p>
        <a:p>
          <a:r>
            <a:rPr lang="en-US"/>
            <a:t>In the </a:t>
          </a:r>
          <a:r>
            <a:rPr lang="en-US" b="1"/>
            <a:t>Recommendation Section</a:t>
          </a:r>
          <a:r>
            <a:rPr lang="en-US"/>
            <a:t>, provide a </a:t>
          </a:r>
          <a:r>
            <a:rPr lang="en-US" b="1"/>
            <a:t>BUY, SELL, or HOLD</a:t>
          </a:r>
          <a:r>
            <a:rPr lang="en-US"/>
            <a:t> recommendation for each stock, supported by financial data.</a:t>
          </a:r>
        </a:p>
        <a:p>
          <a:endParaRPr lang="en-US"/>
        </a:p>
        <a:p>
          <a:r>
            <a:rPr lang="en-US"/>
            <a:t>Address key investment factors such as:</a:t>
          </a:r>
        </a:p>
        <a:p>
          <a:pPr lvl="1"/>
          <a:r>
            <a:rPr lang="en-US" b="1"/>
            <a:t>Growth trends</a:t>
          </a:r>
          <a:r>
            <a:rPr lang="en-US"/>
            <a:t> (Revenue, EPS, Net Income)</a:t>
          </a:r>
        </a:p>
        <a:p>
          <a:pPr lvl="1"/>
          <a:r>
            <a:rPr lang="en-US" b="1"/>
            <a:t>Market values</a:t>
          </a:r>
        </a:p>
        <a:p>
          <a:pPr lvl="1"/>
          <a:r>
            <a:rPr lang="en-US" b="1"/>
            <a:t>Profitability</a:t>
          </a:r>
          <a:endParaRPr lang="en-US"/>
        </a:p>
        <a:p>
          <a:pPr lvl="1"/>
          <a:r>
            <a:rPr lang="en-US" b="1"/>
            <a:t>Risk factors</a:t>
          </a:r>
          <a:endParaRPr lang="en-US"/>
        </a:p>
        <a:p>
          <a:endParaRPr lang="en-US" b="1"/>
        </a:p>
        <a:p>
          <a:r>
            <a:rPr lang="en-US" b="1"/>
            <a:t>5. Dashboard Creation</a:t>
          </a:r>
        </a:p>
        <a:p>
          <a:r>
            <a:rPr lang="en-US"/>
            <a:t>Create a </a:t>
          </a:r>
          <a:r>
            <a:rPr lang="en-US" b="1"/>
            <a:t>visual dashboard</a:t>
          </a:r>
          <a:r>
            <a:rPr lang="en-US"/>
            <a:t> to display key financial insights.</a:t>
          </a:r>
        </a:p>
        <a:p>
          <a:r>
            <a:rPr lang="en-US"/>
            <a:t>Suggested visualizations:</a:t>
          </a:r>
        </a:p>
        <a:p>
          <a:pPr lvl="1"/>
          <a:r>
            <a:rPr lang="en-US" b="1"/>
            <a:t>Chart</a:t>
          </a:r>
          <a:r>
            <a:rPr lang="en-US"/>
            <a:t> for revenue distribution</a:t>
          </a:r>
        </a:p>
        <a:p>
          <a:pPr lvl="1"/>
          <a:r>
            <a:rPr lang="en-US" b="1"/>
            <a:t>Chart</a:t>
          </a:r>
          <a:r>
            <a:rPr lang="en-US"/>
            <a:t> for gross profits comparison</a:t>
          </a:r>
        </a:p>
        <a:p>
          <a:pPr lvl="1"/>
          <a:r>
            <a:rPr lang="en-US" b="1"/>
            <a:t>Chart</a:t>
          </a:r>
          <a:r>
            <a:rPr lang="en-US"/>
            <a:t> for EPS trends</a:t>
          </a:r>
        </a:p>
        <a:p>
          <a:pPr lvl="1"/>
          <a:r>
            <a:rPr lang="en-US" b="1"/>
            <a:t>Tree map</a:t>
          </a:r>
          <a:r>
            <a:rPr lang="en-US"/>
            <a:t> for P/E ratios</a:t>
          </a:r>
        </a:p>
        <a:p>
          <a:pPr lvl="1"/>
          <a:r>
            <a:rPr lang="en-US" b="1"/>
            <a:t>Tree map</a:t>
          </a:r>
          <a:r>
            <a:rPr lang="en-US"/>
            <a:t> for sales figures</a:t>
          </a:r>
        </a:p>
        <a:p>
          <a:pPr lvl="1"/>
          <a:r>
            <a:rPr lang="en-US" b="1"/>
            <a:t>Combo chart</a:t>
          </a:r>
          <a:r>
            <a:rPr lang="en-US"/>
            <a:t> for sales &amp; gross profits comparison</a:t>
          </a:r>
        </a:p>
        <a:p>
          <a:pPr lvl="1"/>
          <a:r>
            <a:rPr lang="en-US" b="1"/>
            <a:t>Table</a:t>
          </a:r>
          <a:r>
            <a:rPr lang="en-US"/>
            <a:t> including </a:t>
          </a:r>
          <a:r>
            <a:rPr lang="en-US" b="1"/>
            <a:t>Stock Name and Market Price</a:t>
          </a:r>
          <a:r>
            <a:rPr lang="en-US"/>
            <a:t> (Use </a:t>
          </a:r>
          <a:r>
            <a:rPr lang="en-US" b="1"/>
            <a:t>Yahoo Finance</a:t>
          </a:r>
          <a:r>
            <a:rPr lang="en-US"/>
            <a:t> to find the stock price for the </a:t>
          </a:r>
          <a:r>
            <a:rPr lang="en-US" b="1"/>
            <a:t>last day of December 2024</a:t>
          </a:r>
          <a:r>
            <a:rPr lang="en-US"/>
            <a:t>)</a:t>
          </a:r>
        </a:p>
        <a:p>
          <a:pPr lvl="1"/>
          <a:r>
            <a:rPr lang="en-US" b="1"/>
            <a:t>YOY Trend Line Chart</a:t>
          </a:r>
          <a:r>
            <a:rPr lang="en-US"/>
            <a:t> for Sales, Profits, EPS, P/E</a:t>
          </a:r>
        </a:p>
        <a:p>
          <a:endParaRPr lang="en-US"/>
        </a:p>
        <a:p>
          <a:r>
            <a:rPr lang="en-US"/>
            <a:t>Ensure that all elements are clearly labeled and structured for easy interpretation. This report will be used to support </a:t>
          </a:r>
          <a:r>
            <a:rPr lang="en-US" b="1"/>
            <a:t>investment decisions and strategic planning</a:t>
          </a:r>
          <a:r>
            <a:rPr lang="en-US"/>
            <a:t>. </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703580</xdr:colOff>
      <xdr:row>2</xdr:row>
      <xdr:rowOff>58420</xdr:rowOff>
    </xdr:from>
    <xdr:to>
      <xdr:col>10</xdr:col>
      <xdr:colOff>190974</xdr:colOff>
      <xdr:row>58</xdr:row>
      <xdr:rowOff>160020</xdr:rowOff>
    </xdr:to>
    <xdr:pic>
      <xdr:nvPicPr>
        <xdr:cNvPr id="2" name="Picture 1">
          <a:extLst>
            <a:ext uri="{FF2B5EF4-FFF2-40B4-BE49-F238E27FC236}">
              <a16:creationId xmlns:a16="http://schemas.microsoft.com/office/drawing/2014/main" id="{F6BF71EF-D888-5E47-B5DD-EF8CBF2841CF}"/>
            </a:ext>
          </a:extLst>
        </xdr:cNvPr>
        <xdr:cNvPicPr>
          <a:picLocks noChangeAspect="1"/>
        </xdr:cNvPicPr>
      </xdr:nvPicPr>
      <xdr:blipFill>
        <a:blip xmlns:r="http://schemas.openxmlformats.org/officeDocument/2006/relationships" r:embed="rId1"/>
        <a:stretch>
          <a:fillRect/>
        </a:stretch>
      </xdr:blipFill>
      <xdr:spPr>
        <a:xfrm>
          <a:off x="703580" y="408940"/>
          <a:ext cx="7640794" cy="9916160"/>
        </a:xfrm>
        <a:prstGeom prst="rect">
          <a:avLst/>
        </a:prstGeom>
      </xdr:spPr>
    </xdr:pic>
    <xdr:clientData/>
  </xdr:twoCellAnchor>
  <xdr:twoCellAnchor editAs="oneCell">
    <xdr:from>
      <xdr:col>10</xdr:col>
      <xdr:colOff>711200</xdr:colOff>
      <xdr:row>2</xdr:row>
      <xdr:rowOff>38100</xdr:rowOff>
    </xdr:from>
    <xdr:to>
      <xdr:col>20</xdr:col>
      <xdr:colOff>228600</xdr:colOff>
      <xdr:row>56</xdr:row>
      <xdr:rowOff>27132</xdr:rowOff>
    </xdr:to>
    <xdr:pic>
      <xdr:nvPicPr>
        <xdr:cNvPr id="3" name="Picture 2">
          <a:extLst>
            <a:ext uri="{FF2B5EF4-FFF2-40B4-BE49-F238E27FC236}">
              <a16:creationId xmlns:a16="http://schemas.microsoft.com/office/drawing/2014/main" id="{80E6034A-D9AF-8341-8304-D3BE3DFD317B}"/>
            </a:ext>
          </a:extLst>
        </xdr:cNvPr>
        <xdr:cNvPicPr>
          <a:picLocks noChangeAspect="1"/>
        </xdr:cNvPicPr>
      </xdr:nvPicPr>
      <xdr:blipFill>
        <a:blip xmlns:r="http://schemas.openxmlformats.org/officeDocument/2006/relationships" r:embed="rId2"/>
        <a:stretch>
          <a:fillRect/>
        </a:stretch>
      </xdr:blipFill>
      <xdr:spPr>
        <a:xfrm>
          <a:off x="8966200" y="393700"/>
          <a:ext cx="7772400" cy="95902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625842</xdr:colOff>
      <xdr:row>81</xdr:row>
      <xdr:rowOff>0</xdr:rowOff>
    </xdr:from>
    <xdr:to>
      <xdr:col>6</xdr:col>
      <xdr:colOff>635837</xdr:colOff>
      <xdr:row>90</xdr:row>
      <xdr:rowOff>12092</xdr:rowOff>
    </xdr:to>
    <xdr:cxnSp macro="">
      <xdr:nvCxnSpPr>
        <xdr:cNvPr id="2" name="line">
          <a:extLst>
            <a:ext uri="{FF2B5EF4-FFF2-40B4-BE49-F238E27FC236}">
              <a16:creationId xmlns:a16="http://schemas.microsoft.com/office/drawing/2014/main" id="{862BDC7C-1E0D-4070-8922-705D1B8A2155}"/>
            </a:ext>
          </a:extLst>
        </xdr:cNvPr>
        <xdr:cNvCxnSpPr/>
      </xdr:nvCxnSpPr>
      <xdr:spPr>
        <a:xfrm>
          <a:off x="7950567" y="14916150"/>
          <a:ext cx="9995" cy="1707542"/>
        </a:xfrm>
        <a:prstGeom prst="line">
          <a:avLst/>
        </a:prstGeom>
        <a:noFill/>
        <a:ln w="12700" cap="flat" cmpd="sng">
          <a:solidFill>
            <a:srgbClr val="666666"/>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7</xdr:col>
      <xdr:colOff>628650</xdr:colOff>
      <xdr:row>42</xdr:row>
      <xdr:rowOff>123825</xdr:rowOff>
    </xdr:from>
    <xdr:to>
      <xdr:col>12</xdr:col>
      <xdr:colOff>247650</xdr:colOff>
      <xdr:row>57</xdr:row>
      <xdr:rowOff>114300</xdr:rowOff>
    </xdr:to>
    <xdr:graphicFrame macro="">
      <xdr:nvGraphicFramePr>
        <xdr:cNvPr id="4" name="Chart 3">
          <a:extLst>
            <a:ext uri="{FF2B5EF4-FFF2-40B4-BE49-F238E27FC236}">
              <a16:creationId xmlns:a16="http://schemas.microsoft.com/office/drawing/2014/main" id="{1E2BFC5C-CB72-A955-5782-07A73198B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485775</xdr:colOff>
      <xdr:row>34</xdr:row>
      <xdr:rowOff>66675</xdr:rowOff>
    </xdr:from>
    <xdr:to>
      <xdr:col>10</xdr:col>
      <xdr:colOff>1247775</xdr:colOff>
      <xdr:row>49</xdr:row>
      <xdr:rowOff>57150</xdr:rowOff>
    </xdr:to>
    <xdr:graphicFrame macro="">
      <xdr:nvGraphicFramePr>
        <xdr:cNvPr id="5" name="Chart 4">
          <a:extLst>
            <a:ext uri="{FF2B5EF4-FFF2-40B4-BE49-F238E27FC236}">
              <a16:creationId xmlns:a16="http://schemas.microsoft.com/office/drawing/2014/main" id="{6D08BF29-C67E-4F79-8050-AD250DCA6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1066800</xdr:colOff>
      <xdr:row>3</xdr:row>
      <xdr:rowOff>57150</xdr:rowOff>
    </xdr:from>
    <xdr:to>
      <xdr:col>15</xdr:col>
      <xdr:colOff>685800</xdr:colOff>
      <xdr:row>18</xdr:row>
      <xdr:rowOff>47625</xdr:rowOff>
    </xdr:to>
    <xdr:graphicFrame macro="">
      <xdr:nvGraphicFramePr>
        <xdr:cNvPr id="9" name="Chart 8">
          <a:extLst>
            <a:ext uri="{FF2B5EF4-FFF2-40B4-BE49-F238E27FC236}">
              <a16:creationId xmlns:a16="http://schemas.microsoft.com/office/drawing/2014/main" id="{9DE13100-E6DB-0D04-0192-FA4081D21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Parcel">
  <a:themeElements>
    <a:clrScheme name="Parcel">
      <a:dk1>
        <a:srgbClr val="000000"/>
      </a:dk1>
      <a:lt1>
        <a:srgbClr val="FFFFFF"/>
      </a:lt1>
      <a:dk2>
        <a:srgbClr val="4A5356"/>
      </a:dk2>
      <a:lt2>
        <a:srgbClr val="E8E3CE"/>
      </a:lt2>
      <a:accent1>
        <a:srgbClr val="F6A21D"/>
      </a:accent1>
      <a:accent2>
        <a:srgbClr val="9BAFB5"/>
      </a:accent2>
      <a:accent3>
        <a:srgbClr val="C96731"/>
      </a:accent3>
      <a:accent4>
        <a:srgbClr val="9CA383"/>
      </a:accent4>
      <a:accent5>
        <a:srgbClr val="87795D"/>
      </a:accent5>
      <a:accent6>
        <a:srgbClr val="A0988C"/>
      </a:accent6>
      <a:hlink>
        <a:srgbClr val="00B0F0"/>
      </a:hlink>
      <a:folHlink>
        <a:srgbClr val="738F97"/>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stockrow.com/terms"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B1E51-75E4-43B6-B5A8-660FBF33E4EB}">
  <sheetPr codeName="Sheet1"/>
  <dimension ref="M2:AK54"/>
  <sheetViews>
    <sheetView tabSelected="1" zoomScale="60" zoomScaleNormal="60" workbookViewId="0">
      <selection activeCell="G45" sqref="G45"/>
    </sheetView>
  </sheetViews>
  <sheetFormatPr defaultColWidth="9.69921875" defaultRowHeight="18"/>
  <cols>
    <col min="1" max="16384" width="9.69921875" style="3"/>
  </cols>
  <sheetData>
    <row r="2" spans="13:37" ht="18.600000000000001" thickBot="1"/>
    <row r="3" spans="13:37" ht="40.799999999999997">
      <c r="M3" s="4" t="s">
        <v>71</v>
      </c>
      <c r="N3" s="5"/>
      <c r="O3" s="5"/>
      <c r="P3" s="5"/>
      <c r="Q3" s="5"/>
      <c r="R3" s="5"/>
      <c r="S3" s="5"/>
      <c r="T3" s="5"/>
      <c r="U3" s="5"/>
      <c r="V3" s="5"/>
      <c r="W3" s="5"/>
      <c r="X3" s="5"/>
      <c r="Y3" s="5"/>
      <c r="Z3" s="5"/>
      <c r="AA3" s="5"/>
      <c r="AB3" s="5"/>
      <c r="AC3" s="5"/>
      <c r="AD3" s="5"/>
      <c r="AE3" s="5"/>
      <c r="AF3" s="5"/>
      <c r="AG3" s="5"/>
      <c r="AH3" s="5"/>
      <c r="AI3" s="5"/>
      <c r="AJ3" s="5"/>
      <c r="AK3" s="6"/>
    </row>
    <row r="4" spans="13:37">
      <c r="M4" s="7"/>
      <c r="N4" s="8"/>
      <c r="O4" s="8"/>
      <c r="P4" s="8"/>
      <c r="Q4" s="8"/>
      <c r="R4" s="8"/>
      <c r="S4" s="8"/>
      <c r="T4" s="8"/>
      <c r="U4" s="8"/>
      <c r="V4" s="8"/>
      <c r="W4" s="8"/>
      <c r="X4" s="8"/>
      <c r="Y4" s="8"/>
      <c r="Z4" s="8"/>
      <c r="AA4" s="8"/>
      <c r="AB4" s="8"/>
      <c r="AC4" s="8"/>
      <c r="AD4" s="8"/>
      <c r="AE4" s="8"/>
      <c r="AF4" s="8"/>
      <c r="AG4" s="8"/>
      <c r="AH4" s="8"/>
      <c r="AI4" s="8"/>
      <c r="AJ4" s="8"/>
      <c r="AK4" s="9"/>
    </row>
    <row r="5" spans="13:37">
      <c r="M5" s="7"/>
      <c r="N5" s="8"/>
      <c r="O5" s="227" t="s">
        <v>126</v>
      </c>
      <c r="P5" s="8"/>
      <c r="Q5" s="8"/>
      <c r="R5" s="8"/>
      <c r="S5" s="8"/>
      <c r="T5" s="8"/>
      <c r="U5" s="8"/>
      <c r="V5" s="8"/>
      <c r="W5" s="8"/>
      <c r="X5" s="8"/>
      <c r="Y5" s="8"/>
      <c r="Z5" s="8"/>
      <c r="AA5" s="8"/>
      <c r="AB5" s="8"/>
      <c r="AC5" s="8"/>
      <c r="AD5" s="8"/>
      <c r="AE5" s="8"/>
      <c r="AF5" s="8"/>
      <c r="AG5" s="8"/>
      <c r="AH5" s="8" t="s">
        <v>130</v>
      </c>
      <c r="AI5" s="8"/>
      <c r="AJ5" s="8"/>
      <c r="AK5" s="9"/>
    </row>
    <row r="6" spans="13:37">
      <c r="M6" s="7"/>
      <c r="N6" s="8"/>
      <c r="O6" s="8"/>
      <c r="P6" s="8"/>
      <c r="Q6" s="8"/>
      <c r="R6" s="8"/>
      <c r="S6" s="8"/>
      <c r="T6" s="8"/>
      <c r="U6" s="8"/>
      <c r="V6" s="8"/>
      <c r="W6" s="8"/>
      <c r="X6" s="8"/>
      <c r="Y6" s="8"/>
      <c r="Z6" s="8"/>
      <c r="AA6" s="8"/>
      <c r="AB6" s="8"/>
      <c r="AC6" s="8"/>
      <c r="AD6" s="8"/>
      <c r="AE6" s="8"/>
      <c r="AF6" s="8"/>
      <c r="AG6" s="8"/>
      <c r="AH6" s="8"/>
      <c r="AI6" s="8"/>
      <c r="AJ6" s="8"/>
      <c r="AK6" s="9"/>
    </row>
    <row r="7" spans="13:37">
      <c r="M7" s="7"/>
      <c r="N7" s="8"/>
      <c r="O7" s="8"/>
      <c r="P7" s="8"/>
      <c r="Q7" s="8"/>
      <c r="R7" s="8"/>
      <c r="S7" s="8"/>
      <c r="T7" s="8"/>
      <c r="U7" s="8"/>
      <c r="V7" s="8"/>
      <c r="W7" s="8"/>
      <c r="X7" s="8"/>
      <c r="Y7" s="8"/>
      <c r="Z7" s="8"/>
      <c r="AA7" s="8"/>
      <c r="AB7" s="8"/>
      <c r="AC7" s="8"/>
      <c r="AD7" s="8"/>
      <c r="AE7" s="8"/>
      <c r="AF7" s="8"/>
      <c r="AG7" s="8"/>
      <c r="AH7" s="8"/>
      <c r="AI7" s="8"/>
      <c r="AJ7" s="8"/>
      <c r="AK7" s="9"/>
    </row>
    <row r="8" spans="13:37">
      <c r="M8" s="7"/>
      <c r="N8" s="8"/>
      <c r="O8" s="8"/>
      <c r="P8" s="8"/>
      <c r="Q8" s="8"/>
      <c r="R8" s="8"/>
      <c r="S8" s="8"/>
      <c r="T8" s="8"/>
      <c r="U8" s="8"/>
      <c r="V8" s="8"/>
      <c r="W8" s="8"/>
      <c r="X8" s="8"/>
      <c r="Y8" s="8"/>
      <c r="Z8" s="8"/>
      <c r="AA8" s="8"/>
      <c r="AB8" s="8"/>
      <c r="AC8" s="8"/>
      <c r="AD8" s="8"/>
      <c r="AE8" s="8"/>
      <c r="AF8" s="8"/>
      <c r="AG8" s="8"/>
      <c r="AH8" s="8"/>
      <c r="AI8" s="8"/>
      <c r="AJ8" s="8"/>
      <c r="AK8" s="9"/>
    </row>
    <row r="9" spans="13:37">
      <c r="M9" s="7"/>
      <c r="N9" s="8"/>
      <c r="O9" s="8"/>
      <c r="P9" s="8"/>
      <c r="Q9" s="8"/>
      <c r="R9" s="8"/>
      <c r="S9" s="8"/>
      <c r="T9" s="8"/>
      <c r="U9" s="8"/>
      <c r="V9" s="8"/>
      <c r="W9" s="8"/>
      <c r="X9" s="8"/>
      <c r="Y9" s="8"/>
      <c r="Z9" s="8"/>
      <c r="AA9" s="8"/>
      <c r="AB9" s="8"/>
      <c r="AC9" s="8"/>
      <c r="AD9" s="8"/>
      <c r="AE9" s="8"/>
      <c r="AF9" s="8"/>
      <c r="AG9" s="8"/>
      <c r="AH9" s="8"/>
      <c r="AI9" s="8"/>
      <c r="AJ9" s="8"/>
      <c r="AK9" s="9"/>
    </row>
    <row r="10" spans="13:37">
      <c r="M10" s="7"/>
      <c r="N10" s="8"/>
      <c r="O10" s="8"/>
      <c r="P10" s="8"/>
      <c r="Q10" s="8"/>
      <c r="R10" s="8"/>
      <c r="S10" s="8"/>
      <c r="T10" s="8"/>
      <c r="U10" s="8"/>
      <c r="V10" s="8"/>
      <c r="W10" s="8"/>
      <c r="X10" s="8"/>
      <c r="Y10" s="8"/>
      <c r="Z10" s="8"/>
      <c r="AA10" s="8"/>
      <c r="AB10" s="8"/>
      <c r="AC10" s="8"/>
      <c r="AD10" s="8"/>
      <c r="AE10" s="8"/>
      <c r="AF10" s="8"/>
      <c r="AG10" s="8"/>
      <c r="AH10" s="8"/>
      <c r="AI10" s="8"/>
      <c r="AJ10" s="8"/>
      <c r="AK10" s="9"/>
    </row>
    <row r="11" spans="13:37">
      <c r="M11" s="7"/>
      <c r="N11" s="8"/>
      <c r="O11" s="8"/>
      <c r="P11" s="8"/>
      <c r="Q11" s="8"/>
      <c r="R11" s="8"/>
      <c r="S11" s="8"/>
      <c r="T11" s="8"/>
      <c r="U11" s="8"/>
      <c r="V11" s="8"/>
      <c r="W11" s="8"/>
      <c r="X11" s="8"/>
      <c r="Y11" s="8"/>
      <c r="Z11" s="8"/>
      <c r="AA11" s="8"/>
      <c r="AB11" s="8"/>
      <c r="AC11" s="8"/>
      <c r="AD11" s="8"/>
      <c r="AE11" s="8"/>
      <c r="AF11" s="8"/>
      <c r="AG11" s="8"/>
      <c r="AH11" s="8"/>
      <c r="AI11" s="8"/>
      <c r="AJ11" s="8"/>
      <c r="AK11" s="9"/>
    </row>
    <row r="12" spans="13:37">
      <c r="M12" s="7"/>
      <c r="N12" s="8"/>
      <c r="O12" s="8"/>
      <c r="P12" s="8"/>
      <c r="Q12" s="8"/>
      <c r="R12" s="8"/>
      <c r="S12" s="8"/>
      <c r="T12" s="8"/>
      <c r="U12" s="8"/>
      <c r="V12" s="8"/>
      <c r="W12" s="8"/>
      <c r="X12" s="8"/>
      <c r="Y12" s="8"/>
      <c r="Z12" s="8"/>
      <c r="AA12" s="8"/>
      <c r="AB12" s="8"/>
      <c r="AC12" s="8"/>
      <c r="AD12" s="8"/>
      <c r="AE12" s="8"/>
      <c r="AF12" s="8"/>
      <c r="AG12" s="8"/>
      <c r="AH12" s="8"/>
      <c r="AI12" s="8"/>
      <c r="AJ12" s="8"/>
      <c r="AK12" s="9"/>
    </row>
    <row r="13" spans="13:37">
      <c r="M13" s="7"/>
      <c r="N13" s="8"/>
      <c r="O13" s="8"/>
      <c r="P13" s="8"/>
      <c r="Q13" s="8"/>
      <c r="R13" s="8"/>
      <c r="S13" s="8"/>
      <c r="T13" s="8"/>
      <c r="U13" s="8"/>
      <c r="V13" s="8"/>
      <c r="W13" s="8"/>
      <c r="X13" s="8"/>
      <c r="Y13" s="8"/>
      <c r="Z13" s="8"/>
      <c r="AA13" s="8"/>
      <c r="AB13" s="8"/>
      <c r="AC13" s="8"/>
      <c r="AD13" s="8"/>
      <c r="AE13" s="8"/>
      <c r="AF13" s="8"/>
      <c r="AG13" s="8"/>
      <c r="AH13" s="8"/>
      <c r="AI13" s="8"/>
      <c r="AJ13" s="8"/>
      <c r="AK13" s="9"/>
    </row>
    <row r="14" spans="13:37">
      <c r="M14" s="7"/>
      <c r="N14" s="8"/>
      <c r="O14" s="8"/>
      <c r="P14" s="8"/>
      <c r="Q14" s="8"/>
      <c r="R14" s="8"/>
      <c r="S14" s="8"/>
      <c r="T14" s="8"/>
      <c r="U14" s="8"/>
      <c r="V14" s="8"/>
      <c r="W14" s="8"/>
      <c r="X14" s="8"/>
      <c r="Y14" s="8"/>
      <c r="Z14" s="8"/>
      <c r="AA14" s="8"/>
      <c r="AB14" s="8"/>
      <c r="AC14" s="8"/>
      <c r="AD14" s="8"/>
      <c r="AE14" s="8"/>
      <c r="AF14" s="8"/>
      <c r="AG14" s="8"/>
      <c r="AH14" s="8"/>
      <c r="AI14" s="8"/>
      <c r="AJ14" s="8"/>
      <c r="AK14" s="9"/>
    </row>
    <row r="15" spans="13:37">
      <c r="M15" s="7"/>
      <c r="N15" s="8"/>
      <c r="O15" s="8"/>
      <c r="P15" s="8"/>
      <c r="Q15" s="8"/>
      <c r="R15" s="8"/>
      <c r="S15" s="8"/>
      <c r="T15" s="8"/>
      <c r="U15" s="8"/>
      <c r="V15" s="8"/>
      <c r="W15" s="8"/>
      <c r="X15" s="8"/>
      <c r="Y15" s="8"/>
      <c r="Z15" s="8"/>
      <c r="AA15" s="8"/>
      <c r="AB15" s="8"/>
      <c r="AC15" s="8"/>
      <c r="AD15" s="8"/>
      <c r="AE15" s="8"/>
      <c r="AF15" s="8"/>
      <c r="AG15" s="8"/>
      <c r="AH15" s="8"/>
      <c r="AI15" s="8"/>
      <c r="AJ15" s="8"/>
      <c r="AK15" s="9"/>
    </row>
    <row r="16" spans="13:37">
      <c r="M16" s="7"/>
      <c r="N16" s="8"/>
      <c r="O16" s="8"/>
      <c r="P16" s="8"/>
      <c r="Q16" s="8"/>
      <c r="R16" s="8"/>
      <c r="S16" s="8"/>
      <c r="T16" s="8"/>
      <c r="U16" s="8"/>
      <c r="V16" s="8"/>
      <c r="W16" s="8"/>
      <c r="X16" s="8"/>
      <c r="Y16" s="8"/>
      <c r="Z16" s="8"/>
      <c r="AA16" s="8"/>
      <c r="AB16" s="8"/>
      <c r="AC16" s="8"/>
      <c r="AD16" s="8"/>
      <c r="AE16" s="8"/>
      <c r="AF16" s="8"/>
      <c r="AG16" s="8"/>
      <c r="AH16" s="8"/>
      <c r="AI16" s="8"/>
      <c r="AJ16" s="8"/>
      <c r="AK16" s="9"/>
    </row>
    <row r="17" spans="13:37">
      <c r="M17" s="7"/>
      <c r="N17" s="8"/>
      <c r="O17" s="8"/>
      <c r="P17" s="8"/>
      <c r="Q17" s="8"/>
      <c r="R17" s="8"/>
      <c r="S17" s="8"/>
      <c r="T17" s="8"/>
      <c r="U17" s="8"/>
      <c r="V17" s="8"/>
      <c r="W17" s="8"/>
      <c r="X17" s="8"/>
      <c r="Y17" s="8"/>
      <c r="Z17" s="8"/>
      <c r="AA17" s="8"/>
      <c r="AB17" s="8"/>
      <c r="AC17" s="8"/>
      <c r="AD17" s="8"/>
      <c r="AE17" s="8"/>
      <c r="AF17" s="8"/>
      <c r="AG17" s="8"/>
      <c r="AH17" s="8"/>
      <c r="AI17" s="8"/>
      <c r="AJ17" s="8"/>
      <c r="AK17" s="9"/>
    </row>
    <row r="18" spans="13:37">
      <c r="M18" s="7"/>
      <c r="N18" s="8"/>
      <c r="O18" s="8"/>
      <c r="P18" s="8"/>
      <c r="Q18" s="8"/>
      <c r="R18" s="8"/>
      <c r="S18" s="8"/>
      <c r="T18" s="8"/>
      <c r="U18" s="8"/>
      <c r="V18" s="8"/>
      <c r="W18" s="8"/>
      <c r="X18" s="8"/>
      <c r="Y18" s="8"/>
      <c r="Z18" s="8"/>
      <c r="AA18" s="8"/>
      <c r="AB18" s="8"/>
      <c r="AC18" s="8"/>
      <c r="AD18" s="8"/>
      <c r="AE18" s="8"/>
      <c r="AF18" s="8"/>
      <c r="AG18" s="8"/>
      <c r="AH18" s="8"/>
      <c r="AI18" s="8"/>
      <c r="AJ18" s="8"/>
      <c r="AK18" s="9"/>
    </row>
    <row r="19" spans="13:37">
      <c r="M19" s="7"/>
      <c r="N19" s="8"/>
      <c r="O19" s="8"/>
      <c r="P19" s="8"/>
      <c r="Q19" s="8"/>
      <c r="R19" s="8"/>
      <c r="S19" s="8"/>
      <c r="T19" s="8"/>
      <c r="U19" s="8"/>
      <c r="V19" s="8"/>
      <c r="W19" s="8"/>
      <c r="X19" s="8"/>
      <c r="Y19" s="8"/>
      <c r="Z19" s="8"/>
      <c r="AA19" s="8"/>
      <c r="AB19" s="8"/>
      <c r="AC19" s="8"/>
      <c r="AD19" s="8"/>
      <c r="AE19" s="8"/>
      <c r="AF19" s="8"/>
      <c r="AG19" s="8"/>
      <c r="AH19" s="8"/>
      <c r="AI19" s="8"/>
      <c r="AJ19" s="8"/>
      <c r="AK19" s="9"/>
    </row>
    <row r="20" spans="13:37">
      <c r="M20" s="7"/>
      <c r="N20" s="8"/>
      <c r="O20" s="8"/>
      <c r="P20" s="8"/>
      <c r="Q20" s="8"/>
      <c r="R20" s="8"/>
      <c r="S20" s="8"/>
      <c r="T20" s="8"/>
      <c r="U20" s="8"/>
      <c r="V20" s="8"/>
      <c r="W20" s="8"/>
      <c r="X20" s="8"/>
      <c r="Y20" s="8"/>
      <c r="Z20" s="8"/>
      <c r="AA20" s="8"/>
      <c r="AB20" s="8"/>
      <c r="AC20" s="8"/>
      <c r="AD20" s="8"/>
      <c r="AE20" s="8"/>
      <c r="AF20" s="8"/>
      <c r="AG20" s="8"/>
      <c r="AH20" s="8"/>
      <c r="AI20" s="8"/>
      <c r="AJ20" s="8"/>
      <c r="AK20" s="9"/>
    </row>
    <row r="21" spans="13:37">
      <c r="M21" s="7"/>
      <c r="N21" s="8"/>
      <c r="O21" s="8"/>
      <c r="P21" s="8"/>
      <c r="Q21" s="8"/>
      <c r="R21" s="8"/>
      <c r="S21" s="8"/>
      <c r="T21" s="8"/>
      <c r="U21" s="8"/>
      <c r="V21" s="8"/>
      <c r="W21" s="8"/>
      <c r="X21" s="8"/>
      <c r="Y21" s="8"/>
      <c r="Z21" s="8"/>
      <c r="AA21" s="8"/>
      <c r="AB21" s="8"/>
      <c r="AC21" s="8"/>
      <c r="AD21" s="8"/>
      <c r="AE21" s="8"/>
      <c r="AF21" s="8"/>
      <c r="AG21" s="8"/>
      <c r="AH21" s="8"/>
      <c r="AI21" s="8"/>
      <c r="AJ21" s="8"/>
      <c r="AK21" s="9"/>
    </row>
    <row r="22" spans="13:37">
      <c r="M22" s="7"/>
      <c r="N22" s="8"/>
      <c r="O22" s="8"/>
      <c r="P22" s="8"/>
      <c r="Q22" s="8"/>
      <c r="R22" s="8"/>
      <c r="S22" s="8"/>
      <c r="T22" s="8"/>
      <c r="U22" s="8"/>
      <c r="V22" s="8"/>
      <c r="W22" s="8"/>
      <c r="X22" s="8"/>
      <c r="Y22" s="8"/>
      <c r="Z22" s="8"/>
      <c r="AA22" s="8"/>
      <c r="AB22" s="8"/>
      <c r="AC22" s="8"/>
      <c r="AD22" s="8"/>
      <c r="AE22" s="8"/>
      <c r="AF22" s="8"/>
      <c r="AG22" s="8"/>
      <c r="AH22" s="8"/>
      <c r="AI22" s="8"/>
      <c r="AJ22" s="8"/>
      <c r="AK22" s="9"/>
    </row>
    <row r="23" spans="13:37">
      <c r="M23" s="7"/>
      <c r="N23" s="8"/>
      <c r="O23" s="8"/>
      <c r="P23" s="8">
        <v>2024</v>
      </c>
      <c r="Q23" s="8"/>
      <c r="R23" s="8"/>
      <c r="S23" s="8"/>
      <c r="T23" s="8"/>
      <c r="U23" s="8"/>
      <c r="V23" s="8"/>
      <c r="W23" s="8"/>
      <c r="X23" s="8"/>
      <c r="Y23" s="8"/>
      <c r="Z23" s="8"/>
      <c r="AA23" s="8"/>
      <c r="AB23" s="8"/>
      <c r="AC23" s="8"/>
      <c r="AD23" s="8"/>
      <c r="AE23" s="8"/>
      <c r="AF23" s="8"/>
      <c r="AG23" s="8"/>
      <c r="AH23" s="8"/>
      <c r="AI23" s="8"/>
      <c r="AJ23" s="8"/>
      <c r="AK23" s="9"/>
    </row>
    <row r="24" spans="13:37">
      <c r="M24" s="7"/>
      <c r="N24" s="8"/>
      <c r="O24" s="8"/>
      <c r="P24" s="8"/>
      <c r="Q24" s="8"/>
      <c r="R24" s="8"/>
      <c r="S24" s="8"/>
      <c r="T24" s="8"/>
      <c r="U24" s="8"/>
      <c r="V24" s="8"/>
      <c r="W24" s="8"/>
      <c r="X24" s="8"/>
      <c r="Y24" s="8"/>
      <c r="Z24" s="8"/>
      <c r="AA24" s="8"/>
      <c r="AB24" s="8"/>
      <c r="AC24" s="8"/>
      <c r="AD24" s="8"/>
      <c r="AE24" s="8"/>
      <c r="AF24" s="8"/>
      <c r="AG24" s="8"/>
      <c r="AH24" s="8"/>
      <c r="AI24" s="8"/>
      <c r="AJ24" s="8"/>
      <c r="AK24" s="9"/>
    </row>
    <row r="25" spans="13:37">
      <c r="M25" s="7"/>
      <c r="N25" s="8"/>
      <c r="O25" s="8"/>
      <c r="P25" s="8"/>
      <c r="Q25" s="8"/>
      <c r="R25" s="8"/>
      <c r="S25" s="8"/>
      <c r="T25" s="8"/>
      <c r="U25" s="8"/>
      <c r="V25" s="8"/>
      <c r="W25" s="8"/>
      <c r="X25" s="8"/>
      <c r="Y25" s="8"/>
      <c r="Z25" s="8"/>
      <c r="AA25" s="8"/>
      <c r="AB25" s="8"/>
      <c r="AC25" s="8"/>
      <c r="AD25" s="8"/>
      <c r="AE25" s="8"/>
      <c r="AF25" s="8"/>
      <c r="AG25" s="8"/>
      <c r="AH25" s="8"/>
      <c r="AI25" s="8"/>
      <c r="AJ25" s="8"/>
      <c r="AK25" s="9"/>
    </row>
    <row r="26" spans="13:37">
      <c r="M26" s="7"/>
      <c r="N26" s="8"/>
      <c r="O26" s="8"/>
      <c r="P26" s="8"/>
      <c r="Q26" s="8"/>
      <c r="R26" s="8"/>
      <c r="S26" s="8"/>
      <c r="T26" s="8"/>
      <c r="U26" s="8"/>
      <c r="V26" s="8"/>
      <c r="W26" s="8"/>
      <c r="X26" s="8"/>
      <c r="Y26" s="8"/>
      <c r="Z26" s="8"/>
      <c r="AA26" s="8"/>
      <c r="AB26" s="8"/>
      <c r="AC26" s="8"/>
      <c r="AD26" s="8"/>
      <c r="AE26" s="8"/>
      <c r="AF26" s="8"/>
      <c r="AG26" s="8"/>
      <c r="AH26" s="8"/>
      <c r="AI26" s="8"/>
      <c r="AJ26" s="8"/>
      <c r="AK26" s="9"/>
    </row>
    <row r="27" spans="13:37">
      <c r="M27" s="7"/>
      <c r="N27" s="8"/>
      <c r="O27" s="8"/>
      <c r="P27" s="8"/>
      <c r="Q27" s="8"/>
      <c r="R27" s="8"/>
      <c r="S27" s="8"/>
      <c r="T27" s="8"/>
      <c r="U27" s="8"/>
      <c r="V27" s="8"/>
      <c r="W27" s="8"/>
      <c r="X27" s="8"/>
      <c r="Y27" s="8"/>
      <c r="Z27" s="8"/>
      <c r="AA27" s="8"/>
      <c r="AB27" s="8"/>
      <c r="AC27" s="8"/>
      <c r="AD27" s="8"/>
      <c r="AE27" s="8"/>
      <c r="AF27" s="8"/>
      <c r="AG27" s="8"/>
      <c r="AH27" s="8"/>
      <c r="AI27" s="8"/>
      <c r="AJ27" s="8"/>
      <c r="AK27" s="9"/>
    </row>
    <row r="28" spans="13:37">
      <c r="M28" s="7"/>
      <c r="N28" s="8"/>
      <c r="O28" s="8"/>
      <c r="P28" s="8"/>
      <c r="Q28" s="8"/>
      <c r="R28" s="8"/>
      <c r="S28" s="8"/>
      <c r="T28" s="8"/>
      <c r="U28" s="8"/>
      <c r="V28" s="8"/>
      <c r="W28" s="8"/>
      <c r="X28" s="8"/>
      <c r="Y28" s="8"/>
      <c r="Z28" s="8"/>
      <c r="AA28" s="8"/>
      <c r="AB28" s="8"/>
      <c r="AC28" s="8"/>
      <c r="AD28" s="8"/>
      <c r="AE28" s="8"/>
      <c r="AF28" s="8"/>
      <c r="AG28" s="8"/>
      <c r="AH28" s="8"/>
      <c r="AI28" s="8"/>
      <c r="AJ28" s="8"/>
      <c r="AK28" s="9"/>
    </row>
    <row r="29" spans="13:37">
      <c r="M29" s="7"/>
      <c r="N29" s="8"/>
      <c r="O29" s="8"/>
      <c r="P29" s="8"/>
      <c r="Q29" s="8"/>
      <c r="R29" s="8"/>
      <c r="S29" s="8"/>
      <c r="T29" s="8"/>
      <c r="U29" s="8"/>
      <c r="V29" s="8"/>
      <c r="W29" s="8"/>
      <c r="X29" s="8"/>
      <c r="Y29" s="8"/>
      <c r="Z29" s="8"/>
      <c r="AA29" s="8"/>
      <c r="AB29" s="8"/>
      <c r="AC29" s="8"/>
      <c r="AD29" s="8"/>
      <c r="AE29" s="8"/>
      <c r="AF29" s="8"/>
      <c r="AG29" s="8"/>
      <c r="AH29" s="8"/>
      <c r="AI29" s="8"/>
      <c r="AJ29" s="8"/>
      <c r="AK29" s="9"/>
    </row>
    <row r="30" spans="13:37">
      <c r="M30" s="7"/>
      <c r="N30" s="8"/>
      <c r="O30" s="8"/>
      <c r="P30" s="8"/>
      <c r="Q30" s="8"/>
      <c r="R30" s="8"/>
      <c r="S30" s="8"/>
      <c r="T30" s="8"/>
      <c r="U30" s="8"/>
      <c r="V30" s="8"/>
      <c r="W30" s="8"/>
      <c r="X30" s="8"/>
      <c r="Y30" s="8"/>
      <c r="Z30" s="8"/>
      <c r="AA30" s="8"/>
      <c r="AB30" s="8"/>
      <c r="AC30" s="8"/>
      <c r="AD30" s="8"/>
      <c r="AE30" s="8"/>
      <c r="AF30" s="8"/>
      <c r="AG30" s="8"/>
      <c r="AH30" s="8"/>
      <c r="AI30" s="8"/>
      <c r="AJ30" s="8"/>
      <c r="AK30" s="9"/>
    </row>
    <row r="31" spans="13:37">
      <c r="M31" s="7"/>
      <c r="N31" s="8"/>
      <c r="O31" s="8"/>
      <c r="P31" s="8"/>
      <c r="Q31" s="8"/>
      <c r="R31" s="8"/>
      <c r="S31" s="8"/>
      <c r="T31" s="8"/>
      <c r="U31" s="8"/>
      <c r="V31" s="8"/>
      <c r="W31" s="8"/>
      <c r="X31" s="8"/>
      <c r="Y31" s="8"/>
      <c r="Z31" s="8"/>
      <c r="AA31" s="8"/>
      <c r="AB31" s="8"/>
      <c r="AC31" s="8"/>
      <c r="AD31" s="8"/>
      <c r="AE31" s="8"/>
      <c r="AF31" s="8"/>
      <c r="AG31" s="8"/>
      <c r="AH31" s="8"/>
      <c r="AI31" s="8"/>
      <c r="AJ31" s="8"/>
      <c r="AK31" s="9"/>
    </row>
    <row r="32" spans="13:37">
      <c r="M32" s="7"/>
      <c r="N32" s="8"/>
      <c r="O32" s="8"/>
      <c r="P32" s="8"/>
      <c r="Q32" s="8"/>
      <c r="R32" s="8"/>
      <c r="S32" s="8"/>
      <c r="T32" s="8"/>
      <c r="U32" s="8"/>
      <c r="V32" s="8"/>
      <c r="W32" s="8"/>
      <c r="X32" s="8"/>
      <c r="Y32" s="8"/>
      <c r="Z32" s="8"/>
      <c r="AA32" s="8"/>
      <c r="AB32" s="8"/>
      <c r="AC32" s="8"/>
      <c r="AD32" s="8"/>
      <c r="AE32" s="8"/>
      <c r="AF32" s="8"/>
      <c r="AG32" s="8"/>
      <c r="AH32" s="8"/>
      <c r="AI32" s="8"/>
      <c r="AJ32" s="8"/>
      <c r="AK32" s="9"/>
    </row>
    <row r="33" spans="13:37">
      <c r="M33" s="7"/>
      <c r="N33" s="8"/>
      <c r="O33" s="8"/>
      <c r="P33" s="8"/>
      <c r="Q33" s="8"/>
      <c r="R33" s="8"/>
      <c r="S33" s="8"/>
      <c r="T33" s="8"/>
      <c r="U33" s="8"/>
      <c r="V33" s="8"/>
      <c r="W33" s="8"/>
      <c r="X33" s="8"/>
      <c r="Y33" s="8"/>
      <c r="Z33" s="8"/>
      <c r="AA33" s="8"/>
      <c r="AB33" s="8"/>
      <c r="AC33" s="8"/>
      <c r="AD33" s="8"/>
      <c r="AE33" s="8"/>
      <c r="AF33" s="8"/>
      <c r="AG33" s="8"/>
      <c r="AH33" s="8"/>
      <c r="AI33" s="8"/>
      <c r="AJ33" s="8"/>
      <c r="AK33" s="9"/>
    </row>
    <row r="34" spans="13:37">
      <c r="M34" s="7"/>
      <c r="N34" s="8"/>
      <c r="O34" s="8"/>
      <c r="P34" s="8"/>
      <c r="Q34" s="8"/>
      <c r="R34" s="8"/>
      <c r="S34" s="8"/>
      <c r="T34" s="8"/>
      <c r="U34" s="8"/>
      <c r="V34" s="8"/>
      <c r="W34" s="8"/>
      <c r="X34" s="8"/>
      <c r="Y34" s="8"/>
      <c r="Z34" s="8"/>
      <c r="AA34" s="8"/>
      <c r="AB34" s="8"/>
      <c r="AC34" s="8"/>
      <c r="AD34" s="8"/>
      <c r="AE34" s="8"/>
      <c r="AF34" s="8"/>
      <c r="AG34" s="8"/>
      <c r="AH34" s="8"/>
      <c r="AI34" s="8"/>
      <c r="AJ34" s="8"/>
      <c r="AK34" s="9"/>
    </row>
    <row r="35" spans="13:37">
      <c r="M35" s="7"/>
      <c r="N35" s="8"/>
      <c r="O35" s="8"/>
      <c r="P35" s="8"/>
      <c r="Q35" s="8"/>
      <c r="R35" s="8"/>
      <c r="S35" s="8"/>
      <c r="T35" s="8"/>
      <c r="U35" s="8"/>
      <c r="V35" s="8"/>
      <c r="W35" s="8"/>
      <c r="X35" s="8"/>
      <c r="Y35" s="8"/>
      <c r="Z35" s="8"/>
      <c r="AA35" s="8"/>
      <c r="AB35" s="8"/>
      <c r="AC35" s="8"/>
      <c r="AD35" s="8"/>
      <c r="AE35" s="8"/>
      <c r="AF35" s="8"/>
      <c r="AG35" s="8"/>
      <c r="AH35" s="8"/>
      <c r="AI35" s="8"/>
      <c r="AJ35" s="8"/>
      <c r="AK35" s="9"/>
    </row>
    <row r="36" spans="13:37">
      <c r="M36" s="7"/>
      <c r="N36" s="8"/>
      <c r="O36" s="8"/>
      <c r="P36" s="8"/>
      <c r="Q36" s="8"/>
      <c r="R36" s="8"/>
      <c r="S36" s="8"/>
      <c r="T36" s="8"/>
      <c r="U36" s="8"/>
      <c r="V36" s="8"/>
      <c r="W36" s="8"/>
      <c r="X36" s="8"/>
      <c r="Y36" s="8"/>
      <c r="Z36" s="8"/>
      <c r="AA36" s="8"/>
      <c r="AB36" s="8"/>
      <c r="AC36" s="8"/>
      <c r="AD36" s="8"/>
      <c r="AE36" s="8"/>
      <c r="AF36" s="8"/>
      <c r="AG36" s="8"/>
      <c r="AH36" s="8"/>
      <c r="AI36" s="8"/>
      <c r="AJ36" s="8"/>
      <c r="AK36" s="9"/>
    </row>
    <row r="37" spans="13:37">
      <c r="M37" s="7"/>
      <c r="N37" s="8"/>
      <c r="O37" s="8"/>
      <c r="P37" s="8"/>
      <c r="Q37" s="8"/>
      <c r="R37" s="8"/>
      <c r="S37" s="8"/>
      <c r="T37" s="8"/>
      <c r="U37" s="8"/>
      <c r="V37" s="8"/>
      <c r="W37" s="8"/>
      <c r="X37" s="8"/>
      <c r="Y37" s="8"/>
      <c r="Z37" s="8"/>
      <c r="AA37" s="8"/>
      <c r="AB37" s="8"/>
      <c r="AC37" s="8"/>
      <c r="AD37" s="8"/>
      <c r="AE37" s="8"/>
      <c r="AF37" s="8"/>
      <c r="AG37" s="8"/>
      <c r="AH37" s="8"/>
      <c r="AI37" s="8"/>
      <c r="AJ37" s="8"/>
      <c r="AK37" s="9"/>
    </row>
    <row r="38" spans="13:37">
      <c r="M38" s="7"/>
      <c r="N38" s="8"/>
      <c r="O38" s="8"/>
      <c r="P38" s="8"/>
      <c r="Q38" s="8"/>
      <c r="R38" s="8"/>
      <c r="S38" s="8"/>
      <c r="T38" s="8"/>
      <c r="U38" s="8"/>
      <c r="V38" s="8"/>
      <c r="W38" s="8"/>
      <c r="X38" s="8"/>
      <c r="Y38" s="8"/>
      <c r="Z38" s="8"/>
      <c r="AA38" s="8"/>
      <c r="AB38" s="8"/>
      <c r="AC38" s="8"/>
      <c r="AD38" s="8"/>
      <c r="AE38" s="8"/>
      <c r="AF38" s="8"/>
      <c r="AG38" s="8"/>
      <c r="AH38" s="8"/>
      <c r="AI38" s="8"/>
      <c r="AJ38" s="8"/>
      <c r="AK38" s="9"/>
    </row>
    <row r="39" spans="13:37">
      <c r="M39" s="7"/>
      <c r="N39" s="8"/>
      <c r="O39" s="8"/>
      <c r="P39" s="8"/>
      <c r="Q39" s="8"/>
      <c r="R39" s="8"/>
      <c r="S39" s="8"/>
      <c r="T39" s="8"/>
      <c r="U39" s="8"/>
      <c r="V39" s="8"/>
      <c r="W39" s="8"/>
      <c r="X39" s="8"/>
      <c r="Y39" s="8"/>
      <c r="Z39" s="8"/>
      <c r="AA39" s="8"/>
      <c r="AB39" s="8"/>
      <c r="AC39" s="8"/>
      <c r="AD39" s="8"/>
      <c r="AE39" s="8"/>
      <c r="AF39" s="8"/>
      <c r="AG39" s="8"/>
      <c r="AH39" s="8"/>
      <c r="AI39" s="8"/>
      <c r="AJ39" s="8"/>
      <c r="AK39" s="9"/>
    </row>
    <row r="40" spans="13:37">
      <c r="M40" s="7"/>
      <c r="N40" s="8"/>
      <c r="O40" s="8"/>
      <c r="P40" s="8"/>
      <c r="Q40" s="8"/>
      <c r="R40" s="8"/>
      <c r="S40" s="8"/>
      <c r="T40" s="8"/>
      <c r="U40" s="8"/>
      <c r="V40" s="8"/>
      <c r="W40" s="8"/>
      <c r="X40" s="8"/>
      <c r="Y40" s="8"/>
      <c r="Z40" s="8"/>
      <c r="AA40" s="8"/>
      <c r="AB40" s="8"/>
      <c r="AC40" s="8"/>
      <c r="AD40" s="8"/>
      <c r="AE40" s="8"/>
      <c r="AF40" s="8"/>
      <c r="AG40" s="8"/>
      <c r="AH40" s="8"/>
      <c r="AI40" s="8"/>
      <c r="AJ40" s="8"/>
      <c r="AK40" s="9"/>
    </row>
    <row r="41" spans="13:37">
      <c r="M41" s="7"/>
      <c r="N41" s="8"/>
      <c r="O41" s="8"/>
      <c r="P41" s="8"/>
      <c r="Q41" s="8"/>
      <c r="R41" s="8"/>
      <c r="S41" s="8"/>
      <c r="T41" s="8"/>
      <c r="U41" s="8"/>
      <c r="V41" s="8"/>
      <c r="W41" s="8"/>
      <c r="X41" s="8"/>
      <c r="Y41" s="8"/>
      <c r="Z41" s="8"/>
      <c r="AA41" s="8"/>
      <c r="AB41" s="8"/>
      <c r="AC41" s="8"/>
      <c r="AD41" s="8"/>
      <c r="AE41" s="8"/>
      <c r="AF41" s="8"/>
      <c r="AG41" s="8"/>
      <c r="AH41" s="8"/>
      <c r="AI41" s="8"/>
      <c r="AJ41" s="8"/>
      <c r="AK41" s="9"/>
    </row>
    <row r="42" spans="13:37">
      <c r="M42" s="7"/>
      <c r="N42" s="8"/>
      <c r="O42" s="8"/>
      <c r="P42" s="8"/>
      <c r="Q42" s="8"/>
      <c r="R42" s="8"/>
      <c r="S42" s="8"/>
      <c r="T42" s="8"/>
      <c r="U42" s="8"/>
      <c r="V42" s="8"/>
      <c r="W42" s="8"/>
      <c r="X42" s="8"/>
      <c r="Y42" s="8"/>
      <c r="Z42" s="8"/>
      <c r="AA42" s="8"/>
      <c r="AB42" s="8"/>
      <c r="AC42" s="8"/>
      <c r="AD42" s="8"/>
      <c r="AE42" s="8"/>
      <c r="AF42" s="8"/>
      <c r="AG42" s="8"/>
      <c r="AH42" s="8"/>
      <c r="AI42" s="8"/>
      <c r="AJ42" s="8"/>
      <c r="AK42" s="9"/>
    </row>
    <row r="43" spans="13:37">
      <c r="M43" s="7"/>
      <c r="N43" s="8"/>
      <c r="O43" s="8"/>
      <c r="P43" s="8"/>
      <c r="Q43" s="8"/>
      <c r="R43" s="8"/>
      <c r="S43" s="8"/>
      <c r="T43" s="8"/>
      <c r="U43" s="8"/>
      <c r="V43" s="8"/>
      <c r="W43" s="8"/>
      <c r="X43" s="8"/>
      <c r="Y43" s="8"/>
      <c r="Z43" s="8"/>
      <c r="AA43" s="8"/>
      <c r="AB43" s="8"/>
      <c r="AC43" s="8"/>
      <c r="AD43" s="8"/>
      <c r="AE43" s="8"/>
      <c r="AF43" s="8"/>
      <c r="AG43" s="8"/>
      <c r="AH43" s="8"/>
      <c r="AI43" s="8"/>
      <c r="AJ43" s="8"/>
      <c r="AK43" s="9"/>
    </row>
    <row r="44" spans="13:37">
      <c r="M44" s="7"/>
      <c r="N44" s="8"/>
      <c r="O44" s="8"/>
      <c r="P44" s="8"/>
      <c r="Q44" s="8"/>
      <c r="R44" s="8"/>
      <c r="S44" s="8"/>
      <c r="T44" s="8"/>
      <c r="U44" s="8"/>
      <c r="V44" s="8"/>
      <c r="W44" s="8"/>
      <c r="X44" s="8"/>
      <c r="Y44" s="8"/>
      <c r="Z44" s="8"/>
      <c r="AA44" s="8"/>
      <c r="AB44" s="8"/>
      <c r="AC44" s="8"/>
      <c r="AD44" s="8"/>
      <c r="AE44" s="8"/>
      <c r="AF44" s="8"/>
      <c r="AG44" s="8"/>
      <c r="AH44" s="8"/>
      <c r="AI44" s="8"/>
      <c r="AJ44" s="8"/>
      <c r="AK44" s="9"/>
    </row>
    <row r="45" spans="13:37">
      <c r="M45" s="7"/>
      <c r="N45" s="8"/>
      <c r="O45" s="8"/>
      <c r="P45" s="8"/>
      <c r="Q45" s="8"/>
      <c r="R45" s="8"/>
      <c r="S45" s="8"/>
      <c r="T45" s="8"/>
      <c r="U45" s="8"/>
      <c r="V45" s="8"/>
      <c r="W45" s="8"/>
      <c r="X45" s="8"/>
      <c r="Y45" s="8"/>
      <c r="Z45" s="8"/>
      <c r="AA45" s="8"/>
      <c r="AB45" s="8"/>
      <c r="AC45" s="8"/>
      <c r="AD45" s="8"/>
      <c r="AE45" s="8"/>
      <c r="AF45" s="8"/>
      <c r="AG45" s="8"/>
      <c r="AH45" s="8"/>
      <c r="AI45" s="8"/>
      <c r="AJ45" s="8"/>
      <c r="AK45" s="9"/>
    </row>
    <row r="46" spans="13:37">
      <c r="M46" s="7"/>
      <c r="N46" s="8"/>
      <c r="O46" s="8"/>
      <c r="P46" s="8"/>
      <c r="Q46" s="8"/>
      <c r="R46" s="8"/>
      <c r="S46" s="8"/>
      <c r="T46" s="8"/>
      <c r="U46" s="8"/>
      <c r="V46" s="8"/>
      <c r="W46" s="8"/>
      <c r="X46" s="8"/>
      <c r="Y46" s="8"/>
      <c r="Z46" s="8"/>
      <c r="AA46" s="8"/>
      <c r="AB46" s="8"/>
      <c r="AC46" s="8"/>
      <c r="AD46" s="8"/>
      <c r="AE46" s="8"/>
      <c r="AF46" s="8"/>
      <c r="AG46" s="8"/>
      <c r="AH46" s="8"/>
      <c r="AI46" s="8"/>
      <c r="AJ46" s="8"/>
      <c r="AK46" s="9"/>
    </row>
    <row r="47" spans="13:37">
      <c r="M47" s="7"/>
      <c r="N47" s="8"/>
      <c r="O47" s="8"/>
      <c r="P47" s="8"/>
      <c r="Q47" s="8"/>
      <c r="R47" s="8"/>
      <c r="S47" s="8"/>
      <c r="T47" s="8"/>
      <c r="U47" s="8"/>
      <c r="V47" s="8"/>
      <c r="W47" s="8"/>
      <c r="X47" s="8"/>
      <c r="Y47" s="8"/>
      <c r="Z47" s="8"/>
      <c r="AA47" s="8"/>
      <c r="AB47" s="8"/>
      <c r="AC47" s="8"/>
      <c r="AD47" s="8"/>
      <c r="AE47" s="8"/>
      <c r="AF47" s="8"/>
      <c r="AG47" s="8"/>
      <c r="AH47" s="8"/>
      <c r="AI47" s="8"/>
      <c r="AJ47" s="8"/>
      <c r="AK47" s="9"/>
    </row>
    <row r="48" spans="13:37">
      <c r="M48" s="7"/>
      <c r="N48" s="8"/>
      <c r="O48" s="8"/>
      <c r="P48" s="8"/>
      <c r="Q48" s="8"/>
      <c r="R48" s="8"/>
      <c r="S48" s="8"/>
      <c r="T48" s="8"/>
      <c r="U48" s="8"/>
      <c r="V48" s="8"/>
      <c r="W48" s="8"/>
      <c r="X48" s="8"/>
      <c r="Y48" s="8"/>
      <c r="Z48" s="8"/>
      <c r="AA48" s="8"/>
      <c r="AB48" s="8"/>
      <c r="AC48" s="8"/>
      <c r="AD48" s="8"/>
      <c r="AE48" s="8"/>
      <c r="AF48" s="8"/>
      <c r="AG48" s="8"/>
      <c r="AH48" s="8"/>
      <c r="AI48" s="8"/>
      <c r="AJ48" s="8"/>
      <c r="AK48" s="9"/>
    </row>
    <row r="49" spans="13:37">
      <c r="M49" s="7"/>
      <c r="N49" s="8"/>
      <c r="O49" s="8"/>
      <c r="P49" s="8"/>
      <c r="Q49" s="8"/>
      <c r="R49" s="8"/>
      <c r="S49" s="8"/>
      <c r="T49" s="8"/>
      <c r="U49" s="8"/>
      <c r="V49" s="8"/>
      <c r="W49" s="8"/>
      <c r="X49" s="8"/>
      <c r="Y49" s="8"/>
      <c r="Z49" s="8"/>
      <c r="AA49" s="8"/>
      <c r="AB49" s="8"/>
      <c r="AC49" s="8"/>
      <c r="AD49" s="8"/>
      <c r="AE49" s="8"/>
      <c r="AF49" s="8"/>
      <c r="AG49" s="8"/>
      <c r="AH49" s="8"/>
      <c r="AI49" s="8"/>
      <c r="AJ49" s="8"/>
      <c r="AK49" s="9"/>
    </row>
    <row r="50" spans="13:37">
      <c r="M50" s="7"/>
      <c r="N50" s="8"/>
      <c r="O50" s="8"/>
      <c r="P50" s="8"/>
      <c r="Q50" s="8"/>
      <c r="R50" s="8"/>
      <c r="S50" s="8"/>
      <c r="T50" s="8"/>
      <c r="U50" s="8"/>
      <c r="V50" s="8"/>
      <c r="W50" s="8"/>
      <c r="X50" s="8"/>
      <c r="Y50" s="8"/>
      <c r="Z50" s="8"/>
      <c r="AA50" s="8"/>
      <c r="AB50" s="8"/>
      <c r="AC50" s="8"/>
      <c r="AD50" s="8"/>
      <c r="AE50" s="8"/>
      <c r="AF50" s="8"/>
      <c r="AG50" s="8"/>
      <c r="AH50" s="8"/>
      <c r="AI50" s="8"/>
      <c r="AJ50" s="8"/>
      <c r="AK50" s="9"/>
    </row>
    <row r="51" spans="13:37">
      <c r="M51" s="7"/>
      <c r="N51" s="8"/>
      <c r="O51" s="8"/>
      <c r="P51" s="8"/>
      <c r="Q51" s="8"/>
      <c r="R51" s="8"/>
      <c r="S51" s="8"/>
      <c r="T51" s="8"/>
      <c r="U51" s="8"/>
      <c r="V51" s="8"/>
      <c r="W51" s="8"/>
      <c r="X51" s="8"/>
      <c r="Y51" s="8"/>
      <c r="Z51" s="8"/>
      <c r="AA51" s="8"/>
      <c r="AB51" s="8"/>
      <c r="AC51" s="8"/>
      <c r="AD51" s="8"/>
      <c r="AE51" s="8"/>
      <c r="AF51" s="8"/>
      <c r="AG51" s="8"/>
      <c r="AH51" s="8"/>
      <c r="AI51" s="8"/>
      <c r="AJ51" s="8"/>
      <c r="AK51" s="9"/>
    </row>
    <row r="52" spans="13:37">
      <c r="M52" s="7"/>
      <c r="N52" s="8"/>
      <c r="O52" s="8"/>
      <c r="P52" s="8"/>
      <c r="Q52" s="8"/>
      <c r="R52" s="8"/>
      <c r="S52" s="8"/>
      <c r="T52" s="8"/>
      <c r="U52" s="8"/>
      <c r="V52" s="8"/>
      <c r="W52" s="8"/>
      <c r="X52" s="8"/>
      <c r="Y52" s="8"/>
      <c r="Z52" s="8"/>
      <c r="AA52" s="8"/>
      <c r="AB52" s="8"/>
      <c r="AC52" s="8"/>
      <c r="AD52" s="8"/>
      <c r="AE52" s="8"/>
      <c r="AF52" s="8"/>
      <c r="AG52" s="8"/>
      <c r="AH52" s="8"/>
      <c r="AI52" s="8"/>
      <c r="AJ52" s="8"/>
      <c r="AK52" s="9"/>
    </row>
    <row r="53" spans="13:37">
      <c r="M53" s="7"/>
      <c r="N53" s="8"/>
      <c r="O53" s="8"/>
      <c r="P53" s="8"/>
      <c r="Q53" s="8"/>
      <c r="R53" s="8"/>
      <c r="S53" s="8"/>
      <c r="T53" s="8"/>
      <c r="U53" s="8"/>
      <c r="V53" s="8"/>
      <c r="W53" s="8"/>
      <c r="X53" s="8"/>
      <c r="Y53" s="8"/>
      <c r="Z53" s="8"/>
      <c r="AA53" s="8"/>
      <c r="AB53" s="8"/>
      <c r="AC53" s="8"/>
      <c r="AD53" s="8"/>
      <c r="AE53" s="8"/>
      <c r="AF53" s="8"/>
      <c r="AG53" s="8"/>
      <c r="AH53" s="8"/>
      <c r="AI53" s="8"/>
      <c r="AJ53" s="8"/>
      <c r="AK53" s="9"/>
    </row>
    <row r="54" spans="13:37" ht="18.600000000000001" thickBot="1">
      <c r="M54" s="10"/>
      <c r="N54" s="11"/>
      <c r="O54" s="11"/>
      <c r="P54" s="11"/>
      <c r="Q54" s="11"/>
      <c r="R54" s="11"/>
      <c r="S54" s="11"/>
      <c r="T54" s="11"/>
      <c r="U54" s="11"/>
      <c r="V54" s="11"/>
      <c r="W54" s="11"/>
      <c r="X54" s="11"/>
      <c r="Y54" s="11"/>
      <c r="Z54" s="11"/>
      <c r="AA54" s="11"/>
      <c r="AB54" s="11"/>
      <c r="AC54" s="11"/>
      <c r="AD54" s="11"/>
      <c r="AE54" s="11"/>
      <c r="AF54" s="11"/>
      <c r="AG54" s="11"/>
      <c r="AH54" s="11"/>
      <c r="AI54" s="11"/>
      <c r="AJ54" s="11"/>
      <c r="AK54" s="12"/>
    </row>
  </sheetData>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CAE34155-C44D-44BC-9CEF-AED38AEABC1F}">
          <x14:formula1>
            <xm:f>ChartData!$B$4:$B$8</xm:f>
          </x14:formula1>
          <xm:sqref>O5 AH5</xm:sqref>
        </x14:dataValidation>
        <x14:dataValidation type="list" allowBlank="1" showInputMessage="1" showErrorMessage="1" xr:uid="{3F83A801-B42F-4B49-A812-452C36920AB8}">
          <x14:formula1>
            <xm:f>ChartData!$I$31:$L$31</xm:f>
          </x14:formula1>
          <xm:sqref>P23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8273B-7C8D-4EB7-9DA2-E67644CF9BAF}">
  <dimension ref="B1:R35"/>
  <sheetViews>
    <sheetView workbookViewId="0"/>
  </sheetViews>
  <sheetFormatPr defaultRowHeight="13.8"/>
  <cols>
    <col min="2" max="2" width="12.09765625" bestFit="1" customWidth="1"/>
    <col min="3" max="3" width="14.5" bestFit="1" customWidth="1"/>
    <col min="4" max="6" width="10.8984375" customWidth="1"/>
    <col min="8" max="8" width="12.09765625" bestFit="1" customWidth="1"/>
    <col min="9" max="11" width="14.69921875" bestFit="1" customWidth="1"/>
    <col min="12" max="12" width="14.69921875" customWidth="1"/>
    <col min="14" max="14" width="12.09765625" bestFit="1" customWidth="1"/>
    <col min="15" max="15" width="11.69921875" customWidth="1"/>
    <col min="16" max="18" width="10.09765625" bestFit="1" customWidth="1"/>
  </cols>
  <sheetData>
    <row r="1" spans="2:18" ht="14.4" thickBot="1"/>
    <row r="2" spans="2:18">
      <c r="B2" s="206"/>
      <c r="C2" s="207" t="s">
        <v>0</v>
      </c>
      <c r="D2" s="207"/>
      <c r="E2" s="207"/>
      <c r="F2" s="208"/>
      <c r="H2" s="206"/>
      <c r="I2" s="207" t="s">
        <v>3</v>
      </c>
      <c r="J2" s="207"/>
      <c r="K2" s="207"/>
      <c r="L2" s="208"/>
      <c r="O2" t="s">
        <v>131</v>
      </c>
    </row>
    <row r="3" spans="2:18">
      <c r="B3" s="209"/>
      <c r="C3">
        <v>2024</v>
      </c>
      <c r="D3">
        <v>2023</v>
      </c>
      <c r="E3">
        <v>2022</v>
      </c>
      <c r="F3" s="210">
        <v>2021</v>
      </c>
      <c r="H3" s="209"/>
      <c r="I3" cm="1">
        <f t="array" ref="I3:L3">C3:F3</f>
        <v>2024</v>
      </c>
      <c r="J3">
        <v>2023</v>
      </c>
      <c r="K3">
        <v>2022</v>
      </c>
      <c r="L3" s="210">
        <v>2021</v>
      </c>
      <c r="O3" cm="1">
        <f t="array" ref="O3:R3">_xlfn.ANCHORARRAY(I3)</f>
        <v>2024</v>
      </c>
      <c r="P3">
        <v>2023</v>
      </c>
      <c r="Q3">
        <v>2022</v>
      </c>
      <c r="R3">
        <v>2021</v>
      </c>
    </row>
    <row r="4" spans="2:18">
      <c r="B4" s="209" t="s">
        <v>124</v>
      </c>
      <c r="C4" s="157" cm="1">
        <f t="array" ref="C4:F4">'C24-21'!B4:E4</f>
        <v>11313.85</v>
      </c>
      <c r="D4" s="157">
        <v>9871.65</v>
      </c>
      <c r="E4" s="157">
        <v>8634.65</v>
      </c>
      <c r="F4" s="211">
        <v>7547.06</v>
      </c>
      <c r="H4" s="209" t="str" cm="1">
        <f t="array" ref="H4:H7">B4:B7</f>
        <v>Chipotle</v>
      </c>
      <c r="I4" s="219">
        <f>_xlfn.XLOOKUP($I$2,'C24-21'!$A$4:$A$70,'C24-21'!B4:B70)*1000000</f>
        <v>3017690000</v>
      </c>
      <c r="J4" s="219">
        <f>_xlfn.XLOOKUP($I$2,'C24-21'!$A$4:$A$70,'C24-21'!C4:C70)*1000000</f>
        <v>2586090000</v>
      </c>
      <c r="K4" s="219">
        <f>_xlfn.XLOOKUP($I$2,'C24-21'!$A$4:$A$70,'C24-21'!D4:D70)*1000000</f>
        <v>2062120000</v>
      </c>
      <c r="L4" s="220">
        <f>_xlfn.XLOOKUP($I$2,'C24-21'!$A$4:$A$70,'C24-21'!E4:E70)*1000000</f>
        <v>1707010000</v>
      </c>
      <c r="N4" t="str" cm="1">
        <f t="array" ref="N4:N7">_xlfn.ANCHORARRAY(H4)</f>
        <v>Chipotle</v>
      </c>
      <c r="O4" s="157">
        <f>IF('Exe Sum'!$AH$5="All",_xlfn.XLOOKUP($N$4,$B$4:$B$7,C4:C7),IF($N$4='Exe Sum'!$AH$5,_xlfn.XLOOKUP(ChartData!$N$4,ChartData!$B$4:$B$7,ChartData!C4:C7),NA()))</f>
        <v>11313.85</v>
      </c>
      <c r="P4" s="157">
        <f>IF('Exe Sum'!$AH$5="All",_xlfn.XLOOKUP($N$4,$B$4:$B$7,D4:D7),IF($N$4='Exe Sum'!$AH$5,_xlfn.XLOOKUP(ChartData!$N$4,ChartData!$B$4:$B$7,ChartData!D4:D7),NA()))</f>
        <v>9871.65</v>
      </c>
      <c r="Q4" s="157">
        <f>IF('Exe Sum'!$AH$5="All",_xlfn.XLOOKUP($N$4,$B$4:$B$7,E4:E7),IF($N$4='Exe Sum'!$AH$5,_xlfn.XLOOKUP(ChartData!$N$4,ChartData!$B$4:$B$7,ChartData!E4:E7),NA()))</f>
        <v>8634.65</v>
      </c>
      <c r="R4" s="157">
        <f>IF('Exe Sum'!$AH$5="All",_xlfn.XLOOKUP($N$4,$B$4:$B$7,F4:F7),IF($N$4='Exe Sum'!$AH$5,_xlfn.XLOOKUP(ChartData!$N$4,ChartData!$B$4:$B$7,ChartData!F4:F7),NA()))</f>
        <v>7547.06</v>
      </c>
    </row>
    <row r="5" spans="2:18">
      <c r="B5" s="209" t="s">
        <v>125</v>
      </c>
      <c r="C5" s="157" cm="1">
        <f t="array" ref="C5:F5">'S24-21'!B4:E4</f>
        <v>1252.6099999999999</v>
      </c>
      <c r="D5" s="157">
        <v>1087.53</v>
      </c>
      <c r="E5" s="157">
        <v>900.49</v>
      </c>
      <c r="F5" s="211">
        <v>739.89</v>
      </c>
      <c r="H5" s="209" t="str">
        <v>Shake Shack</v>
      </c>
      <c r="I5" s="219">
        <f>_xlfn.XLOOKUP($I$2,'S24-21'!$A$4:$A$71,'S24-21'!B4:B71)*1000000</f>
        <v>302470000</v>
      </c>
      <c r="J5" s="219">
        <f>_xlfn.XLOOKUP($I$2,'S24-21'!$A$4:$A$71,'S24-21'!C4:C71)*1000000</f>
        <v>248940000</v>
      </c>
      <c r="K5" s="219">
        <f>_xlfn.XLOOKUP($I$2,'S24-21'!$A$4:$A$71,'S24-21'!D4:D71)*1000000</f>
        <v>183390000</v>
      </c>
      <c r="L5" s="220">
        <f>_xlfn.XLOOKUP($I$2,'S24-21'!$A$4:$A$71,'S24-21'!E4:E71)*1000000</f>
        <v>145260000</v>
      </c>
      <c r="N5" t="str">
        <v>Shake Shack</v>
      </c>
      <c r="O5" s="157">
        <f>IF('Exe Sum'!$AH$5="All",_xlfn.XLOOKUP(ChartData!$N$5,ChartData!$B$4:$B$7,ChartData!C4:C7),IF($N$5='Exe Sum'!$AH$5,_xlfn.XLOOKUP(ChartData!$N$5,ChartData!$B$4:$B$7,ChartData!C4:C7),NA()))</f>
        <v>1252.6099999999999</v>
      </c>
      <c r="P5" s="157">
        <f>IF('Exe Sum'!$AH$5="All",_xlfn.XLOOKUP(ChartData!$N$5,ChartData!$B$4:$B$7,ChartData!D4:D7),IF($N$5='Exe Sum'!$AH$5,_xlfn.XLOOKUP(ChartData!$N$5,ChartData!$B$4:$B$7,ChartData!D4:D7),NA()))</f>
        <v>1087.53</v>
      </c>
      <c r="Q5" s="157">
        <f>IF('Exe Sum'!$AH$5="All",_xlfn.XLOOKUP(ChartData!$N$5,ChartData!$B$4:$B$7,ChartData!E4:E7),IF($N$5='Exe Sum'!$AH$5,_xlfn.XLOOKUP(ChartData!$N$5,ChartData!$B$4:$B$7,ChartData!E4:E7),NA()))</f>
        <v>900.49</v>
      </c>
      <c r="R5" s="157">
        <f>IF('Exe Sum'!$AH$5="All",_xlfn.XLOOKUP(ChartData!$N$5,ChartData!$B$4:$B$7,ChartData!F4:F7),IF($N$5='Exe Sum'!$AH$5,_xlfn.XLOOKUP(ChartData!$N$5,ChartData!$B$4:$B$7,ChartData!F4:F7),NA()))</f>
        <v>739.89</v>
      </c>
    </row>
    <row r="6" spans="2:18">
      <c r="B6" s="209" t="s">
        <v>126</v>
      </c>
      <c r="C6" s="157" cm="1">
        <f t="array" ref="C6:F6">'M24-21'!B4:E4</f>
        <v>25920</v>
      </c>
      <c r="D6" s="157">
        <v>25494</v>
      </c>
      <c r="E6" s="157">
        <v>23183</v>
      </c>
      <c r="F6" s="211">
        <v>23222.9</v>
      </c>
      <c r="H6" s="209" t="str">
        <v>McDonalds</v>
      </c>
      <c r="I6" s="219">
        <f>_xlfn.XLOOKUP($I$2,'M24-21'!$A$4:$A$71,'M24-21'!B4:B71)*1000000</f>
        <v>14710000000</v>
      </c>
      <c r="J6" s="219">
        <f>_xlfn.XLOOKUP($I$2,'M24-21'!$A$4:$A$71,'M24-21'!C4:C71)*1000000</f>
        <v>14563000000</v>
      </c>
      <c r="K6" s="219">
        <f>_xlfn.XLOOKUP($I$2,'M24-21'!$A$4:$A$71,'M24-21'!D4:D71)*1000000</f>
        <v>13208000000</v>
      </c>
      <c r="L6" s="220">
        <f>_xlfn.XLOOKUP($I$2,'M24-21'!$A$4:$A$71,'M24-21'!E4:E71)*1000000</f>
        <v>12580200000</v>
      </c>
      <c r="N6" t="str">
        <v>McDonalds</v>
      </c>
      <c r="O6" s="157">
        <f>IF('Exe Sum'!$AH$5="All",_xlfn.XLOOKUP(ChartData!$N$6,ChartData!$B$4:$B$7,ChartData!C4:C7),IF($N$6='Exe Sum'!$AH$5,_xlfn.XLOOKUP(ChartData!$N$6,ChartData!$B$4:$B$7,ChartData!C4:C7),NA()))</f>
        <v>25920</v>
      </c>
      <c r="P6" s="157">
        <f>IF('Exe Sum'!$AH$5="All",_xlfn.XLOOKUP(ChartData!$N$6,ChartData!$B$4:$B$7,ChartData!D4:D7),IF($N$6='Exe Sum'!$AH$5,_xlfn.XLOOKUP(ChartData!$N$6,ChartData!$B$4:$B$7,ChartData!D4:D7),NA()))</f>
        <v>25494</v>
      </c>
      <c r="Q6" s="157">
        <f>IF('Exe Sum'!$AH$5="All",_xlfn.XLOOKUP(ChartData!$N$6,ChartData!$B$4:$B$7,ChartData!E4:E7),IF($N$6='Exe Sum'!$AH$5,_xlfn.XLOOKUP(ChartData!$N$6,ChartData!$B$4:$B$7,ChartData!E4:E7),NA()))</f>
        <v>23183</v>
      </c>
      <c r="R6" s="157">
        <f>IF('Exe Sum'!$AH$5="All",_xlfn.XLOOKUP(ChartData!$N$6,ChartData!$B$4:$B$7,ChartData!F4:F7),IF($N$6='Exe Sum'!$AH$5,_xlfn.XLOOKUP(ChartData!$N$6,ChartData!$B$4:$B$7,ChartData!F4:F7),NA()))</f>
        <v>23222.9</v>
      </c>
    </row>
    <row r="7" spans="2:18" ht="14.4" thickBot="1">
      <c r="B7" s="209" t="s">
        <v>127</v>
      </c>
      <c r="C7" s="157" cm="1">
        <f t="array" ref="C7:F7">'Y24-21'!B4:E4</f>
        <v>7549</v>
      </c>
      <c r="D7" s="157">
        <v>7076</v>
      </c>
      <c r="E7" s="157">
        <v>6842</v>
      </c>
      <c r="F7" s="211">
        <v>6584</v>
      </c>
      <c r="H7" s="214" t="str">
        <v>Yum</v>
      </c>
      <c r="I7" s="221">
        <f>_xlfn.XLOOKUP($I$2,'Y24-21'!$A$4:$A$72,'Y24-21'!B4:B72)*1000000</f>
        <v>5429000000</v>
      </c>
      <c r="J7" s="221">
        <f>_xlfn.XLOOKUP($I$2,'Y24-21'!$A$4:$A$72,'Y24-21'!C4:C72)*1000000</f>
        <v>5302000000</v>
      </c>
      <c r="K7" s="221">
        <f>_xlfn.XLOOKUP($I$2,'Y24-21'!$A$4:$A$72,'Y24-21'!D4:D72)*1000000</f>
        <v>5097000000</v>
      </c>
      <c r="L7" s="222">
        <f>_xlfn.XLOOKUP($I$2,'Y24-21'!$A$4:$A$72,'Y24-21'!E4:E72)*1000000</f>
        <v>4859000000</v>
      </c>
      <c r="N7" t="str">
        <v>Yum</v>
      </c>
      <c r="O7" s="157">
        <f>IF('Exe Sum'!$AH$5="All",_xlfn.XLOOKUP(ChartData!$N$7,ChartData!$B$4:$B$7,ChartData!C4:C7),IF($N$7='Exe Sum'!$AH$5,_xlfn.XLOOKUP(ChartData!$N$7,ChartData!$B$4:$B$7,ChartData!C4:C7),NA()))</f>
        <v>7549</v>
      </c>
      <c r="P7" s="157">
        <f>IF('Exe Sum'!$AH$5="All",_xlfn.XLOOKUP(ChartData!$N$7,ChartData!$B$4:$B$7,ChartData!D4:D7),IF($N$7='Exe Sum'!$AH$5,_xlfn.XLOOKUP(ChartData!$N$7,ChartData!$B$4:$B$7,ChartData!D4:D7),NA()))</f>
        <v>7076</v>
      </c>
      <c r="Q7" s="157">
        <f>IF('Exe Sum'!$AH$5="All",_xlfn.XLOOKUP(ChartData!$N$7,ChartData!$B$4:$B$7,ChartData!E4:E7),IF($N$7='Exe Sum'!$AH$5,_xlfn.XLOOKUP(ChartData!$N$7,ChartData!$B$4:$B$7,ChartData!E4:E7),NA()))</f>
        <v>6842</v>
      </c>
      <c r="R7" s="157">
        <f>IF('Exe Sum'!$AH$5="All",_xlfn.XLOOKUP(ChartData!$N$7,ChartData!$B$4:$B$7,ChartData!F4:F7),IF($N$7='Exe Sum'!$AH$5,_xlfn.XLOOKUP(ChartData!$N$7,ChartData!$B$4:$B$7,ChartData!F4:F7),NA()))</f>
        <v>6584</v>
      </c>
    </row>
    <row r="8" spans="2:18" ht="14.4" thickBot="1">
      <c r="B8" s="209" t="s">
        <v>130</v>
      </c>
      <c r="F8" s="210"/>
    </row>
    <row r="9" spans="2:18">
      <c r="B9" s="209"/>
      <c r="C9" t="s">
        <v>0</v>
      </c>
      <c r="F9" s="210"/>
      <c r="H9" s="206"/>
      <c r="I9" s="207" t="s">
        <v>129</v>
      </c>
      <c r="J9" s="207"/>
      <c r="K9" s="207"/>
      <c r="L9" s="208"/>
      <c r="O9" t="s">
        <v>3</v>
      </c>
    </row>
    <row r="10" spans="2:18" ht="41.4">
      <c r="B10" s="209"/>
      <c r="C10" cm="1">
        <f t="array" ref="C10:F10">C3:F3</f>
        <v>2024</v>
      </c>
      <c r="D10">
        <v>2023</v>
      </c>
      <c r="E10">
        <v>2022</v>
      </c>
      <c r="F10" s="210">
        <v>2021</v>
      </c>
      <c r="H10" s="209"/>
      <c r="I10" cm="1">
        <f t="array" ref="I10:L10">_xlfn.ANCHORARRAY(I3)</f>
        <v>2024</v>
      </c>
      <c r="J10">
        <v>2023</v>
      </c>
      <c r="K10">
        <v>2022</v>
      </c>
      <c r="L10" s="210">
        <v>2021</v>
      </c>
      <c r="O10" s="234" t="s">
        <v>117</v>
      </c>
      <c r="P10" s="234" t="s">
        <v>132</v>
      </c>
      <c r="Q10" s="234" t="s">
        <v>133</v>
      </c>
    </row>
    <row r="11" spans="2:18">
      <c r="B11" s="209" t="str">
        <f>'Exe Sum'!O5</f>
        <v>McDonalds</v>
      </c>
      <c r="C11" s="157">
        <f>_xlfn.XLOOKUP($B$11,$B$4:$B$7,C4:C7)</f>
        <v>25920</v>
      </c>
      <c r="D11" s="157">
        <f>_xlfn.XLOOKUP($B$11,$B$4:$B$7,D4:D7)</f>
        <v>25494</v>
      </c>
      <c r="E11" s="157">
        <f>_xlfn.XLOOKUP($B$11,$B$4:$B$7,E4:E7)</f>
        <v>23183</v>
      </c>
      <c r="F11" s="211">
        <f>_xlfn.XLOOKUP($B$11,$B$4:$B$7,F4:F7)</f>
        <v>23222.9</v>
      </c>
      <c r="H11" s="228" t="str" cm="1">
        <f t="array" ref="H11:H14">_xlfn.ANCHORARRAY(H4)</f>
        <v>Chipotle</v>
      </c>
      <c r="I11" s="223">
        <f>_xlfn.XLOOKUP(ChartData!$I$9,'YOY CMG'!$A$22:$A$44,'YOY CMG'!C22:C44)</f>
        <v>1.1211467910022364</v>
      </c>
      <c r="J11" s="223">
        <f>_xlfn.XLOOKUP(ChartData!$I$9,'YOY CMG'!$A$22:$A$44,'YOY CMG'!D22:D44)</f>
        <v>0.8918324538928849</v>
      </c>
      <c r="K11" s="223">
        <f>_xlfn.XLOOKUP(ChartData!$I$9,'YOY CMG'!$A$22:$A$44,'YOY CMG'!F22:F44)</f>
        <v>0.64565470291697191</v>
      </c>
      <c r="L11" s="229">
        <f>_xlfn.XLOOKUP(ChartData!$I$9,'YOY CMG'!$A$22:$A$44,'YOY CMG'!H22:H44)</f>
        <v>0.46422579269159681</v>
      </c>
      <c r="N11" t="str" cm="1">
        <f t="array" ref="N11:N14">_xlfn.ANCHORARRAY(N4)</f>
        <v>Chipotle</v>
      </c>
      <c r="O11" s="158">
        <f>IF('Exe Sum'!$AH$5="All",_xlfn.XLOOKUP($O$9,'YOY CMG'!$A$3:$A$19,'YOY CMG'!$E$3:$E$19),IF('Exe Sum'!$AH$5=ChartData!$N$11,_xlfn.XLOOKUP($O$9,'YOY CMG'!$A$3:$A$19,'YOY CMG'!$E$3:$E$19),NA()))</f>
        <v>0.16689287689136878</v>
      </c>
      <c r="P11" s="158">
        <f>IF('Exe Sum'!$AH$5="All",_xlfn.XLOOKUP($O$9,'YOY CMG'!$A$3:$A$19,'YOY CMG'!$G$3:$G$19),IF('Exe Sum'!$AH$5=ChartData!$N$11,_xlfn.XLOOKUP($O$9,'YOY CMG'!$A$3:$A$19,'YOY CMG'!$G$3:$G$19),NA()))</f>
        <v>0.25409287529338753</v>
      </c>
      <c r="Q11" s="158">
        <f>IF('Exe Sum'!$AH$5="All",_xlfn.XLOOKUP($O$9,'YOY CMG'!$A$3:$A$19,'YOY CMG'!$I$3:$I$19),IF('Exe Sum'!$AH$5=ChartData!$N$11,_xlfn.XLOOKUP($O$9,'YOY CMG'!$A$3:$A$19,'YOY CMG'!$I$3:$I$19),NA()))</f>
        <v>0.20803041575620523</v>
      </c>
    </row>
    <row r="12" spans="2:18">
      <c r="B12" s="209"/>
      <c r="F12" s="210"/>
      <c r="H12" s="209" t="str">
        <v>Shake Shack</v>
      </c>
      <c r="I12" s="223">
        <f>_xlfn.XLOOKUP($I$9,'YOY SHAK'!$A$22:$A$44,'YOY SHAK'!C22:C44)</f>
        <v>0.25633944263118258</v>
      </c>
      <c r="J12" s="223">
        <f>_xlfn.XLOOKUP($I$9,'YOY SHAK'!$A$22:$A$44,'YOY SHAK'!D22:D44)</f>
        <v>0.51395230847285645</v>
      </c>
      <c r="K12" s="223">
        <f>_xlfn.XLOOKUP($I$9,'YOY SHAK'!$A$22:$A$44,'YOY SHAK'!F22:F44)</f>
        <v>-0.54102956167176353</v>
      </c>
      <c r="L12" s="229">
        <f>_xlfn.XLOOKUP($I$9,'YOY SHAK'!$A$22:$A$44,'YOY SHAK'!H22:H44)</f>
        <v>-0.11665387567152723</v>
      </c>
      <c r="N12" t="str">
        <v>Shake Shack</v>
      </c>
      <c r="O12" s="158">
        <f>IF('Exe Sum'!$AH$5="All",_xlfn.XLOOKUP($O$9,'YOY SHAK'!$A$3:$A$19,'YOY SHAK'!$E$3:$E$19),IF('Exe Sum'!$AH$5=$N$12,_xlfn.XLOOKUP($O$9,'YOY SHAK'!$A$3:$A$19,'YOY SHAK'!$E$3:$E$19),NA()))</f>
        <v>0.21503173455451124</v>
      </c>
      <c r="P12" s="158">
        <f>IF('Exe Sum'!$AH$5="All",_xlfn.XLOOKUP($O$9,'YOY SHAK'!$A$3:$A$19,'YOY SHAK'!$G$3:$G$19),IF('Exe Sum'!$AH$5=$N$12,_xlfn.XLOOKUP($O$9,'YOY SHAK'!$A$3:$A$19,'YOY SHAK'!$G$3:$G$19),NA()))</f>
        <v>0.35743497464420099</v>
      </c>
      <c r="Q12" s="158">
        <f>IF('Exe Sum'!$AH$5="All",_xlfn.XLOOKUP($O$9,'YOY SHAK'!$A$3:$A$19,'YOY SHAK'!$I$3:$I$19),IF('Exe Sum'!$AH$5=$N$12,_xlfn.XLOOKUP($O$9,'YOY SHAK'!$A$3:$A$19,'YOY SHAK'!$I$3:$I$19),NA()))</f>
        <v>0.26249483684427921</v>
      </c>
    </row>
    <row r="13" spans="2:18">
      <c r="B13" s="209"/>
      <c r="C13" t="s">
        <v>128</v>
      </c>
      <c r="F13" s="210"/>
      <c r="H13" s="209" t="str">
        <v>McDonalds</v>
      </c>
      <c r="I13" s="223">
        <f>_xlfn.XLOOKUP($I$9,'YOY MCD'!$A$22:$A$44,'YOY MCD'!C22:C44)</f>
        <v>11.44786300988445</v>
      </c>
      <c r="J13" s="223">
        <f>_xlfn.XLOOKUP($I$9,'YOY MCD'!$A$22:$A$44,'YOY MCD'!D22:D44)</f>
        <v>11.634839950542657</v>
      </c>
      <c r="K13" s="223">
        <f>_xlfn.XLOOKUP($I$9,'YOY MCD'!$A$22:$A$44,'YOY MCD'!F22:F44)</f>
        <v>8.3869653767820775</v>
      </c>
      <c r="L13" s="229">
        <f>_xlfn.XLOOKUP($I$9,'YOY MCD'!$A$22:$A$44,'YOY MCD'!H22:H44)</f>
        <v>10.110143373978293</v>
      </c>
      <c r="N13" t="str">
        <v>McDonalds</v>
      </c>
      <c r="O13" s="158">
        <f>IF('Exe Sum'!$AH$5="All",_xlfn.XLOOKUP(ChartData!$O$9,'YOY MCD'!$A$3:$A$19,'YOY MCD'!$E$3:$E$19),IF('Exe Sum'!$AH$5=$N$13,_xlfn.XLOOKUP(ChartData!$O$9,'YOY MCD'!$A$3:$A$19,'YOY MCD'!$E$3:$E$19),NA()))</f>
        <v>1.0094074023209504E-2</v>
      </c>
      <c r="P13" s="158">
        <f>IF('Exe Sum'!$AH$5="All",_xlfn.XLOOKUP(ChartData!$O$9,'YOY MCD'!$A$3:$A$19,'YOY MCD'!$G$3:$G$19),IF('Exe Sum'!$AH$5=$N$13,_xlfn.XLOOKUP(ChartData!$O$9,'YOY MCD'!$A$3:$A$19,'YOY MCD'!$G$3:$G$19),NA()))</f>
        <v>0.1025893397940642</v>
      </c>
      <c r="Q13" s="158">
        <f>IF('Exe Sum'!$AH$5="All",_xlfn.XLOOKUP(ChartData!$O$9,'YOY MCD'!$A$3:$A$19,'YOY MCD'!$I$3:$I$19),IF('Exe Sum'!$AH$5=$N$13,_xlfn.XLOOKUP(ChartData!$O$9,'YOY MCD'!$A$3:$A$19,'YOY MCD'!$I$3:$I$19),NA()))</f>
        <v>4.990381710942586E-2</v>
      </c>
    </row>
    <row r="14" spans="2:18">
      <c r="B14" s="209"/>
      <c r="C14" cm="1">
        <f t="array" ref="C14:F14">_xlfn.ANCHORARRAY(C10)</f>
        <v>2024</v>
      </c>
      <c r="D14">
        <v>2023</v>
      </c>
      <c r="E14">
        <v>2022</v>
      </c>
      <c r="F14" s="210">
        <v>2021</v>
      </c>
      <c r="H14" s="209" t="str">
        <v>Yum</v>
      </c>
      <c r="I14" s="223">
        <f>_xlfn.XLOOKUP($I$9,'YOY Yum'!$A$22:$A$44,'YOY Yum'!C22:C44)</f>
        <v>5.2695035460992905</v>
      </c>
      <c r="J14" s="223">
        <f>_xlfn.XLOOKUP($I$9,'YOY Yum'!$A$22:$A$44,'YOY Yum'!D22:D44)</f>
        <v>5.6832740213523127</v>
      </c>
      <c r="K14" s="223">
        <f>_xlfn.XLOOKUP($I$9,'YOY Yum'!$A$22:$A$44,'YOY Yum'!F22:F44)</f>
        <v>4.6328671328671325</v>
      </c>
      <c r="L14" s="229">
        <f>_xlfn.XLOOKUP($I$9,'YOY Yum'!$A$22:$A$44,'YOY Yum'!H22:H44)</f>
        <v>5.3030303030303028</v>
      </c>
      <c r="N14" t="str">
        <v>Yum</v>
      </c>
      <c r="O14" s="158">
        <f>IF('Exe Sum'!$AH$5="All",_xlfn.XLOOKUP($O$9,'YOY Yum'!$A$3:$A$19,'YOY Yum'!$E$3:$E$19),IF('Exe Sum'!$AH$5=$N$14,_xlfn.XLOOKUP($O$9,'YOY CMG'!$A$3:$A$19,'YOY CMG'!$E$3:$E$19),NA()))</f>
        <v>2.3953225198038476E-2</v>
      </c>
      <c r="P14" s="158">
        <f>IF('Exe Sum'!$AH$5="All",_xlfn.XLOOKUP($O$9,'YOY Yum'!$A$3:$A$19,'YOY Yum'!$G$3:$G$19),IF('Exe Sum'!AH5=N14,_xlfn.XLOOKUP($O$9,'YOY Yum'!$A$3:$A$19,'YOY Yum'!$G$3:$G$19),NA()))</f>
        <v>4.0219737100255053E-2</v>
      </c>
      <c r="Q14" s="158">
        <f>IF('Exe Sum'!$AH$5="All",_xlfn.XLOOKUP($O$9,'YOY Yum'!$A$3:$A$19,'YOY Yum'!$I$3:$I$19),IF('Exe Sum'!AH5=N14,_xlfn.XLOOKUP($O$9,'YOY Yum'!$A$3:$A$19,'YOY Yum'!$I$3:$I$19),NA()))</f>
        <v>4.8981271866639225E-2</v>
      </c>
    </row>
    <row r="15" spans="2:18">
      <c r="B15" s="209" t="str" cm="1">
        <f t="array" ref="B15:B18">B4:B7</f>
        <v>Chipotle</v>
      </c>
      <c r="C15" s="157" cm="1">
        <f t="array" ref="C15:F15">'C24-21'!B15:E15</f>
        <v>1534.11</v>
      </c>
      <c r="D15" s="157">
        <v>1228.74</v>
      </c>
      <c r="E15" s="157">
        <v>899.1</v>
      </c>
      <c r="F15" s="211">
        <v>652.98</v>
      </c>
      <c r="H15" s="209"/>
      <c r="L15" s="210"/>
    </row>
    <row r="16" spans="2:18">
      <c r="B16" s="209" t="str">
        <v>Shake Shack</v>
      </c>
      <c r="C16" s="157" cm="1">
        <f t="array" ref="C16:F16">'S24-21'!B18:E18</f>
        <v>10.210000000000001</v>
      </c>
      <c r="D16" s="157">
        <v>20.260000000000002</v>
      </c>
      <c r="E16" s="157">
        <v>-21.23</v>
      </c>
      <c r="F16" s="211">
        <v>-4.5599999999999996</v>
      </c>
      <c r="H16" s="209"/>
      <c r="I16" t="s">
        <v>129</v>
      </c>
      <c r="L16" s="210"/>
    </row>
    <row r="17" spans="2:12">
      <c r="B17" s="209" t="str">
        <v>McDonalds</v>
      </c>
      <c r="C17" s="157" cm="1">
        <f t="array" ref="C17:F17">'M24-21'!B17:E17</f>
        <v>8223</v>
      </c>
      <c r="D17" s="157">
        <v>8469</v>
      </c>
      <c r="E17" s="157">
        <v>6177</v>
      </c>
      <c r="F17" s="211">
        <v>7545.2</v>
      </c>
      <c r="H17" s="209"/>
      <c r="I17" cm="1">
        <f t="array" ref="I17:L17">_xlfn.ANCHORARRAY(I10)</f>
        <v>2024</v>
      </c>
      <c r="J17">
        <v>2023</v>
      </c>
      <c r="K17">
        <v>2022</v>
      </c>
      <c r="L17" s="210">
        <v>2021</v>
      </c>
    </row>
    <row r="18" spans="2:12">
      <c r="B18" s="209" t="str">
        <v>Yum</v>
      </c>
      <c r="C18" s="157" cm="1">
        <f t="array" ref="C18:F18">'Y24-21'!B17:E17</f>
        <v>1486</v>
      </c>
      <c r="D18" s="157">
        <v>1597</v>
      </c>
      <c r="E18" s="157">
        <v>1325</v>
      </c>
      <c r="F18" s="211">
        <v>1575</v>
      </c>
      <c r="H18" s="228" t="str" cm="1">
        <f t="array" ref="H18:H21">_xlfn.ANCHORARRAY(H11)</f>
        <v>Chipotle</v>
      </c>
      <c r="I18" s="223">
        <f>IF('Exe Sum'!$AH$5="All",_xlfn.XLOOKUP($H$18,$H$11:$H$14,I11:I14),IF($H$18='Exe Sum'!$AH$5,_xlfn.XLOOKUP('Exe Sum'!$AH$5,ChartData!$H$11:$H$14,ChartData!I11:I14),NA()))</f>
        <v>1.1211467910022364</v>
      </c>
      <c r="J18" s="223">
        <f>IF('Exe Sum'!$AH$5="All",_xlfn.XLOOKUP($H$18,$H$11:$H$14,J11:J14),IF($H$18='Exe Sum'!$AH$5,_xlfn.XLOOKUP('Exe Sum'!$AH$5,ChartData!$H$11:$H$14,ChartData!J11:J14),NA()))</f>
        <v>0.8918324538928849</v>
      </c>
      <c r="K18" s="223">
        <f>IF('Exe Sum'!$AH$5="All",_xlfn.XLOOKUP($H$18,$H$11:$H$14,K11:K14),IF($H$18='Exe Sum'!$AH$5,_xlfn.XLOOKUP('Exe Sum'!$AH$5,ChartData!$H$11:$H$14,ChartData!K11:K14),NA()))</f>
        <v>0.64565470291697191</v>
      </c>
      <c r="L18" s="229">
        <f>IF('Exe Sum'!$AH$5="All",_xlfn.XLOOKUP($H$18,$H$11:$H$14,L11:L14),IF($H$18='Exe Sum'!$AH$5,_xlfn.XLOOKUP('Exe Sum'!$AH$5,ChartData!$H$11:$H$14,ChartData!L11:L14),NA()))</f>
        <v>0.46422579269159681</v>
      </c>
    </row>
    <row r="19" spans="2:12">
      <c r="B19" s="209"/>
      <c r="F19" s="210"/>
      <c r="H19" s="209" t="str">
        <v>Shake Shack</v>
      </c>
      <c r="I19" s="223" cm="1">
        <f t="array" ref="I19">IF('Exe Sum'!$AH$5="All",_xlfn.XLOOKUP(ChartData!$H$19,ChartData!$H$11:$H$14,ChartData!I11:I14),IF($H$19='Exe Sum'!$AH$5,_xlfn.XLOOKUP('Exe Sum'!$AH$5,_xlfn.ANCHORARRAY(ChartData!$H$11),ChartData!I11:I14),NA()))</f>
        <v>0.25633944263118258</v>
      </c>
      <c r="J19" s="223" cm="1">
        <f t="array" ref="J19">IF('Exe Sum'!$AH$5="All",_xlfn.XLOOKUP(ChartData!$H$19,ChartData!$H$11:$H$14,ChartData!J11:J14),IF($H$19='Exe Sum'!$AH$5,_xlfn.XLOOKUP('Exe Sum'!$AH$5,_xlfn.ANCHORARRAY(ChartData!$H$11),ChartData!J11:J14),NA()))</f>
        <v>0.51395230847285645</v>
      </c>
      <c r="K19" s="223" cm="1">
        <f t="array" ref="K19">IF('Exe Sum'!$AH$5="All",_xlfn.XLOOKUP(ChartData!$H$19,ChartData!$H$11:$H$14,ChartData!K11:K14),IF($H$19='Exe Sum'!$AH$5,_xlfn.XLOOKUP('Exe Sum'!$AH$5,_xlfn.ANCHORARRAY(ChartData!$H$11),ChartData!K11:K14),NA()))</f>
        <v>-0.54102956167176353</v>
      </c>
      <c r="L19" s="229" cm="1">
        <f t="array" ref="L19">IF('Exe Sum'!$AH$5="All",_xlfn.XLOOKUP(ChartData!$H$19,ChartData!$H$11:$H$14,ChartData!L11:L14),IF($H$19='Exe Sum'!$AH$5,_xlfn.XLOOKUP('Exe Sum'!$AH$5,_xlfn.ANCHORARRAY(ChartData!$H$11),ChartData!L11:L14),NA()))</f>
        <v>-0.11665387567152723</v>
      </c>
    </row>
    <row r="20" spans="2:12">
      <c r="B20" s="209"/>
      <c r="C20" t="s">
        <v>128</v>
      </c>
      <c r="F20" s="210"/>
      <c r="H20" s="209" t="str">
        <v>McDonalds</v>
      </c>
      <c r="I20" s="223" cm="1">
        <f t="array" ref="I20">IF('Exe Sum'!$AH$5="All",_xlfn.XLOOKUP(ChartData!$H$20,ChartData!$H$11:$H$14,ChartData!I11:I14),IF($H$20='Exe Sum'!$AH$5,_xlfn.XLOOKUP('Exe Sum'!$AH$5,_xlfn.ANCHORARRAY(ChartData!$H$11),ChartData!I11:I14),NA()))</f>
        <v>11.44786300988445</v>
      </c>
      <c r="J20" s="223" cm="1">
        <f t="array" ref="J20">IF('Exe Sum'!$AH$5="All",_xlfn.XLOOKUP(ChartData!$H$20,ChartData!$H$11:$H$14,ChartData!J11:J14),IF($H$20='Exe Sum'!$AH$5,_xlfn.XLOOKUP('Exe Sum'!$AH$5,_xlfn.ANCHORARRAY(ChartData!$H$11),ChartData!J11:J14),NA()))</f>
        <v>11.634839950542657</v>
      </c>
      <c r="K20" s="223" cm="1">
        <f t="array" ref="K20">IF('Exe Sum'!$AH$5="All",_xlfn.XLOOKUP(ChartData!$H$20,ChartData!$H$11:$H$14,ChartData!K11:K14),IF($H$20='Exe Sum'!$AH$5,_xlfn.XLOOKUP('Exe Sum'!$AH$5,_xlfn.ANCHORARRAY(ChartData!$H$11),ChartData!K11:K14),NA()))</f>
        <v>8.3869653767820775</v>
      </c>
      <c r="L20" s="229" cm="1">
        <f t="array" ref="L20">IF('Exe Sum'!$AH$5="All",_xlfn.XLOOKUP(ChartData!$H$20,ChartData!$H$11:$H$14,ChartData!L11:L14),IF($H$20='Exe Sum'!$AH$5,_xlfn.XLOOKUP('Exe Sum'!$AH$5,_xlfn.ANCHORARRAY(ChartData!$H$11),ChartData!L11:L14),NA()))</f>
        <v>10.110143373978293</v>
      </c>
    </row>
    <row r="21" spans="2:12" ht="14.4" thickBot="1">
      <c r="B21" s="209"/>
      <c r="C21" cm="1">
        <f t="array" ref="C21:F21">_xlfn.ANCHORARRAY(C14)</f>
        <v>2024</v>
      </c>
      <c r="D21">
        <v>2023</v>
      </c>
      <c r="E21">
        <v>2022</v>
      </c>
      <c r="F21" s="210">
        <v>2021</v>
      </c>
      <c r="H21" s="214" t="str">
        <v>Yum</v>
      </c>
      <c r="I21" s="230" cm="1">
        <f t="array" ref="I21">IF('Exe Sum'!$AH$5="All",_xlfn.XLOOKUP(ChartData!$H$21,ChartData!$H$11:$H$14,ChartData!I11:I14),IF($H$21='Exe Sum'!$AH$5,_xlfn.XLOOKUP('Exe Sum'!$AH$5,_xlfn.ANCHORARRAY(ChartData!$H$11),ChartData!I11:I14),NA()))</f>
        <v>5.2695035460992905</v>
      </c>
      <c r="J21" s="230" cm="1">
        <f t="array" ref="J21">IF('Exe Sum'!$AH$5="All",_xlfn.XLOOKUP(ChartData!$H$21,ChartData!$H$11:$H$14,ChartData!J11:J14),IF($H$21='Exe Sum'!$AH$5,_xlfn.XLOOKUP('Exe Sum'!$AH$5,_xlfn.ANCHORARRAY(ChartData!$H$11),ChartData!J11:J14),NA()))</f>
        <v>5.6832740213523127</v>
      </c>
      <c r="K21" s="230" cm="1">
        <f t="array" ref="K21">IF('Exe Sum'!$AH$5="All",_xlfn.XLOOKUP(ChartData!$H$21,ChartData!$H$11:$H$14,ChartData!K11:K14),IF($H$21='Exe Sum'!$AH$5,_xlfn.XLOOKUP('Exe Sum'!$AH$5,_xlfn.ANCHORARRAY(ChartData!$H$11),ChartData!K11:K14),NA()))</f>
        <v>4.6328671328671325</v>
      </c>
      <c r="L21" s="231" cm="1">
        <f t="array" ref="L21">IF('Exe Sum'!$AH$5="All",_xlfn.XLOOKUP(ChartData!$H$21,ChartData!$H$11:$H$14,ChartData!L11:L14),IF($H$21='Exe Sum'!$AH$5,_xlfn.XLOOKUP('Exe Sum'!$AH$5,_xlfn.ANCHORARRAY(ChartData!$H$11),ChartData!L11:L14),NA()))</f>
        <v>5.3030303030303028</v>
      </c>
    </row>
    <row r="22" spans="2:12">
      <c r="B22" s="209" t="str">
        <f>'Exe Sum'!O5</f>
        <v>McDonalds</v>
      </c>
      <c r="C22" s="157">
        <f>_xlfn.XLOOKUP($B$22,$B$15:$B$18,C15:C18)</f>
        <v>8223</v>
      </c>
      <c r="D22" s="157">
        <f t="shared" ref="D22:F22" si="0">_xlfn.XLOOKUP($B$22,$B$15:$B$18,D15:D18)</f>
        <v>8469</v>
      </c>
      <c r="E22" s="157">
        <f t="shared" si="0"/>
        <v>6177</v>
      </c>
      <c r="F22" s="211">
        <f t="shared" si="0"/>
        <v>7545.2</v>
      </c>
    </row>
    <row r="23" spans="2:12">
      <c r="B23" s="209"/>
      <c r="F23" s="210"/>
      <c r="I23" t="s">
        <v>94</v>
      </c>
    </row>
    <row r="24" spans="2:12">
      <c r="B24" s="209"/>
      <c r="C24" t="s">
        <v>19</v>
      </c>
      <c r="F24" s="210"/>
      <c r="I24" cm="1">
        <f t="array" ref="I24:L24">_xlfn.ANCHORARRAY(I17)</f>
        <v>2024</v>
      </c>
      <c r="J24">
        <v>2023</v>
      </c>
      <c r="K24">
        <v>2022</v>
      </c>
      <c r="L24">
        <v>2021</v>
      </c>
    </row>
    <row r="25" spans="2:12">
      <c r="B25" s="209"/>
      <c r="C25" cm="1">
        <f t="array" ref="C25:F25">_xlfn.ANCHORARRAY(C21)</f>
        <v>2024</v>
      </c>
      <c r="D25">
        <v>2023</v>
      </c>
      <c r="E25">
        <v>2022</v>
      </c>
      <c r="F25" s="210">
        <v>2021</v>
      </c>
      <c r="H25" s="157" t="str" cm="1">
        <f t="array" ref="H25:H28">_xlfn.ANCHORARRAY(H18)</f>
        <v>Chipotle</v>
      </c>
      <c r="I25" s="223">
        <f>_xlfn.XLOOKUP($I$23,'YOY CMG'!$A$22:$A$44,'YOY CMG'!C22:C44)</f>
        <v>53.596906740716115</v>
      </c>
      <c r="J25" s="223">
        <f>_xlfn.XLOOKUP($I$23,'YOY CMG'!$A$22:$A$44,'YOY CMG'!D22:D44)</f>
        <v>51.287660367530968</v>
      </c>
      <c r="K25" s="223">
        <f>_xlfn.XLOOKUP($I$23,'YOY CMG'!$A$22:$A$44,'YOY CMG'!F22:F44)</f>
        <v>42.979629629629628</v>
      </c>
      <c r="L25" s="223">
        <f>_xlfn.XLOOKUP($I$23,'YOY CMG'!$A$22:$A$44,'YOY CMG'!H22:H44)</f>
        <v>75.265098471622395</v>
      </c>
    </row>
    <row r="26" spans="2:12">
      <c r="B26" s="209" t="str" cm="1">
        <f t="array" ref="B26:B29">_xlfn.ANCHORARRAY(B15)</f>
        <v>Chipotle</v>
      </c>
      <c r="C26" s="212" cm="1">
        <f t="array" ref="C26:F26">'C24-21'!B23:E23</f>
        <v>0.1356</v>
      </c>
      <c r="D26" s="212">
        <v>0.1245</v>
      </c>
      <c r="E26" s="212">
        <v>0.1041</v>
      </c>
      <c r="F26" s="213">
        <v>8.6499999999999994E-2</v>
      </c>
      <c r="H26" t="str">
        <v>Shake Shack</v>
      </c>
      <c r="I26" s="223">
        <f>_xlfn.XLOOKUP($I$23,'YOY SHAK'!$A$22:$A$44,'YOY SHAK'!C22:C44)</f>
        <v>505.22853085210562</v>
      </c>
      <c r="J26" s="223">
        <f>_xlfn.XLOOKUP($I$23,'YOY SHAK'!$A$22:$A$44,'YOY SHAK'!D22:D44)</f>
        <v>144.21571569595261</v>
      </c>
      <c r="K26" s="223">
        <f>_xlfn.XLOOKUP($I$23,'YOY SHAK'!$A$22:$A$44,'YOY SHAK'!F22:F44)</f>
        <v>-76.761055110692411</v>
      </c>
      <c r="L26" s="223">
        <f>_xlfn.XLOOKUP($I$23,'YOY SHAK'!$A$22:$A$44,'YOY SHAK'!H22:H44)</f>
        <v>-626.38296052631586</v>
      </c>
    </row>
    <row r="27" spans="2:12">
      <c r="B27" s="209" t="str">
        <v>Shake Shack</v>
      </c>
      <c r="C27" s="212" cm="1">
        <f t="array" ref="C27:F27">'S24-21'!B26:E26</f>
        <v>8.0999999999999996E-3</v>
      </c>
      <c r="D27" s="212">
        <v>1.8599999999999998E-2</v>
      </c>
      <c r="E27" s="212">
        <v>-2.3599999999999999E-2</v>
      </c>
      <c r="F27" s="213">
        <v>-6.1999999999999998E-3</v>
      </c>
      <c r="H27" t="str">
        <v>McDonalds</v>
      </c>
      <c r="I27" s="223">
        <f>_xlfn.XLOOKUP($I$23,'YOY MCD'!$A$22:$A$44,'YOY MCD'!C22:C44)</f>
        <v>25.297297823178887</v>
      </c>
      <c r="J27" s="223">
        <f>_xlfn.XLOOKUP($I$23,'YOY MCD'!$A$22:$A$44,'YOY MCD'!D22:D44)</f>
        <v>25.484665131656627</v>
      </c>
      <c r="K27" s="223">
        <f>_xlfn.XLOOKUP($I$23,'YOY MCD'!$A$22:$A$44,'YOY MCD'!F22:F44)</f>
        <v>31.421376881981541</v>
      </c>
      <c r="L27" s="223">
        <f>_xlfn.XLOOKUP($I$23,'YOY MCD'!$A$22:$A$44,'YOY MCD'!H22:H44)</f>
        <v>26.429892249377087</v>
      </c>
    </row>
    <row r="28" spans="2:12">
      <c r="B28" s="209" t="str">
        <v>McDonalds</v>
      </c>
      <c r="C28" s="212" cm="1">
        <f t="array" ref="C28:F28">'M24-21'!B25:E25</f>
        <v>0.31719999999999998</v>
      </c>
      <c r="D28" s="212">
        <v>0.3322</v>
      </c>
      <c r="E28" s="212">
        <v>0.26640000000000003</v>
      </c>
      <c r="F28" s="213">
        <v>0.32490000000000002</v>
      </c>
      <c r="H28" t="str">
        <v>Yum</v>
      </c>
      <c r="I28" s="223">
        <f>_xlfn.XLOOKUP($I$23,'YOY Yum'!$A$22:$A$44,'YOY Yum'!C22:C44)</f>
        <v>25.338250336473759</v>
      </c>
      <c r="J28" s="223">
        <f>_xlfn.XLOOKUP($I$23,'YOY Yum'!$A$22:$A$44,'YOY Yum'!D22:D44)</f>
        <v>22.990269254852851</v>
      </c>
      <c r="K28" s="223">
        <f>_xlfn.XLOOKUP($I$23,'YOY Yum'!$A$22:$A$44,'YOY Yum'!F22:F44)</f>
        <v>27.645947169811325</v>
      </c>
      <c r="L28" s="223">
        <f>_xlfn.XLOOKUP($I$23,'YOY Yum'!$A$22:$A$44,'YOY Yum'!H22:H44)</f>
        <v>26.096399999999999</v>
      </c>
    </row>
    <row r="29" spans="2:12">
      <c r="B29" s="209" t="str">
        <v>Yum</v>
      </c>
      <c r="C29" s="212" cm="1">
        <f t="array" ref="C29:F29">'Y24-21'!B25:E25</f>
        <v>0.1968</v>
      </c>
      <c r="D29" s="212">
        <v>0.22570000000000001</v>
      </c>
      <c r="E29" s="212">
        <v>0.19370000000000001</v>
      </c>
      <c r="F29" s="213">
        <v>0.2392</v>
      </c>
    </row>
    <row r="30" spans="2:12">
      <c r="B30" s="209"/>
      <c r="F30" s="210"/>
      <c r="I30" t="s">
        <v>94</v>
      </c>
    </row>
    <row r="31" spans="2:12">
      <c r="B31" s="209"/>
      <c r="C31" t="s">
        <v>19</v>
      </c>
      <c r="F31" s="210"/>
      <c r="I31" cm="1">
        <f t="array" ref="I31:L31">_xlfn.ANCHORARRAY(I24)</f>
        <v>2024</v>
      </c>
      <c r="J31">
        <v>2023</v>
      </c>
      <c r="K31">
        <v>2022</v>
      </c>
      <c r="L31">
        <v>2021</v>
      </c>
    </row>
    <row r="32" spans="2:12">
      <c r="B32" s="209"/>
      <c r="C32" cm="1">
        <f t="array" ref="C32:F32">_xlfn.ANCHORARRAY(C25)</f>
        <v>2024</v>
      </c>
      <c r="D32">
        <v>2023</v>
      </c>
      <c r="E32">
        <v>2022</v>
      </c>
      <c r="F32" s="210">
        <v>2021</v>
      </c>
      <c r="H32" s="157" t="str" cm="1">
        <f t="array" ref="H32:H35">_xlfn.ANCHORARRAY(H25)</f>
        <v>Chipotle</v>
      </c>
      <c r="I32" s="223">
        <f>IF('Exe Sum'!$P$23=ChartData!$I$31,_xlfn.XLOOKUP(ChartData!H32,ChartData!$H$25:$H$28,ChartData!$I$25:$I$28),NA())</f>
        <v>53.596906740716115</v>
      </c>
      <c r="J32" s="223" t="e" cm="1">
        <f t="array" ref="J32">IF($J$31='Exe Sum'!$P$23,_xlfn.XLOOKUP(ChartData!H32,_xlfn.ANCHORARRAY(ChartData!$H$25),ChartData!$J$25:$J$28),NA())</f>
        <v>#N/A</v>
      </c>
      <c r="K32" s="223" t="e" cm="1">
        <f t="array" ref="K32">IF($K$31='Exe Sum'!$P$23,_xlfn.XLOOKUP(ChartData!H32,_xlfn.ANCHORARRAY(ChartData!$H$25),ChartData!$K$25:$K$28),NA())</f>
        <v>#N/A</v>
      </c>
      <c r="L32" s="223" t="e" cm="1">
        <f t="array" ref="L32">IF($L$31='Exe Sum'!$P$23,_xlfn.XLOOKUP(ChartData!H32,_xlfn.ANCHORARRAY(ChartData!$H$25),ChartData!$L$25:$L$28),NA())</f>
        <v>#N/A</v>
      </c>
    </row>
    <row r="33" spans="2:12" ht="14.4" thickBot="1">
      <c r="B33" s="214" t="str">
        <f>'Exe Sum'!O5</f>
        <v>McDonalds</v>
      </c>
      <c r="C33" s="215" cm="1">
        <f t="array" ref="C33">_xlfn.XLOOKUP($B$33,_xlfn.ANCHORARRAY($B$26),C26:C29)</f>
        <v>0.31719999999999998</v>
      </c>
      <c r="D33" s="215" cm="1">
        <f t="array" ref="D33">_xlfn.XLOOKUP($B$33,_xlfn.ANCHORARRAY($B$26),D26:D29)</f>
        <v>0.3322</v>
      </c>
      <c r="E33" s="215" cm="1">
        <f t="array" ref="E33">_xlfn.XLOOKUP($B$33,_xlfn.ANCHORARRAY($B$26),E26:E29)</f>
        <v>0.26640000000000003</v>
      </c>
      <c r="F33" s="216" cm="1">
        <f t="array" ref="F33">_xlfn.XLOOKUP($B$33,_xlfn.ANCHORARRAY($B$26),F26:F29)</f>
        <v>0.32490000000000002</v>
      </c>
      <c r="H33" t="str">
        <v>Shake Shack</v>
      </c>
      <c r="I33" s="223">
        <f>IF('Exe Sum'!$P$23=ChartData!$I$31,_xlfn.XLOOKUP(ChartData!H33,ChartData!$H$25:$H$28,ChartData!$I$25:$I$28),NA())</f>
        <v>505.22853085210562</v>
      </c>
      <c r="J33" s="223" t="e" cm="1">
        <f t="array" ref="J33">IF($J$31='Exe Sum'!$P$23,_xlfn.XLOOKUP(ChartData!H33,_xlfn.ANCHORARRAY(ChartData!$H$25),ChartData!$J$25:$J$28),NA())</f>
        <v>#N/A</v>
      </c>
      <c r="K33" s="223" t="e" cm="1">
        <f t="array" ref="K33">IF($K$31='Exe Sum'!$P$23,_xlfn.XLOOKUP(ChartData!H33,_xlfn.ANCHORARRAY(ChartData!$H$25),ChartData!$K$25:$K$28),NA())</f>
        <v>#N/A</v>
      </c>
      <c r="L33" s="223" t="e" cm="1">
        <f t="array" ref="L33">IF($L$31='Exe Sum'!$P$23,_xlfn.XLOOKUP(ChartData!H33,_xlfn.ANCHORARRAY(ChartData!$H$25),ChartData!$L$25:$L$28),NA())</f>
        <v>#N/A</v>
      </c>
    </row>
    <row r="34" spans="2:12">
      <c r="H34" t="str">
        <v>McDonalds</v>
      </c>
      <c r="I34" s="223">
        <f>IF('Exe Sum'!$P$23=ChartData!$I$31,_xlfn.XLOOKUP(ChartData!H34,ChartData!$H$25:$H$28,ChartData!$I$25:$I$28),NA())</f>
        <v>25.297297823178887</v>
      </c>
      <c r="J34" s="223" t="e" cm="1">
        <f t="array" ref="J34">IF($J$31='Exe Sum'!$P$23,_xlfn.XLOOKUP(ChartData!H34,_xlfn.ANCHORARRAY(ChartData!$H$25),ChartData!$J$25:$J$28),NA())</f>
        <v>#N/A</v>
      </c>
      <c r="K34" s="223" t="e" cm="1">
        <f t="array" ref="K34">IF($K$31='Exe Sum'!$P$23,_xlfn.XLOOKUP(ChartData!H34,_xlfn.ANCHORARRAY(ChartData!$H$25),ChartData!$K$25:$K$28),NA())</f>
        <v>#N/A</v>
      </c>
      <c r="L34" s="223" t="e" cm="1">
        <f t="array" ref="L34">IF($L$31='Exe Sum'!$P$23,_xlfn.XLOOKUP(ChartData!H34,_xlfn.ANCHORARRAY(ChartData!$H$25),ChartData!$L$25:$L$28),NA())</f>
        <v>#N/A</v>
      </c>
    </row>
    <row r="35" spans="2:12">
      <c r="H35" t="str">
        <v>Yum</v>
      </c>
      <c r="I35" s="223">
        <f>IF('Exe Sum'!$P$23=ChartData!$I$31,_xlfn.XLOOKUP(ChartData!H35,ChartData!$H$25:$H$28,ChartData!$I$25:$I$28),NA())</f>
        <v>25.338250336473759</v>
      </c>
      <c r="J35" s="223" t="e" cm="1">
        <f t="array" ref="J35">IF($J$31='Exe Sum'!$P$23,_xlfn.XLOOKUP(ChartData!H35,_xlfn.ANCHORARRAY(ChartData!$H$25),ChartData!$J$25:$J$28),NA())</f>
        <v>#N/A</v>
      </c>
      <c r="K35" s="223" t="e" cm="1">
        <f t="array" ref="K35">IF($K$31='Exe Sum'!$P$23,_xlfn.XLOOKUP(ChartData!H35,_xlfn.ANCHORARRAY(ChartData!$H$25),ChartData!$K$25:$K$28),NA())</f>
        <v>#N/A</v>
      </c>
      <c r="L35" s="223" t="e" cm="1">
        <f t="array" ref="L35">IF($L$31='Exe Sum'!$P$23,_xlfn.XLOOKUP(ChartData!H35,_xlfn.ANCHORARRAY(ChartData!$H$25),ChartData!$L$25:$L$28),NA())</f>
        <v>#N/A</v>
      </c>
    </row>
  </sheetData>
  <phoneticPr fontId="1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A443C-8083-F14C-A814-B052558D8EFD}">
  <sheetPr codeName="Sheet2">
    <tabColor theme="7" tint="0.39997558519241921"/>
    <pageSetUpPr fitToPage="1"/>
  </sheetPr>
  <dimension ref="A1"/>
  <sheetViews>
    <sheetView workbookViewId="0"/>
  </sheetViews>
  <sheetFormatPr defaultColWidth="10.69921875" defaultRowHeight="13.8"/>
  <cols>
    <col min="1" max="16384" width="10.69921875" style="2"/>
  </cols>
  <sheetData/>
  <pageMargins left="0.7" right="0.7" top="0.75" bottom="0.75" header="0.3" footer="0.3"/>
  <pageSetup scale="76"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40CB-C44A-47C9-86DA-1DF0F9311E1E}">
  <sheetPr codeName="Sheet12">
    <tabColor theme="5" tint="-0.249977111117893"/>
    <pageSetUpPr fitToPage="1"/>
  </sheetPr>
  <dimension ref="A1:Q990"/>
  <sheetViews>
    <sheetView workbookViewId="0">
      <selection sqref="A1:F1"/>
    </sheetView>
  </sheetViews>
  <sheetFormatPr defaultColWidth="13" defaultRowHeight="13.2"/>
  <cols>
    <col min="1" max="1" width="33.59765625" style="73" bestFit="1" customWidth="1"/>
    <col min="2" max="2" width="9.09765625" style="14" bestFit="1" customWidth="1"/>
    <col min="3" max="3" width="8.19921875" style="14" bestFit="1" customWidth="1"/>
    <col min="4" max="4" width="10" style="14" bestFit="1" customWidth="1"/>
    <col min="5" max="6" width="9.09765625" style="14" bestFit="1" customWidth="1"/>
    <col min="7" max="7" width="8.19921875" style="14" customWidth="1"/>
    <col min="8" max="17" width="7.8984375" style="14" customWidth="1"/>
    <col min="18" max="16384" width="13" style="14"/>
  </cols>
  <sheetData>
    <row r="1" spans="1:17" ht="23.4" thickBot="1">
      <c r="A1" s="246" t="s">
        <v>122</v>
      </c>
      <c r="B1" s="247"/>
      <c r="C1" s="247"/>
      <c r="D1" s="247"/>
      <c r="E1" s="247"/>
      <c r="F1" s="248"/>
    </row>
    <row r="2" spans="1:17" ht="15" thickBot="1">
      <c r="A2" s="145" t="s">
        <v>78</v>
      </c>
      <c r="B2" s="146" t="s">
        <v>105</v>
      </c>
      <c r="C2" s="146" t="s">
        <v>106</v>
      </c>
      <c r="D2" s="146" t="s">
        <v>104</v>
      </c>
      <c r="E2" s="146" t="s">
        <v>107</v>
      </c>
      <c r="F2" s="147" t="s">
        <v>79</v>
      </c>
      <c r="G2" s="13"/>
      <c r="H2" s="13"/>
      <c r="I2" s="13"/>
      <c r="J2" s="13"/>
      <c r="K2" s="13"/>
      <c r="L2" s="13"/>
      <c r="M2" s="13"/>
      <c r="N2" s="13"/>
      <c r="O2" s="13"/>
      <c r="P2" s="13"/>
      <c r="Q2" s="13"/>
    </row>
    <row r="3" spans="1:17" ht="14.4" thickBot="1">
      <c r="A3" s="148" t="s">
        <v>118</v>
      </c>
      <c r="B3" s="149">
        <v>2024</v>
      </c>
      <c r="C3" s="149">
        <v>2024</v>
      </c>
      <c r="D3" s="149">
        <v>2024</v>
      </c>
      <c r="E3" s="149">
        <v>2024</v>
      </c>
      <c r="F3" s="150" t="s">
        <v>80</v>
      </c>
    </row>
    <row r="4" spans="1:17" ht="13.8">
      <c r="A4" s="144" t="s">
        <v>120</v>
      </c>
      <c r="B4" s="15">
        <f>_xlfn.XLOOKUP(A4,'YOY CMG'!$A$3:$A$44,'YOY CMG'!$C$3:$C$44)</f>
        <v>60.09</v>
      </c>
      <c r="C4" s="15">
        <f>_xlfn.XLOOKUP(A4,'YOY SHAK'!$A$3:$A$44,'YOY SHAK'!$C$3:$C$44)</f>
        <v>129.51</v>
      </c>
      <c r="D4" s="15">
        <f>_xlfn.XLOOKUP(A4,'YOY MCD'!$A$3:$A$44,'YOY MCD'!$C$3:$C$44)</f>
        <v>289.60000000000002</v>
      </c>
      <c r="E4" s="15">
        <f>_xlfn.XLOOKUP(A4,'YOY Yum'!$A$3:$A$44,'YOY Yum'!$C$3:$C$44)</f>
        <v>133.52000000000001</v>
      </c>
      <c r="F4" s="17">
        <f t="shared" ref="F4:F20" si="0">AVERAGE(B4:E4)</f>
        <v>153.18</v>
      </c>
      <c r="G4" s="16"/>
    </row>
    <row r="5" spans="1:17" ht="13.8">
      <c r="A5" s="65" t="s">
        <v>0</v>
      </c>
      <c r="B5" s="15">
        <f>_xlfn.XLOOKUP(A5,'YOY CMG'!$A$3:$A$44,'YOY CMG'!$C$3:$C$44)</f>
        <v>11313.85</v>
      </c>
      <c r="C5" s="15">
        <f>_xlfn.XLOOKUP(A5,'YOY SHAK'!$A$3:$A$44,'YOY SHAK'!$C$3:$C$44)</f>
        <v>1252.6099999999999</v>
      </c>
      <c r="D5" s="15">
        <f>_xlfn.XLOOKUP(A5,'YOY MCD'!$A$3:$A$44,'YOY MCD'!$C$3:$C$44)</f>
        <v>25920</v>
      </c>
      <c r="E5" s="15">
        <f>_xlfn.XLOOKUP(A5,'YOY Yum'!$A$3:$A$44,'YOY Yum'!$C$3:$C$44)</f>
        <v>7549</v>
      </c>
      <c r="F5" s="17">
        <f t="shared" si="0"/>
        <v>11508.865</v>
      </c>
      <c r="G5" s="16"/>
    </row>
    <row r="6" spans="1:17" ht="13.8">
      <c r="A6" s="65" t="s">
        <v>2</v>
      </c>
      <c r="B6" s="15">
        <f>_xlfn.XLOOKUP(A6,'YOY CMG'!$A$3:$A$44,'YOY CMG'!$C$3:$C$44)</f>
        <v>8296.16</v>
      </c>
      <c r="C6" s="15">
        <f>_xlfn.XLOOKUP(A6,'YOY SHAK'!$A$3:$A$44,'YOY SHAK'!$C$3:$C$44)</f>
        <v>950.14</v>
      </c>
      <c r="D6" s="15">
        <f>_xlfn.XLOOKUP(A6,'YOY MCD'!$A$3:$A$44,'YOY MCD'!$C$3:$C$44)</f>
        <v>11210</v>
      </c>
      <c r="E6" s="15">
        <f>_xlfn.XLOOKUP(A6,'YOY Yum'!$A$3:$A$44,'YOY Yum'!$C$3:$C$44)</f>
        <v>2120</v>
      </c>
      <c r="F6" s="17">
        <f t="shared" si="0"/>
        <v>5644.0749999999998</v>
      </c>
      <c r="G6" s="16"/>
    </row>
    <row r="7" spans="1:17" ht="13.8">
      <c r="A7" s="64" t="s">
        <v>3</v>
      </c>
      <c r="B7" s="15">
        <f>_xlfn.XLOOKUP(A7,'YOY CMG'!$A$3:$A$44,'YOY CMG'!$C$3:$C$44)</f>
        <v>3017.69</v>
      </c>
      <c r="C7" s="15">
        <f>_xlfn.XLOOKUP(A7,'YOY SHAK'!$A$3:$A$44,'YOY SHAK'!$C$3:$C$44)</f>
        <v>302.47000000000003</v>
      </c>
      <c r="D7" s="15">
        <f>_xlfn.XLOOKUP(A7,'YOY MCD'!$A$3:$A$44,'YOY MCD'!$C$3:$C$44)</f>
        <v>14710</v>
      </c>
      <c r="E7" s="15">
        <f>_xlfn.XLOOKUP(A7,'YOY Yum'!$A$3:$A$44,'YOY Yum'!$C$3:$C$44)</f>
        <v>5429</v>
      </c>
      <c r="F7" s="17">
        <f t="shared" si="0"/>
        <v>5864.79</v>
      </c>
      <c r="G7" s="16"/>
    </row>
    <row r="8" spans="1:17" ht="13.8">
      <c r="A8" s="65" t="s">
        <v>4</v>
      </c>
      <c r="B8" s="15">
        <f>_xlfn.XLOOKUP(A8,'YOY CMG'!$A$3:$A$44,'YOY CMG'!$C$3:$C$44)</f>
        <v>697.48</v>
      </c>
      <c r="C8" s="15">
        <f>_xlfn.XLOOKUP(A8,'YOY SHAK'!$A$3:$A$44,'YOY SHAK'!$C$3:$C$44)</f>
        <v>149.05000000000001</v>
      </c>
      <c r="D8" s="15">
        <f>_xlfn.XLOOKUP(A8,'YOY MCD'!$A$3:$A$44,'YOY MCD'!$C$3:$C$44)</f>
        <v>2412</v>
      </c>
      <c r="E8" s="15">
        <f>_xlfn.XLOOKUP(A8,'YOY Yum'!$A$3:$A$44,'YOY Yum'!$C$3:$C$44)</f>
        <v>2892</v>
      </c>
      <c r="F8" s="17">
        <f t="shared" si="0"/>
        <v>1537.6324999999999</v>
      </c>
      <c r="G8" s="16"/>
    </row>
    <row r="9" spans="1:17" ht="13.8">
      <c r="A9" s="65" t="s">
        <v>5</v>
      </c>
      <c r="B9" s="15">
        <f>_xlfn.XLOOKUP(A9,'YOY CMG'!$A$3:$A$44,'YOY CMG'!$C$3:$C$44)</f>
        <v>1916.33</v>
      </c>
      <c r="C9" s="15">
        <f>_xlfn.XLOOKUP(A9,'YOY SHAK'!$A$3:$A$44,'YOY SHAK'!$C$3:$C$44)</f>
        <v>3.04</v>
      </c>
      <c r="D9" s="15">
        <f>_xlfn.XLOOKUP(A9,'YOY MCD'!$A$3:$A$44,'YOY MCD'!$C$3:$C$44)</f>
        <v>11712</v>
      </c>
      <c r="E9" s="15">
        <f>_xlfn.XLOOKUP(A9,'YOY Yum'!$A$3:$A$44,'YOY Yum'!$C$3:$C$44)</f>
        <v>2403</v>
      </c>
      <c r="F9" s="17">
        <f t="shared" si="0"/>
        <v>4008.5924999999997</v>
      </c>
      <c r="G9" s="16"/>
    </row>
    <row r="10" spans="1:17" ht="13.8">
      <c r="A10" s="66" t="s">
        <v>11</v>
      </c>
      <c r="B10" s="15">
        <f>_xlfn.XLOOKUP(A10,'YOY CMG'!$A$3:$A$44,'YOY CMG'!$C$3:$C$44)</f>
        <v>1534.11</v>
      </c>
      <c r="C10" s="15">
        <f>_xlfn.XLOOKUP(A10,'YOY SHAK'!$A$3:$A$44,'YOY SHAK'!$C$3:$C$44)</f>
        <v>10.210000000000001</v>
      </c>
      <c r="D10" s="15">
        <f>_xlfn.XLOOKUP(A10,'YOY MCD'!$A$3:$A$44,'YOY MCD'!$C$3:$C$44)</f>
        <v>8223</v>
      </c>
      <c r="E10" s="15">
        <f>_xlfn.XLOOKUP(A10,'YOY Yum'!$A$3:$A$44,'YOY Yum'!$C$3:$C$44)</f>
        <v>1486</v>
      </c>
      <c r="F10" s="17">
        <f t="shared" si="0"/>
        <v>2813.33</v>
      </c>
      <c r="G10" s="16"/>
    </row>
    <row r="11" spans="1:17" ht="13.8">
      <c r="A11" s="65" t="s">
        <v>67</v>
      </c>
      <c r="B11" s="15">
        <f>_xlfn.XLOOKUP(A11,'YOY CMG'!$A$3:$A$44,'YOY CMG'!$C$3:$C$44)</f>
        <v>1422.91</v>
      </c>
      <c r="C11" s="15">
        <f>_xlfn.XLOOKUP(A11,'YOY SHAK'!$A$3:$A$44,'YOY SHAK'!$C$3:$C$44)</f>
        <v>320.70999999999998</v>
      </c>
      <c r="D11" s="15">
        <f>_xlfn.XLOOKUP(A11,'YOY MCD'!$A$3:$A$44,'YOY MCD'!$C$3:$C$44)</f>
        <v>1085</v>
      </c>
      <c r="E11" s="15">
        <f>_xlfn.XLOOKUP(A11,'YOY Yum'!$A$3:$A$44,'YOY Yum'!$C$3:$C$44)</f>
        <v>616</v>
      </c>
      <c r="F11" s="17">
        <f t="shared" si="0"/>
        <v>861.15499999999997</v>
      </c>
      <c r="G11" s="16"/>
    </row>
    <row r="12" spans="1:17" ht="13.8">
      <c r="A12" s="65" t="s">
        <v>99</v>
      </c>
      <c r="B12" s="15">
        <f>_xlfn.XLOOKUP(A12,'YOY CMG'!$A$3:$A$44,'YOY CMG'!$C$3:$C$44)</f>
        <v>211.19</v>
      </c>
      <c r="C12" s="15">
        <f>_xlfn.XLOOKUP(A12,'YOY SHAK'!$A$3:$A$44,'YOY SHAK'!$C$3:$C$44)</f>
        <v>19.690000000000001</v>
      </c>
      <c r="D12" s="15">
        <f>_xlfn.XLOOKUP(A12,'YOY MCD'!$A$3:$A$44,'YOY MCD'!$C$3:$C$44)</f>
        <v>2383</v>
      </c>
      <c r="E12" s="15">
        <f>_xlfn.XLOOKUP(A12,'YOY Yum'!$A$3:$A$44,'YOY Yum'!$C$3:$C$44)</f>
        <v>775</v>
      </c>
      <c r="F12" s="17">
        <f t="shared" si="0"/>
        <v>847.22</v>
      </c>
      <c r="G12" s="16"/>
    </row>
    <row r="13" spans="1:17" ht="13.8">
      <c r="A13" s="64" t="s">
        <v>66</v>
      </c>
      <c r="B13" s="15">
        <f>_xlfn.XLOOKUP(A13,'YOY CMG'!$A$3:$A$44,'YOY CMG'!$C$3:$C$44)</f>
        <v>48.94</v>
      </c>
      <c r="C13" s="15">
        <f>_xlfn.XLOOKUP(A13,'YOY SHAK'!$A$3:$A$44,'YOY SHAK'!$C$3:$C$44)</f>
        <v>6.01</v>
      </c>
      <c r="D13" s="15">
        <f>_xlfn.XLOOKUP(A13,'YOY MCD'!$A$3:$A$44,'YOY MCD'!$C$3:$C$44)</f>
        <v>56</v>
      </c>
      <c r="E13" s="15">
        <f>_xlfn.XLOOKUP(A13,'YOY Yum'!$A$3:$A$44,'YOY Yum'!$C$3:$C$44)</f>
        <v>10</v>
      </c>
      <c r="F13" s="17">
        <f t="shared" si="0"/>
        <v>30.237499999999997</v>
      </c>
      <c r="G13" s="16"/>
    </row>
    <row r="14" spans="1:17" ht="13.8">
      <c r="A14" s="65" t="s">
        <v>64</v>
      </c>
      <c r="B14" s="15">
        <f>_xlfn.XLOOKUP(A14,'YOY CMG'!$A$3:$A$44,'YOY CMG'!$C$3:$C$44)</f>
        <v>1780.59</v>
      </c>
      <c r="C14" s="15">
        <f>_xlfn.XLOOKUP(A14,'YOY SHAK'!$A$3:$A$44,'YOY SHAK'!$C$3:$C$44)</f>
        <v>368.22</v>
      </c>
      <c r="D14" s="15">
        <f>_xlfn.XLOOKUP(A14,'YOY MCD'!$A$3:$A$44,'YOY MCD'!$C$3:$C$44)</f>
        <v>4599</v>
      </c>
      <c r="E14" s="15">
        <f>_xlfn.XLOOKUP(A14,'YOY Yum'!$A$3:$A$44,'YOY Yum'!$C$3:$C$44)</f>
        <v>1871</v>
      </c>
      <c r="F14" s="17">
        <f t="shared" si="0"/>
        <v>2154.7024999999999</v>
      </c>
      <c r="G14" s="16"/>
    </row>
    <row r="15" spans="1:17" ht="13.8">
      <c r="A15" s="65" t="s">
        <v>58</v>
      </c>
      <c r="B15" s="15">
        <f>_xlfn.XLOOKUP(A15,'YOY CMG'!$A$3:$A$44,'YOY CMG'!$C$3:$C$44)</f>
        <v>9204.3700000000008</v>
      </c>
      <c r="C15" s="15">
        <f>_xlfn.XLOOKUP(A15,'YOY SHAK'!$A$3:$A$44,'YOY SHAK'!$C$3:$C$44)</f>
        <v>1696.97</v>
      </c>
      <c r="D15" s="15">
        <f>_xlfn.XLOOKUP(A15,'YOY MCD'!$A$3:$A$44,'YOY MCD'!$C$3:$C$44)</f>
        <v>55182</v>
      </c>
      <c r="E15" s="15">
        <f>_xlfn.XLOOKUP(A15,'YOY Yum'!$A$3:$A$44,'YOY Yum'!$C$3:$C$44)</f>
        <v>6727</v>
      </c>
      <c r="F15" s="17">
        <f t="shared" si="0"/>
        <v>18202.584999999999</v>
      </c>
      <c r="G15" s="16"/>
    </row>
    <row r="16" spans="1:17" ht="13.8">
      <c r="A16" s="65" t="s">
        <v>52</v>
      </c>
      <c r="B16" s="15">
        <f>_xlfn.XLOOKUP(A16,'YOY CMG'!$A$3:$A$44,'YOY CMG'!$C$3:$C$44)</f>
        <v>1168.77</v>
      </c>
      <c r="C16" s="15">
        <f>_xlfn.XLOOKUP(A16,'YOY SHAK'!$A$3:$A$44,'YOY SHAK'!$C$3:$C$44)</f>
        <v>187.31</v>
      </c>
      <c r="D16" s="15">
        <f>_xlfn.XLOOKUP(A16,'YOY MCD'!$A$3:$A$44,'YOY MCD'!$C$3:$C$44)</f>
        <v>3861</v>
      </c>
      <c r="E16" s="15">
        <f>_xlfn.XLOOKUP(A16,'YOY Yum'!$A$3:$A$44,'YOY Yum'!$C$3:$C$44)</f>
        <v>1269</v>
      </c>
      <c r="F16" s="17">
        <f t="shared" si="0"/>
        <v>1621.52</v>
      </c>
      <c r="G16" s="16"/>
    </row>
    <row r="17" spans="1:17" ht="13.8">
      <c r="A17" s="65" t="s">
        <v>51</v>
      </c>
      <c r="B17" s="15">
        <f>_xlfn.XLOOKUP(A17,'YOY CMG'!$A$3:$A$44,'YOY CMG'!$C$3:$C$44)</f>
        <v>10</v>
      </c>
      <c r="C17" s="15">
        <f>_xlfn.XLOOKUP(A17,'YOY SHAK'!$A$3:$A$44,'YOY SHAK'!$C$3:$C$44)</f>
        <v>246.68</v>
      </c>
      <c r="D17" s="15">
        <f>_xlfn.XLOOKUP(A17,'YOY MCD'!$A$3:$A$44,'YOY MCD'!$C$3:$C$44)</f>
        <v>38424</v>
      </c>
      <c r="E17" s="15">
        <f>_xlfn.XLOOKUP(A17,'YOY Yum'!$A$3:$A$44,'YOY Yum'!$C$3:$C$44)</f>
        <v>11306</v>
      </c>
      <c r="F17" s="17">
        <f t="shared" si="0"/>
        <v>12496.67</v>
      </c>
      <c r="G17" s="16"/>
    </row>
    <row r="18" spans="1:17" ht="13.8">
      <c r="A18" s="65" t="s">
        <v>46</v>
      </c>
      <c r="B18" s="15">
        <f>_xlfn.XLOOKUP(A18,'YOY CMG'!$A$3:$A$44,'YOY CMG'!$C$3:$C$44)</f>
        <v>5548.83</v>
      </c>
      <c r="C18" s="15">
        <f>_xlfn.XLOOKUP(A18,'YOY SHAK'!$A$3:$A$44,'YOY SHAK'!$C$3:$C$44)</f>
        <v>1203.3499999999999</v>
      </c>
      <c r="D18" s="15">
        <f>_xlfn.XLOOKUP(A18,'YOY MCD'!$A$3:$A$44,'YOY MCD'!$C$3:$C$44)</f>
        <v>58979</v>
      </c>
      <c r="E18" s="15">
        <f>_xlfn.XLOOKUP(A18,'YOY Yum'!$A$3:$A$44,'YOY Yum'!$C$3:$C$44)</f>
        <v>14375</v>
      </c>
      <c r="F18" s="17">
        <f t="shared" si="0"/>
        <v>20026.544999999998</v>
      </c>
      <c r="G18" s="16"/>
    </row>
    <row r="19" spans="1:17" ht="13.8">
      <c r="A19" s="65" t="s">
        <v>41</v>
      </c>
      <c r="B19" s="15">
        <f>_xlfn.XLOOKUP(A19,'YOY CMG'!$A$3:$A$44,'YOY CMG'!$C$3:$C$44)</f>
        <v>3655.55</v>
      </c>
      <c r="C19" s="15">
        <f>_xlfn.XLOOKUP(A19,'YOY SHAK'!$A$3:$A$44,'YOY SHAK'!$C$3:$C$44)</f>
        <v>493.63</v>
      </c>
      <c r="D19" s="15">
        <f>_xlfn.XLOOKUP(A19,'YOY MCD'!$A$3:$A$44,'YOY MCD'!$C$3:$C$44)</f>
        <v>-3796</v>
      </c>
      <c r="E19" s="15">
        <f>_xlfn.XLOOKUP(A19,'YOY Yum'!$A$3:$A$44,'YOY Yum'!$C$3:$C$44)</f>
        <v>-7648</v>
      </c>
      <c r="F19" s="17">
        <f t="shared" si="0"/>
        <v>-1823.7049999999999</v>
      </c>
      <c r="G19" s="16"/>
    </row>
    <row r="20" spans="1:17" ht="14.4" thickBot="1">
      <c r="A20" s="95" t="s">
        <v>14</v>
      </c>
      <c r="B20" s="112">
        <f>_xlfn.XLOOKUP(A20,'YOY CMG'!$A$3:$A$44,'YOY CMG'!$C$3:$C$44)</f>
        <v>1368.34</v>
      </c>
      <c r="C20" s="112">
        <f>_xlfn.XLOOKUP(A20,'YOY SHAK'!$A$3:$A$44,'YOY SHAK'!$C$3:$C$44)</f>
        <v>39.83</v>
      </c>
      <c r="D20" s="112">
        <f>_xlfn.XLOOKUP(A20,'YOY MCD'!$A$3:$A$44,'YOY MCD'!$C$3:$C$44)</f>
        <v>718.3</v>
      </c>
      <c r="E20" s="112">
        <f>_xlfn.XLOOKUP(A20,'YOY Yum'!$A$3:$A$44,'YOY Yum'!$C$3:$C$44)</f>
        <v>282</v>
      </c>
      <c r="F20" s="113">
        <f t="shared" si="0"/>
        <v>602.11749999999995</v>
      </c>
      <c r="G20" s="16"/>
    </row>
    <row r="21" spans="1:17" ht="14.4" thickBot="1">
      <c r="A21" s="159" t="s">
        <v>81</v>
      </c>
      <c r="B21" s="160"/>
      <c r="C21" s="160"/>
      <c r="D21" s="160"/>
      <c r="E21" s="160"/>
      <c r="F21" s="161"/>
      <c r="G21" s="18"/>
      <c r="H21" s="18"/>
      <c r="I21" s="18"/>
      <c r="J21" s="18"/>
      <c r="K21" s="18"/>
      <c r="L21" s="18"/>
      <c r="M21" s="18"/>
      <c r="N21" s="18"/>
      <c r="O21" s="18"/>
      <c r="P21" s="18"/>
      <c r="Q21" s="18"/>
    </row>
    <row r="22" spans="1:17" ht="14.4" thickBot="1">
      <c r="A22" s="114" t="s">
        <v>82</v>
      </c>
      <c r="B22" s="115"/>
      <c r="C22" s="115"/>
      <c r="D22" s="115"/>
      <c r="E22" s="115"/>
      <c r="F22" s="116"/>
      <c r="G22" s="18"/>
      <c r="H22" s="18"/>
      <c r="I22" s="18"/>
      <c r="J22" s="18"/>
      <c r="K22" s="18"/>
      <c r="L22" s="18"/>
      <c r="M22" s="18"/>
      <c r="N22" s="18"/>
      <c r="O22" s="18"/>
      <c r="P22" s="18"/>
      <c r="Q22" s="18"/>
    </row>
    <row r="23" spans="1:17" ht="14.4" thickBot="1">
      <c r="A23" s="68" t="s">
        <v>83</v>
      </c>
      <c r="B23" s="20">
        <f>_xlfn.XLOOKUP(A23,'YOY CMG'!$A$3:$A$44,'YOY CMG'!$C$3:$C$44)</f>
        <v>1.5234733951076773</v>
      </c>
      <c r="C23" s="20">
        <f>_xlfn.XLOOKUP(A23,'YOY SHAK'!$A$3:$A$44,'YOY SHAK'!$C$3:$C$44)</f>
        <v>1.9658320431370457</v>
      </c>
      <c r="D23" s="20">
        <f>_xlfn.XLOOKUP(A23,'YOY MCD'!$A$3:$A$44,'YOY MCD'!$C$3:$C$44)</f>
        <v>1.1911421911421911</v>
      </c>
      <c r="E23" s="20">
        <f>_xlfn.XLOOKUP(A23,'YOY Yum'!$A$3:$A$44,'YOY Yum'!$C$3:$C$44)</f>
        <v>1.4743892828999212</v>
      </c>
      <c r="F23" s="76">
        <f>AVERAGE(B23:E23)</f>
        <v>1.538709228071709</v>
      </c>
    </row>
    <row r="24" spans="1:17" ht="14.4" thickBot="1">
      <c r="A24" s="69" t="s">
        <v>84</v>
      </c>
      <c r="B24" s="20">
        <f>_xlfn.XLOOKUP(A24,'YOY CMG'!$A$3:$A$44,'YOY CMG'!$C$3:$C$44)</f>
        <v>1.481600314860922</v>
      </c>
      <c r="C24" s="20">
        <f>_xlfn.XLOOKUP(A24,'YOY SHAK'!$A$3:$A$44,'YOY SHAK'!$C$3:$C$44)</f>
        <v>1.9337461961454276</v>
      </c>
      <c r="D24" s="20">
        <f>_xlfn.XLOOKUP(A24,'YOY MCD'!$A$3:$A$44,'YOY MCD'!$C$3:$C$44)</f>
        <v>1.1766381766381766</v>
      </c>
      <c r="E24" s="20">
        <f>_xlfn.XLOOKUP(A24,'YOY Yum'!$A$3:$A$44,'YOY Yum'!$C$3:$C$44)</f>
        <v>1.4665090622537431</v>
      </c>
      <c r="F24" s="76">
        <f t="shared" ref="F24:F45" si="1">AVERAGE(B24:E24)</f>
        <v>1.5146234374745673</v>
      </c>
    </row>
    <row r="25" spans="1:17" ht="14.4" thickBot="1">
      <c r="A25" s="70" t="s">
        <v>85</v>
      </c>
      <c r="B25" s="15">
        <f>_xlfn.XLOOKUP(A25,'YOY CMG'!$A$3:$A$44,'YOY CMG'!$C$3:$C$44)</f>
        <v>611.81999999999994</v>
      </c>
      <c r="C25" s="15">
        <f>_xlfn.XLOOKUP(A25,'YOY SHAK'!$A$3:$A$44,'YOY SHAK'!$C$3:$C$44)</f>
        <v>180.91000000000003</v>
      </c>
      <c r="D25" s="15">
        <f>_xlfn.XLOOKUP(A25,'YOY MCD'!$A$3:$A$44,'YOY MCD'!$C$3:$C$44)</f>
        <v>738</v>
      </c>
      <c r="E25" s="15">
        <f>_xlfn.XLOOKUP(A25,'YOY Yum'!$A$3:$A$44,'YOY Yum'!$C$3:$C$44)</f>
        <v>602</v>
      </c>
      <c r="F25" s="226">
        <f t="shared" si="1"/>
        <v>533.1825</v>
      </c>
    </row>
    <row r="26" spans="1:17" ht="14.4" thickBot="1">
      <c r="A26" s="67" t="s">
        <v>86</v>
      </c>
      <c r="B26" s="21"/>
      <c r="C26" s="21"/>
      <c r="D26" s="21"/>
      <c r="E26" s="21"/>
      <c r="F26" s="23"/>
    </row>
    <row r="27" spans="1:17" ht="14.4" thickBot="1">
      <c r="A27" s="68" t="s">
        <v>87</v>
      </c>
      <c r="B27" s="20">
        <f>_xlfn.XLOOKUP(A27,'YOY CMG'!$A$3:$A$44,'YOY CMG'!$C$3:$C$44)</f>
        <v>53.571902078696908</v>
      </c>
      <c r="C27" s="20">
        <f>_xlfn.XLOOKUP(A27,'YOY SHAK'!$A$3:$A$44,'YOY SHAK'!$C$3:$C$44)</f>
        <v>63.6165566277298</v>
      </c>
      <c r="D27" s="20">
        <f>_xlfn.XLOOKUP(A27,'YOY MCD'!$A$3:$A$44,'YOY MCD'!$C$3:$C$44)</f>
        <v>10.87704574066303</v>
      </c>
      <c r="E27" s="20">
        <f>_xlfn.XLOOKUP(A27,'YOY Yum'!$A$3:$A$44,'YOY Yum'!$C$3:$C$44)</f>
        <v>9.7406451612903222</v>
      </c>
      <c r="F27" s="76">
        <f t="shared" si="1"/>
        <v>34.451537402095013</v>
      </c>
    </row>
    <row r="28" spans="1:17" ht="14.4" thickBot="1">
      <c r="A28" s="69" t="s">
        <v>88</v>
      </c>
      <c r="B28" s="20">
        <f>_xlfn.XLOOKUP(A28,'YOY CMG'!$A$3:$A$44,'YOY CMG'!$C$3:$C$44)</f>
        <v>231.17797302819781</v>
      </c>
      <c r="C28" s="20">
        <f>_xlfn.XLOOKUP(A28,'YOY SHAK'!$A$3:$A$44,'YOY SHAK'!$C$3:$C$44)</f>
        <v>208.42096505823628</v>
      </c>
      <c r="D28" s="20">
        <f>_xlfn.XLOOKUP(A28,'YOY MCD'!$A$3:$A$44,'YOY MCD'!$C$3:$C$44)</f>
        <v>462.85714285714283</v>
      </c>
      <c r="E28" s="20">
        <f>_xlfn.XLOOKUP(A28,'YOY Yum'!$A$3:$A$44,'YOY Yum'!$C$3:$C$44)</f>
        <v>754.9</v>
      </c>
      <c r="F28" s="76">
        <f t="shared" si="1"/>
        <v>414.33902023589422</v>
      </c>
    </row>
    <row r="29" spans="1:17" ht="14.4" thickBot="1">
      <c r="A29" s="69" t="s">
        <v>89</v>
      </c>
      <c r="B29" s="20">
        <f>_xlfn.XLOOKUP(A29,'YOY CMG'!$A$3:$A$44,'YOY CMG'!$C$3:$C$44)</f>
        <v>1.2291824426875495</v>
      </c>
      <c r="C29" s="20">
        <f>_xlfn.XLOOKUP(A29,'YOY SHAK'!$A$3:$A$44,'YOY SHAK'!$C$3:$C$44)</f>
        <v>0.73814504675981296</v>
      </c>
      <c r="D29" s="20">
        <f>_xlfn.XLOOKUP(A29,'YOY MCD'!$A$3:$A$44,'YOY MCD'!$C$3:$C$44)</f>
        <v>0.46971838643035774</v>
      </c>
      <c r="E29" s="20">
        <f>_xlfn.XLOOKUP(A29,'YOY Yum'!$A$3:$A$44,'YOY Yum'!$C$3:$C$44)</f>
        <v>1.1221941430057976</v>
      </c>
      <c r="F29" s="76">
        <f t="shared" si="1"/>
        <v>0.88981000472087945</v>
      </c>
    </row>
    <row r="30" spans="1:17" ht="14.4" thickBot="1">
      <c r="A30" s="67" t="s">
        <v>90</v>
      </c>
      <c r="B30" s="21"/>
      <c r="C30" s="21"/>
      <c r="D30" s="21"/>
      <c r="E30" s="21"/>
      <c r="F30" s="23"/>
    </row>
    <row r="31" spans="1:17" ht="14.4" thickBot="1">
      <c r="A31" s="68" t="s">
        <v>121</v>
      </c>
      <c r="B31" s="20">
        <f>_xlfn.XLOOKUP(A31,'YOY CMG'!$A$3:$A$44,'YOY CMG'!$C$3:$C$44)</f>
        <v>2.7355664674262423E-3</v>
      </c>
      <c r="C31" s="20">
        <f>_xlfn.XLOOKUP(A31,'YOY SHAK'!$A$3:$A$44,'YOY SHAK'!$C$3:$C$44)</f>
        <v>0.49972651581143773</v>
      </c>
      <c r="D31" s="20">
        <f>_xlfn.XLOOKUP(A31,'YOY MCD'!$A$3:$A$44,'YOY MCD'!$C$3:$C$44)</f>
        <v>-10.122233930453108</v>
      </c>
      <c r="E31" s="20">
        <f>_xlfn.XLOOKUP(A31,'YOY Yum'!$A$3:$A$44,'YOY Yum'!$C$3:$C$44)</f>
        <v>-1.4782949790794979</v>
      </c>
      <c r="F31" s="76">
        <f t="shared" si="1"/>
        <v>-2.7745167068134355</v>
      </c>
    </row>
    <row r="32" spans="1:17" ht="14.4" thickBot="1">
      <c r="A32" s="69" t="s">
        <v>100</v>
      </c>
      <c r="B32" s="20">
        <f>_xlfn.XLOOKUP(A32,'YOY CMG'!$A$3:$A$44,'YOY CMG'!$C$3:$C$44)</f>
        <v>2.5179165925784082</v>
      </c>
      <c r="C32" s="20">
        <f>_xlfn.XLOOKUP(A32,'YOY SHAK'!$A$3:$A$44,'YOY SHAK'!$C$3:$C$44)</f>
        <v>3.4377367664039871</v>
      </c>
      <c r="D32" s="20">
        <f>_xlfn.XLOOKUP(A32,'YOY MCD'!$A$3:$A$44,'YOY MCD'!$C$3:$C$44)</f>
        <v>-14.536880927291886</v>
      </c>
      <c r="E32" s="20">
        <f>_xlfn.XLOOKUP(A32,'YOY Yum'!$A$3:$A$44,'YOY Yum'!$C$3:$C$44)</f>
        <v>-0.87957635983263593</v>
      </c>
      <c r="F32" s="76">
        <f t="shared" si="1"/>
        <v>-2.3652009820355318</v>
      </c>
    </row>
    <row r="33" spans="1:7" ht="14.4" thickBot="1">
      <c r="A33" s="67" t="s">
        <v>91</v>
      </c>
      <c r="B33" s="21"/>
      <c r="C33" s="21"/>
      <c r="D33" s="21"/>
      <c r="E33" s="21"/>
      <c r="F33" s="23"/>
    </row>
    <row r="34" spans="1:7" ht="14.4" thickBot="1">
      <c r="A34" s="68" t="s">
        <v>19</v>
      </c>
      <c r="B34" s="224">
        <f>_xlfn.XLOOKUP(A34,'YOY CMG'!$A$3:$A$44,'YOY CMG'!$C$3:$C$44)</f>
        <v>0.1356</v>
      </c>
      <c r="C34" s="224">
        <f>_xlfn.XLOOKUP(A34,'YOY SHAK'!$A$3:$A$44,'YOY SHAK'!$C$3:$C$44)</f>
        <v>8.0999999999999996E-3</v>
      </c>
      <c r="D34" s="224">
        <f>_xlfn.XLOOKUP(A34,'YOY MCD'!$A$3:$A$44,'YOY MCD'!$C$3:$C$44)</f>
        <v>0.31719999999999998</v>
      </c>
      <c r="E34" s="224">
        <f>_xlfn.XLOOKUP(A34,'YOY Yum'!$A$3:$A$44,'YOY Yum'!$C$3:$C$44)</f>
        <v>0.1968</v>
      </c>
      <c r="F34" s="225">
        <f t="shared" si="1"/>
        <v>0.16442499999999999</v>
      </c>
    </row>
    <row r="35" spans="1:7" ht="14.4" thickBot="1">
      <c r="A35" s="69" t="s">
        <v>92</v>
      </c>
      <c r="B35" s="224">
        <f>_xlfn.XLOOKUP(A35,'YOY CMG'!$A$3:$A$44,'YOY CMG'!$C$3:$C$44)</f>
        <v>0.26669999999999999</v>
      </c>
      <c r="C35" s="224">
        <f>_xlfn.XLOOKUP(A35,'YOY SHAK'!$A$3:$A$44,'YOY SHAK'!$C$3:$C$44)</f>
        <v>0.24149999999999999</v>
      </c>
      <c r="D35" s="224">
        <f>_xlfn.XLOOKUP(A35,'YOY MCD'!$A$3:$A$44,'YOY MCD'!$C$3:$C$44)</f>
        <v>0.5675</v>
      </c>
      <c r="E35" s="224">
        <f>_xlfn.XLOOKUP(A35,'YOY Yum'!$A$3:$A$44,'YOY Yum'!$C$3:$C$44)</f>
        <v>0.71919999999999995</v>
      </c>
      <c r="F35" s="225">
        <f t="shared" si="1"/>
        <v>0.44872499999999993</v>
      </c>
    </row>
    <row r="36" spans="1:7" ht="14.4" thickBot="1">
      <c r="A36" s="69" t="s">
        <v>101</v>
      </c>
      <c r="B36" s="224">
        <f>_xlfn.XLOOKUP(A36,'YOY CMG'!$A$3:$A$44,'YOY CMG'!$C$3:$C$44)</f>
        <v>0.16667713922843172</v>
      </c>
      <c r="C36" s="224">
        <f>_xlfn.XLOOKUP(A36,'YOY SHAK'!$A$3:$A$44,'YOY SHAK'!$C$3:$C$44)</f>
        <v>5.9789748787544847E-3</v>
      </c>
      <c r="D36" s="224">
        <f>_xlfn.XLOOKUP(A36,'YOY MCD'!$A$3:$A$44,'YOY MCD'!$C$3:$C$44)</f>
        <v>0.14899467217570947</v>
      </c>
      <c r="E36" s="224">
        <f>_xlfn.XLOOKUP(A36,'YOY Yum'!$A$3:$A$44,'YOY Yum'!$C$3:$C$44)</f>
        <v>0.22084780734354095</v>
      </c>
      <c r="F36" s="225">
        <f t="shared" si="1"/>
        <v>0.13562464840660915</v>
      </c>
    </row>
    <row r="37" spans="1:7" ht="14.4" thickBot="1">
      <c r="A37" s="71" t="s">
        <v>102</v>
      </c>
      <c r="B37" s="224">
        <f>_xlfn.XLOOKUP(A37,'YOY CMG'!$A$3:$A$44,'YOY CMG'!$C$3:$C$44)</f>
        <v>0.41967913446676974</v>
      </c>
      <c r="C37" s="224">
        <f>_xlfn.XLOOKUP(A37,'YOY SHAK'!$A$3:$A$44,'YOY SHAK'!$C$3:$C$44)</f>
        <v>2.0554141766100112E-2</v>
      </c>
      <c r="D37" s="224">
        <f>_xlfn.XLOOKUP(A37,'YOY MCD'!$A$3:$A$44,'YOY MCD'!$C$3:$C$44)</f>
        <v>-2.1659178082191781</v>
      </c>
      <c r="E37" s="224">
        <f>_xlfn.XLOOKUP(A37,'YOY Yum'!$A$3:$A$44,'YOY Yum'!$C$3:$C$44)</f>
        <v>-0.19425251046025102</v>
      </c>
      <c r="F37" s="225">
        <f t="shared" si="1"/>
        <v>-0.47998426061163985</v>
      </c>
    </row>
    <row r="38" spans="1:7" ht="14.4" thickBot="1">
      <c r="A38" s="67" t="s">
        <v>93</v>
      </c>
      <c r="B38" s="22"/>
      <c r="C38" s="22"/>
      <c r="D38" s="22"/>
      <c r="E38" s="22"/>
      <c r="F38" s="23"/>
    </row>
    <row r="39" spans="1:7" ht="14.4" thickBot="1">
      <c r="A39" s="68" t="s">
        <v>129</v>
      </c>
      <c r="B39" s="15">
        <f>_xlfn.XLOOKUP(A39,'YOY CMG'!$A$3:$A$44,'YOY CMG'!$C$3:$C$44)</f>
        <v>1.1211467910022364</v>
      </c>
      <c r="C39" s="15">
        <f>_xlfn.XLOOKUP(A39,'YOY SHAK'!$A$3:$A$44,'YOY SHAK'!$C$3:$C$44)</f>
        <v>0.25633944263118258</v>
      </c>
      <c r="D39" s="15">
        <f>_xlfn.XLOOKUP(A39,'YOY MCD'!$A$3:$A$44,'YOY MCD'!$C$3:$C$44)</f>
        <v>11.44786300988445</v>
      </c>
      <c r="E39" s="15">
        <f>_xlfn.XLOOKUP(A39,'YOY Yum'!$A$3:$A$44,'YOY Yum'!$C$3:$C$44)</f>
        <v>5.2695035460992905</v>
      </c>
      <c r="F39" s="226">
        <f t="shared" si="1"/>
        <v>4.5237131974042901</v>
      </c>
    </row>
    <row r="40" spans="1:7" ht="14.4" thickBot="1">
      <c r="A40" s="69" t="s">
        <v>94</v>
      </c>
      <c r="B40" s="20">
        <f>_xlfn.XLOOKUP(A40,'YOY CMG'!$A$3:$A$44,'YOY CMG'!$C$3:$C$44)</f>
        <v>53.596906740716115</v>
      </c>
      <c r="C40" s="20">
        <f>_xlfn.XLOOKUP(A40,'YOY SHAK'!$A$3:$A$44,'YOY SHAK'!$C$3:$C$44)</f>
        <v>505.22853085210562</v>
      </c>
      <c r="D40" s="20">
        <f>_xlfn.XLOOKUP(A40,'YOY MCD'!$A$3:$A$44,'YOY MCD'!$C$3:$C$44)</f>
        <v>25.297297823178887</v>
      </c>
      <c r="E40" s="20">
        <f>_xlfn.XLOOKUP(A40,'YOY Yum'!$A$3:$A$44,'YOY Yum'!$C$3:$C$44)</f>
        <v>25.338250336473759</v>
      </c>
      <c r="F40" s="76">
        <f t="shared" si="1"/>
        <v>152.36524643811856</v>
      </c>
    </row>
    <row r="41" spans="1:7" ht="14.4" thickBot="1">
      <c r="A41" s="69" t="s">
        <v>95</v>
      </c>
      <c r="B41" s="15">
        <f>_xlfn.XLOOKUP(A41,'YOY CMG'!$A$3:$A$44,'YOY CMG'!$C$3:$C$44)</f>
        <v>2.6715216978236405</v>
      </c>
      <c r="C41" s="15">
        <f>_xlfn.XLOOKUP(A41,'YOY SHAK'!$A$3:$A$44,'YOY SHAK'!$C$3:$C$44)</f>
        <v>12.393422043685664</v>
      </c>
      <c r="D41" s="15">
        <f>_xlfn.XLOOKUP(A41,'YOY MCD'!$A$3:$A$44,'YOY MCD'!$C$3:$C$44)</f>
        <v>-5.2846999860782402</v>
      </c>
      <c r="E41" s="15">
        <f>_xlfn.XLOOKUP(A41,'YOY Yum'!$A$3:$A$44,'YOY Yum'!$C$3:$C$44)</f>
        <v>-27.120567375886523</v>
      </c>
      <c r="F41" s="226">
        <f t="shared" si="1"/>
        <v>-4.3350809051138643</v>
      </c>
    </row>
    <row r="42" spans="1:7" ht="14.4" thickBot="1">
      <c r="A42" s="69" t="s">
        <v>119</v>
      </c>
      <c r="B42" s="15">
        <f>_xlfn.XLOOKUP(A42,'YOY CMG'!$A$3:$A$44,'YOY CMG'!$C$3:$C$44)</f>
        <v>82223.550600000002</v>
      </c>
      <c r="C42" s="15">
        <f>_xlfn.XLOOKUP(A42,'YOY SHAK'!$A$3:$A$44,'YOY SHAK'!$C$3:$C$44)</f>
        <v>5158.3832999999995</v>
      </c>
      <c r="D42" s="15">
        <f>_xlfn.XLOOKUP(A42,'YOY MCD'!$A$3:$A$44,'YOY MCD'!$C$3:$C$44)</f>
        <v>208019.68</v>
      </c>
      <c r="E42" s="15">
        <f>_xlfn.XLOOKUP(A42,'YOY Yum'!$A$3:$A$44,'YOY Yum'!$C$3:$C$44)</f>
        <v>37652.639999999999</v>
      </c>
      <c r="F42" s="226">
        <f t="shared" si="1"/>
        <v>83263.563475000003</v>
      </c>
    </row>
    <row r="43" spans="1:7" ht="14.4" thickBot="1">
      <c r="A43" s="69" t="s">
        <v>96</v>
      </c>
      <c r="B43" s="15">
        <f>_xlfn.XLOOKUP(A43,'YOY CMG'!$A$3:$A$44,'YOY CMG'!$C$3:$C$44)</f>
        <v>1.0398804390721605</v>
      </c>
      <c r="C43" s="15">
        <f>_xlfn.XLOOKUP(A43,'YOY SHAK'!$A$3:$A$44,'YOY SHAK'!$C$3:$C$44)</f>
        <v>8.051970876223951</v>
      </c>
      <c r="D43" s="15">
        <f>_xlfn.XLOOKUP(A43,'YOY MCD'!$A$3:$A$44,'YOY MCD'!$C$3:$C$44)</f>
        <v>1.5105109285813727</v>
      </c>
      <c r="E43" s="15">
        <f>_xlfn.XLOOKUP(A43,'YOY Yum'!$A$3:$A$44,'YOY Yum'!$C$3:$C$44)</f>
        <v>2.1843971631205674</v>
      </c>
      <c r="F43" s="226">
        <f t="shared" si="1"/>
        <v>3.1966898517495128</v>
      </c>
    </row>
    <row r="44" spans="1:7" ht="14.4" thickBot="1">
      <c r="A44" s="69" t="s">
        <v>97</v>
      </c>
      <c r="B44" s="15">
        <f>_xlfn.XLOOKUP(A44,'YOY CMG'!$A$3:$A$44,'YOY CMG'!$C$3:$C$44)</f>
        <v>8.2683031994972023</v>
      </c>
      <c r="C44" s="15">
        <f>_xlfn.XLOOKUP(A44,'YOY SHAK'!$A$3:$A$44,'YOY SHAK'!$C$3:$C$44)</f>
        <v>31.44890785839819</v>
      </c>
      <c r="D44" s="15">
        <f>_xlfn.XLOOKUP(A44,'YOY MCD'!$A$3:$A$44,'YOY MCD'!$C$3:$C$44)</f>
        <v>36.085201169427819</v>
      </c>
      <c r="E44" s="15">
        <f>_xlfn.XLOOKUP(A44,'YOY Yum'!$A$3:$A$44,'YOY Yum'!$C$3:$C$44)</f>
        <v>26.769503546099291</v>
      </c>
      <c r="F44" s="226">
        <f t="shared" si="1"/>
        <v>25.642978943355622</v>
      </c>
    </row>
    <row r="45" spans="1:7" ht="14.4" thickBot="1">
      <c r="A45" s="69" t="s">
        <v>103</v>
      </c>
      <c r="B45" s="20">
        <f>_xlfn.XLOOKUP(A45,'YOY CMG'!$A$3:$A$44,'YOY CMG'!$C$3:$C$44)</f>
        <v>22.492798785408489</v>
      </c>
      <c r="C45" s="20">
        <f>_xlfn.XLOOKUP(A45,'YOY SHAK'!$A$3:$A$44,'YOY SHAK'!$C$3:$C$44)</f>
        <v>10.44989830439803</v>
      </c>
      <c r="D45" s="20">
        <f>_xlfn.XLOOKUP(A45,'YOY MCD'!$A$3:$A$44,'YOY MCD'!$C$3:$C$44)</f>
        <v>-54.799704952581671</v>
      </c>
      <c r="E45" s="20">
        <f>_xlfn.XLOOKUP(A45,'YOY Yum'!$A$3:$A$44,'YOY Yum'!$C$3:$C$44)</f>
        <v>-4.9232008368200848</v>
      </c>
      <c r="F45" s="76">
        <f t="shared" si="1"/>
        <v>-6.6950521748988105</v>
      </c>
    </row>
    <row r="46" spans="1:7" ht="14.4" thickBot="1">
      <c r="A46" s="67"/>
      <c r="B46" s="19"/>
      <c r="C46" s="19"/>
      <c r="D46" s="19"/>
      <c r="E46" s="19"/>
      <c r="F46" s="23"/>
    </row>
    <row r="47" spans="1:7" ht="13.8">
      <c r="A47" s="72"/>
      <c r="B47" s="18"/>
      <c r="C47" s="18"/>
      <c r="D47" s="18"/>
      <c r="E47" s="18"/>
      <c r="F47" s="18"/>
      <c r="G47" s="18"/>
    </row>
    <row r="48" spans="1:7" ht="13.8">
      <c r="A48" s="72"/>
      <c r="B48" s="18"/>
      <c r="C48" s="18"/>
      <c r="D48" s="18"/>
      <c r="E48" s="18"/>
      <c r="F48" s="18"/>
      <c r="G48" s="18"/>
    </row>
    <row r="49" spans="1:7" ht="13.8">
      <c r="A49" s="72"/>
      <c r="B49" s="18"/>
      <c r="C49" s="18"/>
      <c r="D49" s="18"/>
      <c r="E49" s="18"/>
      <c r="F49" s="18"/>
      <c r="G49" s="18"/>
    </row>
    <row r="50" spans="1:7" ht="13.8">
      <c r="A50" s="72"/>
      <c r="B50" s="18"/>
      <c r="C50" s="18"/>
      <c r="D50" s="18"/>
      <c r="E50" s="18"/>
      <c r="F50" s="18"/>
      <c r="G50" s="18"/>
    </row>
    <row r="51" spans="1:7" ht="13.8">
      <c r="A51" s="72"/>
      <c r="B51" s="18"/>
      <c r="C51" s="18"/>
      <c r="D51" s="18"/>
      <c r="E51" s="18"/>
      <c r="F51" s="18"/>
      <c r="G51" s="18"/>
    </row>
    <row r="52" spans="1:7" ht="13.8">
      <c r="A52" s="72"/>
      <c r="B52" s="18"/>
      <c r="C52" s="18"/>
      <c r="D52" s="18"/>
      <c r="E52" s="18"/>
      <c r="F52" s="18"/>
      <c r="G52" s="18"/>
    </row>
    <row r="53" spans="1:7">
      <c r="A53" s="18"/>
      <c r="C53" s="18"/>
      <c r="D53" s="18"/>
      <c r="E53" s="18"/>
      <c r="F53" s="18"/>
      <c r="G53" s="18"/>
    </row>
    <row r="54" spans="1:7" ht="13.8">
      <c r="A54" s="72"/>
      <c r="B54" s="18"/>
      <c r="C54" s="18"/>
      <c r="D54" s="18"/>
      <c r="E54" s="18"/>
      <c r="F54" s="18"/>
      <c r="G54" s="18"/>
    </row>
    <row r="55" spans="1:7" ht="13.8">
      <c r="A55" s="72"/>
      <c r="B55" s="18"/>
      <c r="C55" s="18"/>
      <c r="D55" s="18"/>
      <c r="E55" s="18"/>
      <c r="F55" s="18"/>
      <c r="G55" s="18"/>
    </row>
    <row r="56" spans="1:7" ht="13.8">
      <c r="A56" s="72"/>
      <c r="B56" s="18"/>
      <c r="C56" s="18"/>
      <c r="D56" s="18"/>
      <c r="E56" s="18"/>
      <c r="F56" s="18"/>
      <c r="G56" s="18"/>
    </row>
    <row r="57" spans="1:7" ht="13.8">
      <c r="A57" s="72"/>
      <c r="B57" s="18"/>
      <c r="C57" s="18"/>
      <c r="D57" s="18"/>
      <c r="E57" s="18"/>
      <c r="F57" s="18"/>
      <c r="G57" s="18"/>
    </row>
    <row r="58" spans="1:7" ht="13.8">
      <c r="A58" s="72"/>
      <c r="B58" s="18"/>
      <c r="C58" s="18"/>
      <c r="D58" s="18"/>
      <c r="E58" s="18"/>
      <c r="F58" s="18"/>
      <c r="G58" s="18"/>
    </row>
    <row r="59" spans="1:7" ht="13.8">
      <c r="A59" s="72"/>
      <c r="B59" s="18"/>
      <c r="C59" s="18"/>
      <c r="D59" s="18"/>
      <c r="E59" s="18"/>
      <c r="F59" s="18"/>
      <c r="G59" s="18"/>
    </row>
    <row r="60" spans="1:7" ht="13.8">
      <c r="A60" s="72"/>
      <c r="C60" s="18"/>
      <c r="D60" s="18"/>
      <c r="E60" s="18"/>
      <c r="F60" s="18"/>
      <c r="G60" s="18"/>
    </row>
    <row r="61" spans="1:7">
      <c r="A61" s="18"/>
      <c r="C61" s="18"/>
      <c r="D61" s="18"/>
      <c r="E61" s="18"/>
      <c r="F61" s="18"/>
      <c r="G61" s="18"/>
    </row>
    <row r="62" spans="1:7" ht="13.8">
      <c r="A62" s="72"/>
      <c r="B62" s="18"/>
      <c r="C62" s="18"/>
      <c r="D62" s="18"/>
      <c r="E62" s="18"/>
      <c r="F62" s="18"/>
      <c r="G62" s="18"/>
    </row>
    <row r="63" spans="1:7" ht="13.8">
      <c r="A63" s="72"/>
      <c r="B63" s="18"/>
      <c r="C63" s="18"/>
      <c r="D63" s="18"/>
      <c r="E63" s="18"/>
      <c r="F63" s="18"/>
      <c r="G63" s="18"/>
    </row>
    <row r="64" spans="1:7" ht="13.8">
      <c r="A64" s="72"/>
      <c r="B64" s="18"/>
      <c r="C64" s="18"/>
      <c r="D64" s="18"/>
      <c r="E64" s="18"/>
      <c r="F64" s="18"/>
      <c r="G64" s="18"/>
    </row>
    <row r="65" spans="1:7" ht="13.8">
      <c r="A65" s="72"/>
      <c r="B65" s="18"/>
      <c r="C65" s="18"/>
      <c r="D65" s="18"/>
      <c r="E65" s="18"/>
      <c r="F65" s="18"/>
      <c r="G65" s="18"/>
    </row>
    <row r="66" spans="1:7" ht="13.8">
      <c r="A66" s="72"/>
      <c r="B66" s="18"/>
      <c r="C66" s="18"/>
      <c r="D66" s="18"/>
      <c r="E66" s="18"/>
      <c r="F66" s="18"/>
      <c r="G66" s="18"/>
    </row>
    <row r="67" spans="1:7" ht="13.8">
      <c r="A67" s="72"/>
      <c r="B67" s="18"/>
      <c r="C67" s="18"/>
      <c r="D67" s="18"/>
      <c r="E67" s="18"/>
      <c r="F67" s="18"/>
      <c r="G67" s="18"/>
    </row>
    <row r="68" spans="1:7" ht="13.8">
      <c r="A68" s="72"/>
      <c r="B68" s="18"/>
      <c r="C68" s="18"/>
      <c r="D68" s="18"/>
      <c r="E68" s="18"/>
      <c r="F68" s="18"/>
      <c r="G68" s="18"/>
    </row>
    <row r="69" spans="1:7" ht="13.8">
      <c r="A69" s="72"/>
      <c r="B69" s="18"/>
      <c r="C69" s="18"/>
      <c r="D69" s="18"/>
      <c r="E69" s="18"/>
      <c r="F69" s="18"/>
      <c r="G69" s="18"/>
    </row>
    <row r="70" spans="1:7" ht="13.8">
      <c r="A70" s="72"/>
      <c r="B70" s="18"/>
      <c r="C70" s="18"/>
      <c r="D70" s="18"/>
      <c r="E70" s="18"/>
      <c r="F70" s="18"/>
      <c r="G70" s="18"/>
    </row>
    <row r="71" spans="1:7" ht="13.8">
      <c r="A71" s="72"/>
      <c r="B71" s="18"/>
      <c r="C71" s="18"/>
      <c r="D71" s="18"/>
      <c r="E71" s="18"/>
      <c r="F71" s="18"/>
      <c r="G71" s="18"/>
    </row>
    <row r="72" spans="1:7" ht="13.8">
      <c r="A72" s="72"/>
      <c r="B72" s="18"/>
      <c r="C72" s="18"/>
      <c r="D72" s="18"/>
      <c r="E72" s="18"/>
      <c r="F72" s="18"/>
      <c r="G72" s="18"/>
    </row>
    <row r="73" spans="1:7" ht="13.8">
      <c r="A73" s="72"/>
      <c r="B73" s="18"/>
      <c r="C73" s="18"/>
      <c r="D73" s="18"/>
      <c r="E73" s="18"/>
      <c r="F73" s="18"/>
      <c r="G73" s="18"/>
    </row>
    <row r="74" spans="1:7" ht="13.8">
      <c r="A74" s="72"/>
      <c r="B74" s="18"/>
      <c r="C74" s="18"/>
      <c r="D74" s="18"/>
      <c r="E74" s="18"/>
      <c r="F74" s="18"/>
      <c r="G74" s="18"/>
    </row>
    <row r="75" spans="1:7" ht="13.8">
      <c r="A75" s="72"/>
      <c r="B75" s="18"/>
      <c r="C75" s="18"/>
      <c r="D75" s="18"/>
      <c r="E75" s="18"/>
      <c r="F75" s="18"/>
      <c r="G75" s="18"/>
    </row>
    <row r="76" spans="1:7" ht="13.8">
      <c r="A76" s="72"/>
      <c r="B76" s="18"/>
      <c r="C76" s="18"/>
      <c r="D76" s="18"/>
      <c r="E76" s="18"/>
      <c r="F76" s="18"/>
      <c r="G76" s="18"/>
    </row>
    <row r="77" spans="1:7" ht="13.8">
      <c r="A77" s="72"/>
      <c r="B77" s="18"/>
      <c r="C77" s="18"/>
      <c r="D77" s="18"/>
      <c r="E77" s="18"/>
      <c r="F77" s="18"/>
      <c r="G77" s="18"/>
    </row>
    <row r="78" spans="1:7" ht="13.8">
      <c r="A78" s="72"/>
      <c r="B78" s="18"/>
      <c r="C78" s="18"/>
      <c r="D78" s="18"/>
      <c r="E78" s="18"/>
      <c r="F78" s="18"/>
      <c r="G78" s="18"/>
    </row>
    <row r="79" spans="1:7" ht="13.8">
      <c r="A79" s="72"/>
      <c r="B79" s="18"/>
      <c r="C79" s="18"/>
      <c r="D79" s="18"/>
      <c r="E79" s="18"/>
      <c r="F79" s="18"/>
      <c r="G79" s="18"/>
    </row>
    <row r="80" spans="1:7" ht="13.8">
      <c r="A80" s="72"/>
      <c r="B80" s="18"/>
      <c r="C80" s="18"/>
      <c r="D80" s="18"/>
      <c r="E80" s="18"/>
      <c r="F80" s="18"/>
      <c r="G80" s="18"/>
    </row>
    <row r="81" spans="1:7" ht="13.8">
      <c r="A81" s="72"/>
      <c r="B81" s="18"/>
      <c r="C81" s="18"/>
      <c r="D81" s="18"/>
      <c r="E81" s="18"/>
      <c r="F81" s="18"/>
      <c r="G81" s="18"/>
    </row>
    <row r="82" spans="1:7" ht="13.8">
      <c r="A82" s="72"/>
      <c r="B82" s="18"/>
      <c r="C82" s="18"/>
      <c r="D82" s="18"/>
      <c r="E82" s="18"/>
      <c r="F82" s="18"/>
      <c r="G82" s="18"/>
    </row>
    <row r="83" spans="1:7" ht="13.8">
      <c r="A83" s="72"/>
      <c r="B83" s="18"/>
      <c r="C83" s="18"/>
      <c r="D83" s="18"/>
      <c r="E83" s="18"/>
      <c r="F83" s="18"/>
      <c r="G83" s="18"/>
    </row>
    <row r="84" spans="1:7" ht="13.8">
      <c r="A84" s="72"/>
      <c r="B84" s="18"/>
      <c r="C84" s="18"/>
      <c r="D84" s="18"/>
      <c r="E84" s="18"/>
      <c r="F84" s="18"/>
      <c r="G84" s="18"/>
    </row>
    <row r="85" spans="1:7" ht="13.8">
      <c r="A85" s="72"/>
      <c r="B85" s="18"/>
      <c r="C85" s="18"/>
      <c r="D85" s="18"/>
      <c r="E85" s="18"/>
      <c r="F85" s="18"/>
      <c r="G85" s="18"/>
    </row>
    <row r="86" spans="1:7" ht="13.8">
      <c r="A86" s="72"/>
      <c r="B86" s="18"/>
      <c r="C86" s="18"/>
      <c r="D86" s="18"/>
      <c r="E86" s="18"/>
      <c r="F86" s="18"/>
      <c r="G86" s="18"/>
    </row>
    <row r="87" spans="1:7" ht="13.8">
      <c r="A87" s="72"/>
      <c r="B87" s="18"/>
      <c r="C87" s="18"/>
      <c r="D87" s="18"/>
      <c r="E87" s="18"/>
      <c r="F87" s="18"/>
      <c r="G87" s="18"/>
    </row>
    <row r="88" spans="1:7" ht="13.8">
      <c r="A88" s="72"/>
      <c r="B88" s="18"/>
      <c r="C88" s="18"/>
      <c r="D88" s="18"/>
      <c r="E88" s="18"/>
      <c r="F88" s="18"/>
      <c r="G88" s="18"/>
    </row>
    <row r="89" spans="1:7" ht="13.8">
      <c r="A89" s="72"/>
      <c r="B89" s="18"/>
      <c r="C89" s="18"/>
      <c r="D89" s="18"/>
      <c r="E89" s="18"/>
      <c r="F89" s="18"/>
      <c r="G89" s="18"/>
    </row>
    <row r="90" spans="1:7" ht="13.8">
      <c r="A90" s="72"/>
      <c r="B90" s="18"/>
      <c r="C90" s="18"/>
      <c r="D90" s="18"/>
      <c r="E90" s="18"/>
      <c r="F90" s="18"/>
      <c r="G90" s="18"/>
    </row>
    <row r="91" spans="1:7" ht="13.8">
      <c r="A91" s="72"/>
      <c r="B91" s="18"/>
      <c r="C91" s="18"/>
      <c r="D91" s="18"/>
      <c r="E91" s="18"/>
      <c r="F91" s="18"/>
      <c r="G91" s="18"/>
    </row>
    <row r="92" spans="1:7" ht="13.8">
      <c r="A92" s="72"/>
      <c r="B92" s="18"/>
      <c r="C92" s="18"/>
      <c r="D92" s="18"/>
      <c r="E92" s="18"/>
      <c r="F92" s="18"/>
      <c r="G92" s="18"/>
    </row>
    <row r="93" spans="1:7" ht="13.8">
      <c r="A93" s="72"/>
      <c r="B93" s="18"/>
      <c r="C93" s="18"/>
      <c r="D93" s="18"/>
      <c r="E93" s="18"/>
      <c r="F93" s="18"/>
      <c r="G93" s="18"/>
    </row>
    <row r="94" spans="1:7" ht="13.8">
      <c r="A94" s="72"/>
      <c r="B94" s="18"/>
      <c r="C94" s="18"/>
      <c r="D94" s="18"/>
      <c r="E94" s="18"/>
      <c r="F94" s="18"/>
      <c r="G94" s="18"/>
    </row>
    <row r="95" spans="1:7" ht="13.8">
      <c r="A95" s="72"/>
      <c r="B95" s="18"/>
      <c r="C95" s="18"/>
      <c r="D95" s="18"/>
      <c r="E95" s="18"/>
      <c r="F95" s="18"/>
      <c r="G95" s="18"/>
    </row>
    <row r="96" spans="1:7" ht="13.8">
      <c r="A96" s="72"/>
      <c r="B96" s="18"/>
      <c r="C96" s="18"/>
      <c r="D96" s="18"/>
      <c r="E96" s="18"/>
      <c r="F96" s="18"/>
      <c r="G96" s="18"/>
    </row>
    <row r="97" spans="1:7" ht="13.8">
      <c r="A97" s="72"/>
      <c r="B97" s="18"/>
      <c r="C97" s="18"/>
      <c r="D97" s="18"/>
      <c r="E97" s="18"/>
      <c r="F97" s="18"/>
      <c r="G97" s="18"/>
    </row>
    <row r="98" spans="1:7" ht="13.8">
      <c r="A98" s="72"/>
      <c r="B98" s="18"/>
      <c r="C98" s="18"/>
      <c r="D98" s="18"/>
      <c r="E98" s="18"/>
      <c r="F98" s="18"/>
      <c r="G98" s="18"/>
    </row>
    <row r="99" spans="1:7" ht="13.8">
      <c r="A99" s="72"/>
      <c r="B99" s="18"/>
      <c r="C99" s="18"/>
      <c r="D99" s="18"/>
      <c r="E99" s="18"/>
      <c r="F99" s="18"/>
      <c r="G99" s="18"/>
    </row>
    <row r="100" spans="1:7" ht="13.8">
      <c r="A100" s="72"/>
      <c r="B100" s="18"/>
      <c r="C100" s="18"/>
      <c r="D100" s="18"/>
      <c r="E100" s="18"/>
      <c r="F100" s="18"/>
      <c r="G100" s="18"/>
    </row>
    <row r="101" spans="1:7" ht="13.8">
      <c r="A101" s="72"/>
      <c r="B101" s="18"/>
      <c r="C101" s="18"/>
      <c r="D101" s="18"/>
      <c r="E101" s="18"/>
      <c r="F101" s="18"/>
      <c r="G101" s="18"/>
    </row>
    <row r="102" spans="1:7" ht="13.8">
      <c r="A102" s="72"/>
      <c r="B102" s="18"/>
      <c r="C102" s="18"/>
      <c r="D102" s="18"/>
      <c r="E102" s="18"/>
      <c r="F102" s="18"/>
      <c r="G102" s="18"/>
    </row>
    <row r="103" spans="1:7" ht="13.8">
      <c r="A103" s="72"/>
      <c r="B103" s="18"/>
      <c r="C103" s="18"/>
      <c r="D103" s="18"/>
      <c r="E103" s="18"/>
      <c r="F103" s="18"/>
      <c r="G103" s="18"/>
    </row>
    <row r="104" spans="1:7" ht="13.8">
      <c r="A104" s="72"/>
      <c r="B104" s="18"/>
      <c r="C104" s="18"/>
      <c r="D104" s="18"/>
      <c r="E104" s="18"/>
      <c r="F104" s="18"/>
      <c r="G104" s="18"/>
    </row>
    <row r="105" spans="1:7" ht="13.8">
      <c r="A105" s="72"/>
      <c r="B105" s="18"/>
      <c r="C105" s="18"/>
      <c r="D105" s="18"/>
      <c r="E105" s="18"/>
      <c r="F105" s="18"/>
      <c r="G105" s="18"/>
    </row>
    <row r="106" spans="1:7" ht="13.8">
      <c r="A106" s="72"/>
      <c r="B106" s="18"/>
      <c r="C106" s="18"/>
      <c r="D106" s="18"/>
      <c r="E106" s="18"/>
      <c r="F106" s="18"/>
      <c r="G106" s="18"/>
    </row>
    <row r="107" spans="1:7" ht="13.8">
      <c r="A107" s="72"/>
      <c r="B107" s="18"/>
      <c r="C107" s="18"/>
      <c r="D107" s="18"/>
      <c r="E107" s="18"/>
      <c r="F107" s="18"/>
      <c r="G107" s="18"/>
    </row>
    <row r="108" spans="1:7" ht="13.8">
      <c r="A108" s="72"/>
      <c r="B108" s="18"/>
      <c r="C108" s="18"/>
      <c r="D108" s="18"/>
      <c r="E108" s="18"/>
      <c r="F108" s="18"/>
      <c r="G108" s="18"/>
    </row>
    <row r="109" spans="1:7" ht="13.8">
      <c r="A109" s="72"/>
      <c r="B109" s="18"/>
      <c r="C109" s="18"/>
      <c r="D109" s="18"/>
      <c r="E109" s="18"/>
      <c r="F109" s="18"/>
      <c r="G109" s="18"/>
    </row>
    <row r="110" spans="1:7" ht="13.8">
      <c r="A110" s="72"/>
      <c r="B110" s="18"/>
      <c r="C110" s="18"/>
      <c r="D110" s="18"/>
      <c r="E110" s="18"/>
      <c r="F110" s="18"/>
      <c r="G110" s="18"/>
    </row>
    <row r="111" spans="1:7" ht="13.8">
      <c r="A111" s="72"/>
      <c r="B111" s="18"/>
      <c r="C111" s="18"/>
      <c r="D111" s="18"/>
      <c r="E111" s="18"/>
      <c r="F111" s="18"/>
      <c r="G111" s="18"/>
    </row>
    <row r="112" spans="1:7" ht="13.8">
      <c r="A112" s="72"/>
      <c r="B112" s="18"/>
      <c r="C112" s="18"/>
      <c r="D112" s="18"/>
      <c r="E112" s="18"/>
      <c r="F112" s="18"/>
      <c r="G112" s="18"/>
    </row>
    <row r="113" spans="1:7" ht="13.8">
      <c r="A113" s="72"/>
      <c r="B113" s="18"/>
      <c r="C113" s="18"/>
      <c r="D113" s="18"/>
      <c r="E113" s="18"/>
      <c r="F113" s="18"/>
      <c r="G113" s="18"/>
    </row>
    <row r="114" spans="1:7" ht="13.8">
      <c r="A114" s="72"/>
      <c r="B114" s="18"/>
      <c r="C114" s="18"/>
      <c r="D114" s="18"/>
      <c r="E114" s="18"/>
      <c r="F114" s="18"/>
      <c r="G114" s="18"/>
    </row>
    <row r="115" spans="1:7" ht="13.8">
      <c r="A115" s="72"/>
      <c r="B115" s="18"/>
      <c r="C115" s="18"/>
      <c r="D115" s="18"/>
      <c r="E115" s="18"/>
      <c r="F115" s="18"/>
      <c r="G115" s="18"/>
    </row>
    <row r="116" spans="1:7" ht="13.8">
      <c r="A116" s="72"/>
      <c r="B116" s="18"/>
      <c r="C116" s="18"/>
      <c r="D116" s="18"/>
      <c r="E116" s="18"/>
      <c r="F116" s="18"/>
      <c r="G116" s="18"/>
    </row>
    <row r="117" spans="1:7" ht="13.8">
      <c r="A117" s="72"/>
      <c r="B117" s="18"/>
      <c r="C117" s="18"/>
      <c r="D117" s="18"/>
      <c r="E117" s="18"/>
      <c r="F117" s="18"/>
      <c r="G117" s="18"/>
    </row>
    <row r="118" spans="1:7" ht="13.8">
      <c r="A118" s="72"/>
      <c r="B118" s="18"/>
      <c r="C118" s="18"/>
      <c r="D118" s="18"/>
      <c r="E118" s="18"/>
      <c r="F118" s="18"/>
      <c r="G118" s="18"/>
    </row>
    <row r="119" spans="1:7" ht="13.8">
      <c r="A119" s="72"/>
      <c r="B119" s="18"/>
      <c r="C119" s="18"/>
      <c r="D119" s="18"/>
      <c r="E119" s="18"/>
      <c r="F119" s="18"/>
      <c r="G119" s="18"/>
    </row>
    <row r="120" spans="1:7" ht="13.8">
      <c r="A120" s="72"/>
      <c r="B120" s="18"/>
      <c r="C120" s="18"/>
      <c r="D120" s="18"/>
      <c r="E120" s="18"/>
      <c r="F120" s="18"/>
      <c r="G120" s="18"/>
    </row>
    <row r="121" spans="1:7" ht="13.8">
      <c r="A121" s="72"/>
      <c r="B121" s="18"/>
      <c r="C121" s="18"/>
      <c r="D121" s="18"/>
      <c r="E121" s="18"/>
      <c r="F121" s="18"/>
      <c r="G121" s="18"/>
    </row>
    <row r="122" spans="1:7" ht="13.8">
      <c r="A122" s="72"/>
      <c r="B122" s="18"/>
      <c r="C122" s="18"/>
      <c r="D122" s="18"/>
      <c r="E122" s="18"/>
      <c r="F122" s="18"/>
      <c r="G122" s="18"/>
    </row>
    <row r="123" spans="1:7" ht="13.8">
      <c r="A123" s="72"/>
      <c r="B123" s="18"/>
      <c r="C123" s="18"/>
      <c r="D123" s="18"/>
      <c r="E123" s="18"/>
      <c r="F123" s="18"/>
      <c r="G123" s="18"/>
    </row>
    <row r="124" spans="1:7" ht="13.8">
      <c r="A124" s="72"/>
      <c r="B124" s="18"/>
      <c r="C124" s="18"/>
      <c r="D124" s="18"/>
      <c r="E124" s="18"/>
      <c r="F124" s="18"/>
      <c r="G124" s="18"/>
    </row>
    <row r="125" spans="1:7" ht="13.8">
      <c r="A125" s="72"/>
      <c r="B125" s="18"/>
      <c r="C125" s="18"/>
      <c r="D125" s="18"/>
      <c r="E125" s="18"/>
      <c r="F125" s="18"/>
      <c r="G125" s="18"/>
    </row>
    <row r="126" spans="1:7" ht="13.8">
      <c r="A126" s="72"/>
      <c r="B126" s="18"/>
      <c r="C126" s="18"/>
      <c r="D126" s="18"/>
      <c r="E126" s="18"/>
      <c r="F126" s="18"/>
      <c r="G126" s="18"/>
    </row>
    <row r="127" spans="1:7" ht="13.8">
      <c r="A127" s="72"/>
      <c r="B127" s="18"/>
      <c r="C127" s="18"/>
      <c r="D127" s="18"/>
      <c r="E127" s="18"/>
      <c r="F127" s="18"/>
      <c r="G127" s="18"/>
    </row>
    <row r="128" spans="1:7" ht="13.8">
      <c r="A128" s="72"/>
      <c r="B128" s="18"/>
      <c r="C128" s="18"/>
      <c r="D128" s="18"/>
      <c r="E128" s="18"/>
      <c r="F128" s="18"/>
      <c r="G128" s="18"/>
    </row>
    <row r="129" spans="1:7" ht="13.8">
      <c r="A129" s="72"/>
      <c r="B129" s="18"/>
      <c r="C129" s="18"/>
      <c r="D129" s="18"/>
      <c r="E129" s="18"/>
      <c r="F129" s="18"/>
      <c r="G129" s="18"/>
    </row>
    <row r="130" spans="1:7" ht="13.8">
      <c r="A130" s="72"/>
      <c r="B130" s="18"/>
      <c r="C130" s="18"/>
      <c r="D130" s="18"/>
      <c r="E130" s="18"/>
      <c r="F130" s="18"/>
      <c r="G130" s="18"/>
    </row>
    <row r="131" spans="1:7" ht="13.8">
      <c r="A131" s="72"/>
      <c r="B131" s="18"/>
      <c r="C131" s="18"/>
      <c r="D131" s="18"/>
      <c r="E131" s="18"/>
      <c r="F131" s="18"/>
      <c r="G131" s="18"/>
    </row>
    <row r="132" spans="1:7" ht="13.8">
      <c r="A132" s="72"/>
      <c r="B132" s="18"/>
      <c r="C132" s="18"/>
      <c r="D132" s="18"/>
      <c r="E132" s="18"/>
      <c r="F132" s="18"/>
      <c r="G132" s="18"/>
    </row>
    <row r="133" spans="1:7" ht="13.8">
      <c r="A133" s="72"/>
      <c r="B133" s="18"/>
      <c r="C133" s="18"/>
      <c r="D133" s="18"/>
      <c r="E133" s="18"/>
      <c r="F133" s="18"/>
      <c r="G133" s="18"/>
    </row>
    <row r="134" spans="1:7" ht="13.8">
      <c r="A134" s="72"/>
      <c r="B134" s="18"/>
      <c r="C134" s="18"/>
      <c r="D134" s="18"/>
      <c r="E134" s="18"/>
      <c r="F134" s="18"/>
      <c r="G134" s="18"/>
    </row>
    <row r="135" spans="1:7" ht="13.8">
      <c r="A135" s="72"/>
      <c r="B135" s="18"/>
      <c r="C135" s="18"/>
      <c r="D135" s="18"/>
      <c r="E135" s="18"/>
      <c r="F135" s="18"/>
      <c r="G135" s="18"/>
    </row>
    <row r="136" spans="1:7" ht="13.8">
      <c r="A136" s="72"/>
      <c r="B136" s="18"/>
      <c r="C136" s="18"/>
      <c r="D136" s="18"/>
      <c r="E136" s="18"/>
      <c r="F136" s="18"/>
      <c r="G136" s="18"/>
    </row>
    <row r="137" spans="1:7" ht="13.8">
      <c r="A137" s="72"/>
      <c r="B137" s="18"/>
      <c r="C137" s="18"/>
      <c r="D137" s="18"/>
      <c r="E137" s="18"/>
      <c r="F137" s="18"/>
      <c r="G137" s="18"/>
    </row>
    <row r="138" spans="1:7" ht="13.8">
      <c r="A138" s="72"/>
      <c r="B138" s="18"/>
      <c r="C138" s="18"/>
      <c r="D138" s="18"/>
      <c r="E138" s="18"/>
      <c r="F138" s="18"/>
      <c r="G138" s="18"/>
    </row>
    <row r="139" spans="1:7" ht="13.8">
      <c r="A139" s="72"/>
      <c r="B139" s="18"/>
      <c r="C139" s="18"/>
      <c r="D139" s="18"/>
      <c r="E139" s="18"/>
      <c r="F139" s="18"/>
      <c r="G139" s="18"/>
    </row>
    <row r="140" spans="1:7" ht="13.8">
      <c r="A140" s="72"/>
      <c r="B140" s="18"/>
      <c r="C140" s="18"/>
      <c r="D140" s="18"/>
      <c r="E140" s="18"/>
      <c r="F140" s="18"/>
      <c r="G140" s="18"/>
    </row>
    <row r="141" spans="1:7" ht="13.8">
      <c r="A141" s="72"/>
      <c r="B141" s="18"/>
      <c r="C141" s="18"/>
      <c r="D141" s="18"/>
      <c r="E141" s="18"/>
      <c r="F141" s="18"/>
      <c r="G141" s="18"/>
    </row>
    <row r="142" spans="1:7" ht="13.8">
      <c r="A142" s="72"/>
      <c r="B142" s="18"/>
      <c r="C142" s="18"/>
      <c r="D142" s="18"/>
      <c r="E142" s="18"/>
      <c r="F142" s="18"/>
      <c r="G142" s="18"/>
    </row>
    <row r="143" spans="1:7" ht="13.8">
      <c r="A143" s="72"/>
      <c r="B143" s="18"/>
      <c r="C143" s="18"/>
      <c r="D143" s="18"/>
      <c r="E143" s="18"/>
      <c r="F143" s="18"/>
      <c r="G143" s="18"/>
    </row>
    <row r="144" spans="1:7" ht="13.8">
      <c r="A144" s="72"/>
      <c r="B144" s="18"/>
      <c r="C144" s="18"/>
      <c r="D144" s="18"/>
      <c r="E144" s="18"/>
      <c r="F144" s="18"/>
      <c r="G144" s="18"/>
    </row>
    <row r="145" spans="1:7" ht="13.8">
      <c r="A145" s="72"/>
      <c r="B145" s="18"/>
      <c r="C145" s="18"/>
      <c r="D145" s="18"/>
      <c r="E145" s="18"/>
      <c r="F145" s="18"/>
      <c r="G145" s="18"/>
    </row>
    <row r="146" spans="1:7" ht="13.8">
      <c r="A146" s="72"/>
      <c r="B146" s="18"/>
      <c r="C146" s="18"/>
      <c r="D146" s="18"/>
      <c r="E146" s="18"/>
      <c r="F146" s="18"/>
      <c r="G146" s="18"/>
    </row>
    <row r="147" spans="1:7" ht="13.8">
      <c r="A147" s="72"/>
      <c r="B147" s="18"/>
      <c r="C147" s="18"/>
      <c r="D147" s="18"/>
      <c r="E147" s="18"/>
      <c r="F147" s="18"/>
      <c r="G147" s="18"/>
    </row>
    <row r="148" spans="1:7" ht="13.8">
      <c r="A148" s="72"/>
      <c r="B148" s="18"/>
      <c r="C148" s="18"/>
      <c r="D148" s="18"/>
      <c r="E148" s="18"/>
      <c r="F148" s="18"/>
      <c r="G148" s="18"/>
    </row>
    <row r="149" spans="1:7" ht="13.8">
      <c r="A149" s="72"/>
      <c r="B149" s="18"/>
      <c r="C149" s="18"/>
      <c r="D149" s="18"/>
      <c r="E149" s="18"/>
      <c r="F149" s="18"/>
      <c r="G149" s="18"/>
    </row>
    <row r="150" spans="1:7" ht="13.8">
      <c r="A150" s="72"/>
      <c r="B150" s="18"/>
      <c r="C150" s="18"/>
      <c r="D150" s="18"/>
      <c r="E150" s="18"/>
      <c r="F150" s="18"/>
      <c r="G150" s="18"/>
    </row>
    <row r="151" spans="1:7" ht="13.8">
      <c r="A151" s="72"/>
      <c r="B151" s="18"/>
      <c r="C151" s="18"/>
      <c r="D151" s="18"/>
      <c r="E151" s="18"/>
      <c r="F151" s="18"/>
      <c r="G151" s="18"/>
    </row>
    <row r="152" spans="1:7" ht="13.8">
      <c r="A152" s="72"/>
      <c r="B152" s="18"/>
      <c r="C152" s="18"/>
      <c r="D152" s="18"/>
      <c r="E152" s="18"/>
      <c r="F152" s="18"/>
      <c r="G152" s="18"/>
    </row>
    <row r="153" spans="1:7" ht="13.8">
      <c r="A153" s="72"/>
      <c r="B153" s="18"/>
      <c r="C153" s="18"/>
      <c r="D153" s="18"/>
      <c r="E153" s="18"/>
      <c r="F153" s="18"/>
      <c r="G153" s="18"/>
    </row>
    <row r="154" spans="1:7" ht="13.8">
      <c r="A154" s="72"/>
      <c r="B154" s="18"/>
      <c r="C154" s="18"/>
      <c r="D154" s="18"/>
      <c r="E154" s="18"/>
      <c r="F154" s="18"/>
      <c r="G154" s="18"/>
    </row>
    <row r="155" spans="1:7" ht="13.8">
      <c r="A155" s="72"/>
      <c r="B155" s="18"/>
      <c r="C155" s="18"/>
      <c r="D155" s="18"/>
      <c r="E155" s="18"/>
      <c r="F155" s="18"/>
      <c r="G155" s="18"/>
    </row>
    <row r="156" spans="1:7" ht="13.8">
      <c r="A156" s="72"/>
      <c r="B156" s="18"/>
      <c r="C156" s="18"/>
      <c r="D156" s="18"/>
      <c r="E156" s="18"/>
      <c r="F156" s="18"/>
      <c r="G156" s="18"/>
    </row>
    <row r="157" spans="1:7" ht="13.8">
      <c r="A157" s="72"/>
      <c r="B157" s="18"/>
      <c r="C157" s="18"/>
      <c r="D157" s="18"/>
      <c r="E157" s="18"/>
      <c r="F157" s="18"/>
      <c r="G157" s="18"/>
    </row>
    <row r="158" spans="1:7" ht="13.8">
      <c r="A158" s="72"/>
      <c r="B158" s="18"/>
      <c r="C158" s="18"/>
      <c r="D158" s="18"/>
      <c r="E158" s="18"/>
      <c r="F158" s="18"/>
      <c r="G158" s="18"/>
    </row>
    <row r="159" spans="1:7" ht="13.8">
      <c r="A159" s="72"/>
      <c r="B159" s="18"/>
      <c r="C159" s="18"/>
      <c r="D159" s="18"/>
      <c r="E159" s="18"/>
      <c r="F159" s="18"/>
      <c r="G159" s="18"/>
    </row>
    <row r="160" spans="1:7" ht="13.8">
      <c r="A160" s="72"/>
      <c r="B160" s="18"/>
      <c r="C160" s="18"/>
      <c r="D160" s="18"/>
      <c r="E160" s="18"/>
      <c r="F160" s="18"/>
      <c r="G160" s="18"/>
    </row>
    <row r="161" spans="1:7" ht="13.8">
      <c r="A161" s="72"/>
      <c r="B161" s="18"/>
      <c r="C161" s="18"/>
      <c r="D161" s="18"/>
      <c r="E161" s="18"/>
      <c r="F161" s="18"/>
      <c r="G161" s="18"/>
    </row>
    <row r="162" spans="1:7" ht="13.8">
      <c r="A162" s="72"/>
      <c r="B162" s="18"/>
      <c r="C162" s="18"/>
      <c r="D162" s="18"/>
      <c r="E162" s="18"/>
      <c r="F162" s="18"/>
      <c r="G162" s="18"/>
    </row>
    <row r="163" spans="1:7" ht="13.8">
      <c r="A163" s="72"/>
      <c r="B163" s="18"/>
      <c r="C163" s="18"/>
      <c r="D163" s="18"/>
      <c r="E163" s="18"/>
      <c r="F163" s="18"/>
      <c r="G163" s="18"/>
    </row>
    <row r="164" spans="1:7" ht="13.8">
      <c r="A164" s="72"/>
      <c r="B164" s="18"/>
      <c r="C164" s="18"/>
      <c r="D164" s="18"/>
      <c r="E164" s="18"/>
      <c r="F164" s="18"/>
      <c r="G164" s="18"/>
    </row>
    <row r="165" spans="1:7" ht="13.8">
      <c r="A165" s="72"/>
      <c r="B165" s="18"/>
      <c r="C165" s="18"/>
      <c r="D165" s="18"/>
      <c r="E165" s="18"/>
      <c r="F165" s="18"/>
      <c r="G165" s="18"/>
    </row>
    <row r="166" spans="1:7" ht="13.8">
      <c r="A166" s="72"/>
      <c r="B166" s="18"/>
      <c r="C166" s="18"/>
      <c r="D166" s="18"/>
      <c r="E166" s="18"/>
      <c r="F166" s="18"/>
      <c r="G166" s="18"/>
    </row>
    <row r="167" spans="1:7" ht="13.8">
      <c r="A167" s="72"/>
      <c r="B167" s="18"/>
      <c r="C167" s="18"/>
      <c r="D167" s="18"/>
      <c r="E167" s="18"/>
      <c r="F167" s="18"/>
      <c r="G167" s="18"/>
    </row>
    <row r="168" spans="1:7" ht="13.8">
      <c r="A168" s="72"/>
      <c r="B168" s="18"/>
      <c r="C168" s="18"/>
      <c r="D168" s="18"/>
      <c r="E168" s="18"/>
      <c r="F168" s="18"/>
      <c r="G168" s="18"/>
    </row>
    <row r="169" spans="1:7" ht="13.8">
      <c r="A169" s="72"/>
      <c r="B169" s="18"/>
      <c r="C169" s="18"/>
      <c r="D169" s="18"/>
      <c r="E169" s="18"/>
      <c r="F169" s="18"/>
      <c r="G169" s="18"/>
    </row>
    <row r="170" spans="1:7" ht="13.8">
      <c r="A170" s="72"/>
      <c r="B170" s="18"/>
      <c r="C170" s="18"/>
      <c r="D170" s="18"/>
      <c r="E170" s="18"/>
      <c r="F170" s="18"/>
      <c r="G170" s="18"/>
    </row>
    <row r="171" spans="1:7" ht="13.8">
      <c r="A171" s="72"/>
      <c r="B171" s="18"/>
      <c r="C171" s="18"/>
      <c r="D171" s="18"/>
      <c r="E171" s="18"/>
      <c r="F171" s="18"/>
      <c r="G171" s="18"/>
    </row>
    <row r="172" spans="1:7" ht="13.8">
      <c r="A172" s="72"/>
      <c r="B172" s="18"/>
      <c r="C172" s="18"/>
      <c r="D172" s="18"/>
      <c r="E172" s="18"/>
      <c r="F172" s="18"/>
      <c r="G172" s="18"/>
    </row>
    <row r="173" spans="1:7" ht="13.8">
      <c r="A173" s="72"/>
      <c r="B173" s="18"/>
      <c r="C173" s="18"/>
      <c r="D173" s="18"/>
      <c r="E173" s="18"/>
      <c r="F173" s="18"/>
      <c r="G173" s="18"/>
    </row>
    <row r="174" spans="1:7" ht="13.8">
      <c r="A174" s="72"/>
      <c r="B174" s="18"/>
      <c r="C174" s="18"/>
      <c r="D174" s="18"/>
      <c r="E174" s="18"/>
      <c r="F174" s="18"/>
      <c r="G174" s="18"/>
    </row>
    <row r="175" spans="1:7" ht="13.8">
      <c r="A175" s="72"/>
      <c r="B175" s="18"/>
      <c r="C175" s="18"/>
      <c r="D175" s="18"/>
      <c r="E175" s="18"/>
      <c r="F175" s="18"/>
      <c r="G175" s="18"/>
    </row>
    <row r="176" spans="1:7" ht="13.8">
      <c r="A176" s="72"/>
      <c r="B176" s="18"/>
      <c r="C176" s="18"/>
      <c r="D176" s="18"/>
      <c r="E176" s="18"/>
      <c r="F176" s="18"/>
      <c r="G176" s="18"/>
    </row>
    <row r="177" spans="1:7" ht="13.8">
      <c r="A177" s="72"/>
      <c r="B177" s="18"/>
      <c r="C177" s="18"/>
      <c r="D177" s="18"/>
      <c r="E177" s="18"/>
      <c r="F177" s="18"/>
      <c r="G177" s="18"/>
    </row>
    <row r="178" spans="1:7" ht="13.8">
      <c r="A178" s="72"/>
      <c r="B178" s="18"/>
      <c r="C178" s="18"/>
      <c r="D178" s="18"/>
      <c r="E178" s="18"/>
      <c r="F178" s="18"/>
      <c r="G178" s="18"/>
    </row>
    <row r="179" spans="1:7" ht="13.8">
      <c r="A179" s="72"/>
      <c r="B179" s="18"/>
      <c r="C179" s="18"/>
      <c r="D179" s="18"/>
      <c r="E179" s="18"/>
      <c r="F179" s="18"/>
      <c r="G179" s="18"/>
    </row>
    <row r="180" spans="1:7" ht="13.8">
      <c r="A180" s="72"/>
      <c r="B180" s="18"/>
      <c r="C180" s="18"/>
      <c r="D180" s="18"/>
      <c r="E180" s="18"/>
      <c r="F180" s="18"/>
      <c r="G180" s="18"/>
    </row>
    <row r="181" spans="1:7" ht="13.8">
      <c r="A181" s="72"/>
      <c r="B181" s="18"/>
      <c r="C181" s="18"/>
      <c r="D181" s="18"/>
      <c r="E181" s="18"/>
      <c r="F181" s="18"/>
      <c r="G181" s="18"/>
    </row>
    <row r="182" spans="1:7" ht="13.8">
      <c r="A182" s="72"/>
      <c r="B182" s="18"/>
      <c r="C182" s="18"/>
      <c r="D182" s="18"/>
      <c r="E182" s="18"/>
      <c r="F182" s="18"/>
      <c r="G182" s="18"/>
    </row>
    <row r="183" spans="1:7" ht="13.8">
      <c r="A183" s="72"/>
      <c r="B183" s="18"/>
      <c r="C183" s="18"/>
      <c r="D183" s="18"/>
      <c r="E183" s="18"/>
      <c r="F183" s="18"/>
      <c r="G183" s="18"/>
    </row>
    <row r="184" spans="1:7" ht="13.8">
      <c r="A184" s="72"/>
      <c r="B184" s="18"/>
      <c r="C184" s="18"/>
      <c r="D184" s="18"/>
      <c r="E184" s="18"/>
      <c r="F184" s="18"/>
      <c r="G184" s="18"/>
    </row>
    <row r="185" spans="1:7" ht="13.8">
      <c r="A185" s="72"/>
      <c r="B185" s="18"/>
      <c r="C185" s="18"/>
      <c r="D185" s="18"/>
      <c r="E185" s="18"/>
      <c r="F185" s="18"/>
      <c r="G185" s="18"/>
    </row>
    <row r="186" spans="1:7" ht="13.8">
      <c r="A186" s="72"/>
      <c r="B186" s="18"/>
      <c r="C186" s="18"/>
      <c r="D186" s="18"/>
      <c r="E186" s="18"/>
      <c r="F186" s="18"/>
      <c r="G186" s="18"/>
    </row>
    <row r="187" spans="1:7" ht="13.8">
      <c r="A187" s="72"/>
      <c r="B187" s="18"/>
      <c r="C187" s="18"/>
      <c r="D187" s="18"/>
      <c r="E187" s="18"/>
      <c r="F187" s="18"/>
      <c r="G187" s="18"/>
    </row>
    <row r="188" spans="1:7" ht="13.8">
      <c r="A188" s="72"/>
      <c r="B188" s="18"/>
      <c r="C188" s="18"/>
      <c r="D188" s="18"/>
      <c r="E188" s="18"/>
      <c r="F188" s="18"/>
      <c r="G188" s="18"/>
    </row>
    <row r="189" spans="1:7" ht="13.8">
      <c r="A189" s="72"/>
      <c r="B189" s="18"/>
      <c r="C189" s="18"/>
      <c r="D189" s="18"/>
      <c r="E189" s="18"/>
      <c r="F189" s="18"/>
      <c r="G189" s="18"/>
    </row>
    <row r="190" spans="1:7" ht="13.8">
      <c r="A190" s="72"/>
      <c r="B190" s="18"/>
      <c r="C190" s="18"/>
      <c r="D190" s="18"/>
      <c r="E190" s="18"/>
      <c r="F190" s="18"/>
      <c r="G190" s="18"/>
    </row>
    <row r="191" spans="1:7" ht="13.8">
      <c r="A191" s="72"/>
      <c r="B191" s="18"/>
      <c r="C191" s="18"/>
      <c r="D191" s="18"/>
      <c r="E191" s="18"/>
      <c r="F191" s="18"/>
      <c r="G191" s="18"/>
    </row>
    <row r="192" spans="1:7" ht="13.8">
      <c r="A192" s="72"/>
      <c r="B192" s="18"/>
      <c r="C192" s="18"/>
      <c r="D192" s="18"/>
      <c r="E192" s="18"/>
      <c r="F192" s="18"/>
      <c r="G192" s="18"/>
    </row>
    <row r="193" spans="1:7" ht="13.8">
      <c r="A193" s="72"/>
      <c r="B193" s="18"/>
      <c r="C193" s="18"/>
      <c r="D193" s="18"/>
      <c r="E193" s="18"/>
      <c r="F193" s="18"/>
      <c r="G193" s="18"/>
    </row>
    <row r="194" spans="1:7" ht="13.8">
      <c r="A194" s="72"/>
      <c r="B194" s="18"/>
      <c r="C194" s="18"/>
      <c r="D194" s="18"/>
      <c r="E194" s="18"/>
      <c r="F194" s="18"/>
      <c r="G194" s="18"/>
    </row>
    <row r="195" spans="1:7" ht="13.8">
      <c r="A195" s="72"/>
      <c r="B195" s="18"/>
      <c r="C195" s="18"/>
      <c r="D195" s="18"/>
      <c r="E195" s="18"/>
      <c r="F195" s="18"/>
      <c r="G195" s="18"/>
    </row>
    <row r="196" spans="1:7" ht="13.8">
      <c r="A196" s="72"/>
      <c r="B196" s="18"/>
      <c r="C196" s="18"/>
      <c r="D196" s="18"/>
      <c r="E196" s="18"/>
      <c r="F196" s="18"/>
      <c r="G196" s="18"/>
    </row>
    <row r="197" spans="1:7" ht="13.8">
      <c r="A197" s="72"/>
      <c r="B197" s="18"/>
      <c r="C197" s="18"/>
      <c r="D197" s="18"/>
      <c r="E197" s="18"/>
      <c r="F197" s="18"/>
      <c r="G197" s="18"/>
    </row>
    <row r="198" spans="1:7" ht="13.8">
      <c r="A198" s="72"/>
      <c r="B198" s="18"/>
      <c r="C198" s="18"/>
      <c r="D198" s="18"/>
      <c r="E198" s="18"/>
      <c r="F198" s="18"/>
      <c r="G198" s="18"/>
    </row>
    <row r="199" spans="1:7" ht="13.8">
      <c r="A199" s="72"/>
      <c r="B199" s="18"/>
      <c r="C199" s="18"/>
      <c r="D199" s="18"/>
      <c r="E199" s="18"/>
      <c r="F199" s="18"/>
      <c r="G199" s="18"/>
    </row>
    <row r="200" spans="1:7" ht="13.8">
      <c r="A200" s="72"/>
      <c r="B200" s="18"/>
      <c r="C200" s="18"/>
      <c r="D200" s="18"/>
      <c r="E200" s="18"/>
      <c r="F200" s="18"/>
      <c r="G200" s="18"/>
    </row>
    <row r="201" spans="1:7" ht="13.8">
      <c r="A201" s="72"/>
      <c r="B201" s="18"/>
      <c r="C201" s="18"/>
      <c r="D201" s="18"/>
      <c r="E201" s="18"/>
      <c r="F201" s="18"/>
      <c r="G201" s="18"/>
    </row>
    <row r="202" spans="1:7" ht="13.8">
      <c r="A202" s="72"/>
      <c r="B202" s="18"/>
      <c r="C202" s="18"/>
      <c r="D202" s="18"/>
      <c r="E202" s="18"/>
      <c r="F202" s="18"/>
      <c r="G202" s="18"/>
    </row>
    <row r="203" spans="1:7" ht="13.8">
      <c r="A203" s="72"/>
      <c r="B203" s="18"/>
      <c r="C203" s="18"/>
      <c r="D203" s="18"/>
      <c r="E203" s="18"/>
      <c r="F203" s="18"/>
      <c r="G203" s="18"/>
    </row>
    <row r="204" spans="1:7" ht="13.8">
      <c r="A204" s="72"/>
      <c r="B204" s="18"/>
      <c r="C204" s="18"/>
      <c r="D204" s="18"/>
      <c r="E204" s="18"/>
      <c r="F204" s="18"/>
      <c r="G204" s="18"/>
    </row>
    <row r="205" spans="1:7" ht="13.8">
      <c r="A205" s="72"/>
      <c r="B205" s="18"/>
      <c r="C205" s="18"/>
      <c r="D205" s="18"/>
      <c r="E205" s="18"/>
      <c r="F205" s="18"/>
      <c r="G205" s="18"/>
    </row>
    <row r="206" spans="1:7" ht="13.8">
      <c r="A206" s="72"/>
      <c r="B206" s="18"/>
      <c r="C206" s="18"/>
      <c r="D206" s="18"/>
      <c r="E206" s="18"/>
      <c r="F206" s="18"/>
      <c r="G206" s="18"/>
    </row>
    <row r="207" spans="1:7" ht="13.8">
      <c r="A207" s="72"/>
      <c r="B207" s="18"/>
      <c r="C207" s="18"/>
      <c r="D207" s="18"/>
      <c r="E207" s="18"/>
      <c r="F207" s="18"/>
      <c r="G207" s="18"/>
    </row>
    <row r="208" spans="1:7" ht="13.8">
      <c r="A208" s="72"/>
      <c r="B208" s="18"/>
      <c r="C208" s="18"/>
      <c r="D208" s="18"/>
      <c r="E208" s="18"/>
      <c r="F208" s="18"/>
      <c r="G208" s="18"/>
    </row>
    <row r="209" spans="1:7" ht="13.8">
      <c r="A209" s="72"/>
      <c r="B209" s="18"/>
      <c r="C209" s="18"/>
      <c r="D209" s="18"/>
      <c r="E209" s="18"/>
      <c r="F209" s="18"/>
      <c r="G209" s="18"/>
    </row>
    <row r="210" spans="1:7" ht="13.8">
      <c r="A210" s="72"/>
      <c r="B210" s="18"/>
      <c r="C210" s="18"/>
      <c r="D210" s="18"/>
      <c r="E210" s="18"/>
      <c r="F210" s="18"/>
      <c r="G210" s="18"/>
    </row>
    <row r="211" spans="1:7" ht="13.8">
      <c r="A211" s="72"/>
      <c r="B211" s="18"/>
      <c r="C211" s="18"/>
      <c r="D211" s="18"/>
      <c r="E211" s="18"/>
      <c r="F211" s="18"/>
      <c r="G211" s="18"/>
    </row>
    <row r="212" spans="1:7" ht="13.8">
      <c r="A212" s="72"/>
      <c r="B212" s="18"/>
      <c r="C212" s="18"/>
      <c r="D212" s="18"/>
      <c r="E212" s="18"/>
      <c r="F212" s="18"/>
      <c r="G212" s="18"/>
    </row>
    <row r="213" spans="1:7" ht="13.8">
      <c r="A213" s="72"/>
      <c r="B213" s="18"/>
      <c r="C213" s="18"/>
      <c r="D213" s="18"/>
      <c r="E213" s="18"/>
      <c r="F213" s="18"/>
      <c r="G213" s="18"/>
    </row>
    <row r="214" spans="1:7" ht="13.8">
      <c r="A214" s="72"/>
      <c r="B214" s="18"/>
      <c r="C214" s="18"/>
      <c r="D214" s="18"/>
      <c r="E214" s="18"/>
      <c r="F214" s="18"/>
      <c r="G214" s="18"/>
    </row>
    <row r="215" spans="1:7" ht="13.8">
      <c r="A215" s="72"/>
      <c r="B215" s="18"/>
      <c r="C215" s="18"/>
      <c r="D215" s="18"/>
      <c r="E215" s="18"/>
      <c r="F215" s="18"/>
      <c r="G215" s="18"/>
    </row>
    <row r="216" spans="1:7" ht="13.8">
      <c r="A216" s="72"/>
      <c r="B216" s="18"/>
      <c r="C216" s="18"/>
      <c r="D216" s="18"/>
      <c r="E216" s="18"/>
      <c r="F216" s="18"/>
      <c r="G216" s="18"/>
    </row>
    <row r="217" spans="1:7" ht="13.8">
      <c r="A217" s="72"/>
      <c r="B217" s="18"/>
      <c r="C217" s="18"/>
      <c r="D217" s="18"/>
      <c r="E217" s="18"/>
      <c r="F217" s="18"/>
      <c r="G217" s="18"/>
    </row>
    <row r="218" spans="1:7" ht="13.8">
      <c r="A218" s="72"/>
      <c r="B218" s="18"/>
      <c r="C218" s="18"/>
      <c r="D218" s="18"/>
      <c r="E218" s="18"/>
      <c r="F218" s="18"/>
      <c r="G218" s="18"/>
    </row>
    <row r="219" spans="1:7" ht="13.8">
      <c r="A219" s="72"/>
      <c r="B219" s="18"/>
      <c r="C219" s="18"/>
      <c r="D219" s="18"/>
      <c r="E219" s="18"/>
      <c r="F219" s="18"/>
      <c r="G219" s="18"/>
    </row>
    <row r="220" spans="1:7" ht="13.8">
      <c r="A220" s="72"/>
      <c r="B220" s="18"/>
      <c r="C220" s="18"/>
      <c r="D220" s="18"/>
      <c r="E220" s="18"/>
      <c r="F220" s="18"/>
      <c r="G220" s="18"/>
    </row>
    <row r="221" spans="1:7" ht="13.8">
      <c r="A221" s="72"/>
      <c r="B221" s="18"/>
      <c r="C221" s="18"/>
      <c r="D221" s="18"/>
      <c r="E221" s="18"/>
      <c r="F221" s="18"/>
      <c r="G221" s="18"/>
    </row>
    <row r="222" spans="1:7" ht="13.8">
      <c r="A222" s="72"/>
      <c r="B222" s="18"/>
      <c r="C222" s="18"/>
      <c r="D222" s="18"/>
      <c r="E222" s="18"/>
      <c r="F222" s="18"/>
      <c r="G222" s="18"/>
    </row>
    <row r="223" spans="1:7" ht="13.8">
      <c r="A223" s="72"/>
      <c r="B223" s="18"/>
      <c r="C223" s="18"/>
      <c r="D223" s="18"/>
      <c r="E223" s="18"/>
      <c r="F223" s="18"/>
      <c r="G223" s="18"/>
    </row>
    <row r="224" spans="1:7" ht="13.8">
      <c r="A224" s="72"/>
      <c r="B224" s="18"/>
      <c r="C224" s="18"/>
      <c r="D224" s="18"/>
      <c r="E224" s="18"/>
      <c r="F224" s="18"/>
      <c r="G224" s="18"/>
    </row>
    <row r="225" spans="1:7" ht="13.8">
      <c r="A225" s="72"/>
      <c r="B225" s="18"/>
      <c r="C225" s="18"/>
      <c r="D225" s="18"/>
      <c r="E225" s="18"/>
      <c r="F225" s="18"/>
      <c r="G225" s="18"/>
    </row>
    <row r="226" spans="1:7" ht="13.8">
      <c r="A226" s="72"/>
      <c r="B226" s="18"/>
      <c r="C226" s="18"/>
      <c r="D226" s="18"/>
      <c r="E226" s="18"/>
      <c r="F226" s="18"/>
      <c r="G226" s="18"/>
    </row>
    <row r="227" spans="1:7" ht="13.8">
      <c r="A227" s="72"/>
      <c r="B227" s="18"/>
      <c r="C227" s="18"/>
      <c r="D227" s="18"/>
      <c r="E227" s="18"/>
      <c r="F227" s="18"/>
      <c r="G227" s="18"/>
    </row>
    <row r="228" spans="1:7" ht="13.8">
      <c r="A228" s="72"/>
      <c r="B228" s="18"/>
      <c r="C228" s="18"/>
      <c r="D228" s="18"/>
      <c r="E228" s="18"/>
      <c r="F228" s="18"/>
      <c r="G228" s="18"/>
    </row>
    <row r="229" spans="1:7" ht="13.8">
      <c r="A229" s="72"/>
      <c r="B229" s="18"/>
      <c r="C229" s="18"/>
      <c r="D229" s="18"/>
      <c r="E229" s="18"/>
      <c r="F229" s="18"/>
      <c r="G229" s="18"/>
    </row>
    <row r="230" spans="1:7" ht="13.8">
      <c r="A230" s="72"/>
      <c r="B230" s="18"/>
      <c r="C230" s="18"/>
      <c r="D230" s="18"/>
      <c r="E230" s="18"/>
      <c r="F230" s="18"/>
      <c r="G230" s="18"/>
    </row>
    <row r="231" spans="1:7" ht="13.8">
      <c r="A231" s="72"/>
      <c r="B231" s="18"/>
      <c r="C231" s="18"/>
      <c r="D231" s="18"/>
      <c r="E231" s="18"/>
      <c r="F231" s="18"/>
      <c r="G231" s="18"/>
    </row>
    <row r="232" spans="1:7" ht="13.8">
      <c r="A232" s="72"/>
      <c r="B232" s="18"/>
      <c r="C232" s="18"/>
      <c r="D232" s="18"/>
      <c r="E232" s="18"/>
      <c r="F232" s="18"/>
      <c r="G232" s="18"/>
    </row>
    <row r="233" spans="1:7" ht="13.8">
      <c r="A233" s="72"/>
      <c r="B233" s="18"/>
      <c r="C233" s="18"/>
      <c r="D233" s="18"/>
      <c r="E233" s="18"/>
      <c r="F233" s="18"/>
      <c r="G233" s="18"/>
    </row>
    <row r="234" spans="1:7" ht="13.8">
      <c r="A234" s="72"/>
      <c r="B234" s="18"/>
      <c r="C234" s="18"/>
      <c r="D234" s="18"/>
      <c r="E234" s="18"/>
      <c r="F234" s="18"/>
      <c r="G234" s="18"/>
    </row>
    <row r="235" spans="1:7" ht="13.8">
      <c r="A235" s="72"/>
      <c r="B235" s="18"/>
      <c r="C235" s="18"/>
      <c r="D235" s="18"/>
      <c r="E235" s="18"/>
      <c r="F235" s="18"/>
      <c r="G235" s="18"/>
    </row>
    <row r="236" spans="1:7" ht="13.8">
      <c r="A236" s="72"/>
      <c r="B236" s="18"/>
      <c r="C236" s="18"/>
      <c r="D236" s="18"/>
      <c r="E236" s="18"/>
      <c r="F236" s="18"/>
      <c r="G236" s="18"/>
    </row>
    <row r="237" spans="1:7" ht="13.8">
      <c r="A237" s="72"/>
      <c r="B237" s="18"/>
      <c r="C237" s="18"/>
      <c r="D237" s="18"/>
      <c r="E237" s="18"/>
      <c r="F237" s="18"/>
      <c r="G237" s="18"/>
    </row>
    <row r="238" spans="1:7" ht="13.8">
      <c r="A238" s="72"/>
      <c r="B238" s="18"/>
      <c r="C238" s="18"/>
      <c r="D238" s="18"/>
      <c r="E238" s="18"/>
      <c r="F238" s="18"/>
      <c r="G238" s="18"/>
    </row>
    <row r="239" spans="1:7" ht="13.8">
      <c r="A239" s="72"/>
      <c r="B239" s="18"/>
      <c r="C239" s="18"/>
      <c r="D239" s="18"/>
      <c r="E239" s="18"/>
      <c r="F239" s="18"/>
      <c r="G239" s="18"/>
    </row>
    <row r="240" spans="1:7" ht="13.8">
      <c r="A240" s="72"/>
      <c r="B240" s="18"/>
      <c r="C240" s="18"/>
      <c r="D240" s="18"/>
      <c r="E240" s="18"/>
      <c r="F240" s="18"/>
      <c r="G240" s="18"/>
    </row>
    <row r="241" spans="1:7" ht="13.8">
      <c r="A241" s="72"/>
      <c r="B241" s="18"/>
      <c r="C241" s="18"/>
      <c r="D241" s="18"/>
      <c r="E241" s="18"/>
      <c r="F241" s="18"/>
      <c r="G241" s="18"/>
    </row>
    <row r="242" spans="1:7" ht="13.8">
      <c r="A242" s="72"/>
      <c r="B242" s="18"/>
      <c r="C242" s="18"/>
      <c r="D242" s="18"/>
      <c r="E242" s="18"/>
      <c r="F242" s="18"/>
      <c r="G242" s="18"/>
    </row>
    <row r="243" spans="1:7" ht="13.8">
      <c r="A243" s="72"/>
      <c r="B243" s="18"/>
      <c r="C243" s="18"/>
      <c r="D243" s="18"/>
      <c r="E243" s="18"/>
      <c r="F243" s="18"/>
      <c r="G243" s="18"/>
    </row>
    <row r="244" spans="1:7" ht="13.8">
      <c r="A244" s="72"/>
      <c r="B244" s="18"/>
      <c r="C244" s="18"/>
      <c r="D244" s="18"/>
      <c r="E244" s="18"/>
      <c r="F244" s="18"/>
      <c r="G244" s="18"/>
    </row>
    <row r="245" spans="1:7" ht="13.8">
      <c r="A245" s="72"/>
      <c r="B245" s="18"/>
      <c r="C245" s="18"/>
      <c r="D245" s="18"/>
      <c r="E245" s="18"/>
      <c r="F245" s="18"/>
      <c r="G245" s="18"/>
    </row>
    <row r="246" spans="1:7" ht="13.8">
      <c r="A246" s="72"/>
      <c r="B246" s="18"/>
      <c r="C246" s="18"/>
      <c r="D246" s="18"/>
      <c r="E246" s="18"/>
      <c r="F246" s="18"/>
      <c r="G246" s="18"/>
    </row>
    <row r="247" spans="1:7" ht="13.8">
      <c r="A247" s="72"/>
      <c r="B247" s="18"/>
      <c r="C247" s="18"/>
      <c r="D247" s="18"/>
      <c r="E247" s="18"/>
      <c r="F247" s="18"/>
      <c r="G247" s="18"/>
    </row>
    <row r="248" spans="1:7" ht="13.8">
      <c r="A248" s="72"/>
      <c r="B248" s="18"/>
      <c r="C248" s="18"/>
      <c r="D248" s="18"/>
      <c r="E248" s="18"/>
      <c r="F248" s="18"/>
      <c r="G248" s="18"/>
    </row>
    <row r="249" spans="1:7" ht="13.8">
      <c r="A249" s="72"/>
      <c r="B249" s="18"/>
      <c r="C249" s="18"/>
      <c r="D249" s="18"/>
      <c r="E249" s="18"/>
      <c r="F249" s="18"/>
      <c r="G249" s="18"/>
    </row>
    <row r="250" spans="1:7" ht="13.8">
      <c r="A250" s="72"/>
      <c r="B250" s="18"/>
      <c r="C250" s="18"/>
      <c r="D250" s="18"/>
      <c r="E250" s="18"/>
      <c r="F250" s="18"/>
      <c r="G250" s="18"/>
    </row>
    <row r="251" spans="1:7" ht="13.8">
      <c r="A251" s="72"/>
      <c r="B251" s="18"/>
      <c r="C251" s="18"/>
      <c r="D251" s="18"/>
      <c r="E251" s="18"/>
      <c r="F251" s="18"/>
      <c r="G251" s="18"/>
    </row>
    <row r="252" spans="1:7" ht="13.8">
      <c r="A252" s="72"/>
      <c r="B252" s="18"/>
      <c r="C252" s="18"/>
      <c r="D252" s="18"/>
      <c r="E252" s="18"/>
      <c r="F252" s="18"/>
      <c r="G252" s="18"/>
    </row>
    <row r="253" spans="1:7" ht="13.8">
      <c r="A253" s="72"/>
      <c r="B253" s="18"/>
      <c r="C253" s="18"/>
      <c r="D253" s="18"/>
      <c r="E253" s="18"/>
      <c r="F253" s="18"/>
      <c r="G253" s="18"/>
    </row>
    <row r="254" spans="1:7" ht="13.8">
      <c r="A254" s="72"/>
      <c r="B254" s="18"/>
      <c r="C254" s="18"/>
      <c r="D254" s="18"/>
      <c r="E254" s="18"/>
      <c r="F254" s="18"/>
      <c r="G254" s="18"/>
    </row>
    <row r="255" spans="1:7" ht="13.8">
      <c r="A255" s="72"/>
      <c r="B255" s="18"/>
      <c r="C255" s="18"/>
      <c r="D255" s="18"/>
      <c r="E255" s="18"/>
      <c r="F255" s="18"/>
      <c r="G255" s="18"/>
    </row>
    <row r="256" spans="1:7" ht="13.8">
      <c r="A256" s="72"/>
      <c r="B256" s="18"/>
      <c r="C256" s="18"/>
      <c r="D256" s="18"/>
      <c r="E256" s="18"/>
      <c r="F256" s="18"/>
      <c r="G256" s="18"/>
    </row>
    <row r="257" spans="1:7" ht="13.8">
      <c r="A257" s="72"/>
      <c r="B257" s="18"/>
      <c r="C257" s="18"/>
      <c r="D257" s="18"/>
      <c r="E257" s="18"/>
      <c r="F257" s="18"/>
      <c r="G257" s="18"/>
    </row>
    <row r="258" spans="1:7" ht="13.8">
      <c r="A258" s="72"/>
      <c r="B258" s="18"/>
      <c r="C258" s="18"/>
      <c r="D258" s="18"/>
      <c r="E258" s="18"/>
      <c r="F258" s="18"/>
      <c r="G258" s="18"/>
    </row>
    <row r="259" spans="1:7" ht="13.8">
      <c r="A259" s="72"/>
      <c r="B259" s="18"/>
      <c r="C259" s="18"/>
      <c r="D259" s="18"/>
      <c r="E259" s="18"/>
      <c r="F259" s="18"/>
      <c r="G259" s="18"/>
    </row>
    <row r="260" spans="1:7" ht="13.8">
      <c r="A260" s="72"/>
      <c r="B260" s="18"/>
      <c r="C260" s="18"/>
      <c r="D260" s="18"/>
      <c r="E260" s="18"/>
      <c r="F260" s="18"/>
      <c r="G260" s="18"/>
    </row>
    <row r="261" spans="1:7" ht="13.8">
      <c r="A261" s="72"/>
      <c r="B261" s="18"/>
      <c r="C261" s="18"/>
      <c r="D261" s="18"/>
      <c r="E261" s="18"/>
      <c r="F261" s="18"/>
      <c r="G261" s="18"/>
    </row>
    <row r="262" spans="1:7" ht="13.8">
      <c r="A262" s="72"/>
      <c r="B262" s="18"/>
      <c r="C262" s="18"/>
      <c r="D262" s="18"/>
      <c r="E262" s="18"/>
      <c r="F262" s="18"/>
      <c r="G262" s="18"/>
    </row>
    <row r="263" spans="1:7" ht="13.8">
      <c r="A263" s="72"/>
      <c r="B263" s="18"/>
      <c r="C263" s="18"/>
      <c r="D263" s="18"/>
      <c r="E263" s="18"/>
      <c r="F263" s="18"/>
      <c r="G263" s="18"/>
    </row>
    <row r="264" spans="1:7" ht="13.8">
      <c r="A264" s="72"/>
      <c r="B264" s="18"/>
      <c r="C264" s="18"/>
      <c r="D264" s="18"/>
      <c r="E264" s="18"/>
      <c r="F264" s="18"/>
      <c r="G264" s="18"/>
    </row>
    <row r="265" spans="1:7" ht="13.8">
      <c r="A265" s="72"/>
      <c r="B265" s="18"/>
      <c r="C265" s="18"/>
      <c r="D265" s="18"/>
      <c r="E265" s="18"/>
      <c r="F265" s="18"/>
      <c r="G265" s="18"/>
    </row>
    <row r="266" spans="1:7" ht="13.8">
      <c r="A266" s="72"/>
      <c r="B266" s="18"/>
      <c r="C266" s="18"/>
      <c r="D266" s="18"/>
      <c r="E266" s="18"/>
      <c r="F266" s="18"/>
      <c r="G266" s="18"/>
    </row>
    <row r="267" spans="1:7" ht="13.8">
      <c r="A267" s="72"/>
      <c r="B267" s="18"/>
      <c r="C267" s="18"/>
      <c r="D267" s="18"/>
      <c r="E267" s="18"/>
      <c r="F267" s="18"/>
      <c r="G267" s="18"/>
    </row>
    <row r="268" spans="1:7" ht="13.8">
      <c r="A268" s="72"/>
      <c r="B268" s="18"/>
      <c r="C268" s="18"/>
      <c r="D268" s="18"/>
      <c r="E268" s="18"/>
      <c r="F268" s="18"/>
      <c r="G268" s="18"/>
    </row>
    <row r="269" spans="1:7" ht="13.8">
      <c r="A269" s="72"/>
      <c r="B269" s="18"/>
      <c r="C269" s="18"/>
      <c r="D269" s="18"/>
      <c r="E269" s="18"/>
      <c r="F269" s="18"/>
      <c r="G269" s="18"/>
    </row>
    <row r="270" spans="1:7" ht="13.8">
      <c r="A270" s="72"/>
      <c r="B270" s="18"/>
      <c r="C270" s="18"/>
      <c r="D270" s="18"/>
      <c r="E270" s="18"/>
      <c r="F270" s="18"/>
      <c r="G270" s="18"/>
    </row>
    <row r="271" spans="1:7" ht="13.8">
      <c r="A271" s="72"/>
      <c r="B271" s="18"/>
      <c r="C271" s="18"/>
      <c r="D271" s="18"/>
      <c r="E271" s="18"/>
      <c r="F271" s="18"/>
      <c r="G271" s="18"/>
    </row>
    <row r="272" spans="1:7" ht="13.8">
      <c r="A272" s="72"/>
      <c r="B272" s="18"/>
      <c r="C272" s="18"/>
      <c r="D272" s="18"/>
      <c r="E272" s="18"/>
      <c r="F272" s="18"/>
      <c r="G272" s="18"/>
    </row>
    <row r="273" spans="1:7" ht="13.8">
      <c r="A273" s="72"/>
      <c r="B273" s="18"/>
      <c r="C273" s="18"/>
      <c r="D273" s="18"/>
      <c r="E273" s="18"/>
      <c r="F273" s="18"/>
      <c r="G273" s="18"/>
    </row>
    <row r="274" spans="1:7" ht="13.8">
      <c r="A274" s="72"/>
      <c r="B274" s="18"/>
      <c r="C274" s="18"/>
      <c r="D274" s="18"/>
      <c r="E274" s="18"/>
      <c r="F274" s="18"/>
      <c r="G274" s="18"/>
    </row>
    <row r="275" spans="1:7" ht="13.8">
      <c r="A275" s="72"/>
      <c r="B275" s="18"/>
      <c r="C275" s="18"/>
      <c r="D275" s="18"/>
      <c r="E275" s="18"/>
      <c r="F275" s="18"/>
      <c r="G275" s="18"/>
    </row>
    <row r="276" spans="1:7" ht="13.8">
      <c r="A276" s="72"/>
      <c r="B276" s="18"/>
      <c r="C276" s="18"/>
      <c r="D276" s="18"/>
      <c r="E276" s="18"/>
      <c r="F276" s="18"/>
      <c r="G276" s="18"/>
    </row>
    <row r="277" spans="1:7" ht="13.8">
      <c r="A277" s="72"/>
      <c r="B277" s="18"/>
      <c r="C277" s="18"/>
      <c r="D277" s="18"/>
      <c r="E277" s="18"/>
      <c r="F277" s="18"/>
      <c r="G277" s="18"/>
    </row>
    <row r="278" spans="1:7" ht="13.8">
      <c r="A278" s="72"/>
      <c r="B278" s="18"/>
      <c r="C278" s="18"/>
      <c r="D278" s="18"/>
      <c r="E278" s="18"/>
      <c r="F278" s="18"/>
      <c r="G278" s="18"/>
    </row>
    <row r="279" spans="1:7" ht="13.8">
      <c r="A279" s="72"/>
      <c r="B279" s="18"/>
      <c r="C279" s="18"/>
      <c r="D279" s="18"/>
      <c r="E279" s="18"/>
      <c r="F279" s="18"/>
      <c r="G279" s="18"/>
    </row>
    <row r="280" spans="1:7" ht="13.8">
      <c r="A280" s="72"/>
      <c r="B280" s="18"/>
      <c r="C280" s="18"/>
      <c r="D280" s="18"/>
      <c r="E280" s="18"/>
      <c r="F280" s="18"/>
      <c r="G280" s="18"/>
    </row>
    <row r="281" spans="1:7" ht="13.8">
      <c r="A281" s="72"/>
      <c r="B281" s="18"/>
      <c r="C281" s="18"/>
      <c r="D281" s="18"/>
      <c r="E281" s="18"/>
      <c r="F281" s="18"/>
      <c r="G281" s="18"/>
    </row>
    <row r="282" spans="1:7" ht="13.8">
      <c r="A282" s="72"/>
      <c r="B282" s="18"/>
      <c r="C282" s="18"/>
      <c r="D282" s="18"/>
      <c r="E282" s="18"/>
      <c r="F282" s="18"/>
      <c r="G282" s="18"/>
    </row>
    <row r="283" spans="1:7" ht="13.8">
      <c r="A283" s="72"/>
      <c r="B283" s="18"/>
      <c r="C283" s="18"/>
      <c r="D283" s="18"/>
      <c r="E283" s="18"/>
      <c r="F283" s="18"/>
      <c r="G283" s="18"/>
    </row>
    <row r="284" spans="1:7" ht="13.8">
      <c r="A284" s="72"/>
      <c r="B284" s="18"/>
      <c r="C284" s="18"/>
      <c r="D284" s="18"/>
      <c r="E284" s="18"/>
      <c r="F284" s="18"/>
      <c r="G284" s="18"/>
    </row>
    <row r="285" spans="1:7" ht="13.8">
      <c r="A285" s="72"/>
      <c r="B285" s="18"/>
      <c r="C285" s="18"/>
      <c r="D285" s="18"/>
      <c r="E285" s="18"/>
      <c r="F285" s="18"/>
      <c r="G285" s="18"/>
    </row>
    <row r="286" spans="1:7" ht="13.8">
      <c r="A286" s="72"/>
      <c r="B286" s="18"/>
      <c r="C286" s="18"/>
      <c r="D286" s="18"/>
      <c r="E286" s="18"/>
      <c r="F286" s="18"/>
      <c r="G286" s="18"/>
    </row>
    <row r="287" spans="1:7" ht="13.8">
      <c r="A287" s="72"/>
      <c r="B287" s="18"/>
      <c r="C287" s="18"/>
      <c r="D287" s="18"/>
      <c r="E287" s="18"/>
      <c r="F287" s="18"/>
      <c r="G287" s="18"/>
    </row>
    <row r="288" spans="1:7" ht="13.8">
      <c r="A288" s="72"/>
      <c r="B288" s="18"/>
      <c r="C288" s="18"/>
      <c r="D288" s="18"/>
      <c r="E288" s="18"/>
      <c r="F288" s="18"/>
      <c r="G288" s="18"/>
    </row>
    <row r="289" spans="1:7" ht="13.8">
      <c r="A289" s="72"/>
      <c r="B289" s="18"/>
      <c r="C289" s="18"/>
      <c r="D289" s="18"/>
      <c r="E289" s="18"/>
      <c r="F289" s="18"/>
      <c r="G289" s="18"/>
    </row>
    <row r="290" spans="1:7" ht="13.8">
      <c r="A290" s="72"/>
      <c r="B290" s="18"/>
      <c r="C290" s="18"/>
      <c r="D290" s="18"/>
      <c r="E290" s="18"/>
      <c r="F290" s="18"/>
      <c r="G290" s="18"/>
    </row>
    <row r="291" spans="1:7" ht="13.8">
      <c r="A291" s="72"/>
      <c r="B291" s="18"/>
      <c r="C291" s="18"/>
      <c r="D291" s="18"/>
      <c r="E291" s="18"/>
      <c r="F291" s="18"/>
      <c r="G291" s="18"/>
    </row>
    <row r="292" spans="1:7" ht="13.8">
      <c r="A292" s="72"/>
      <c r="B292" s="18"/>
      <c r="C292" s="18"/>
      <c r="D292" s="18"/>
      <c r="E292" s="18"/>
      <c r="F292" s="18"/>
      <c r="G292" s="18"/>
    </row>
    <row r="293" spans="1:7" ht="13.8">
      <c r="A293" s="72"/>
      <c r="B293" s="18"/>
      <c r="C293" s="18"/>
      <c r="D293" s="18"/>
      <c r="E293" s="18"/>
      <c r="F293" s="18"/>
      <c r="G293" s="18"/>
    </row>
    <row r="294" spans="1:7" ht="13.8">
      <c r="A294" s="72"/>
      <c r="B294" s="18"/>
      <c r="C294" s="18"/>
      <c r="D294" s="18"/>
      <c r="E294" s="18"/>
      <c r="F294" s="18"/>
      <c r="G294" s="18"/>
    </row>
    <row r="295" spans="1:7" ht="13.8">
      <c r="A295" s="72"/>
      <c r="B295" s="18"/>
      <c r="C295" s="18"/>
      <c r="D295" s="18"/>
      <c r="E295" s="18"/>
      <c r="F295" s="18"/>
      <c r="G295" s="18"/>
    </row>
    <row r="296" spans="1:7" ht="13.8">
      <c r="A296" s="72"/>
      <c r="B296" s="18"/>
      <c r="C296" s="18"/>
      <c r="D296" s="18"/>
      <c r="E296" s="18"/>
      <c r="F296" s="18"/>
      <c r="G296" s="18"/>
    </row>
    <row r="297" spans="1:7" ht="13.8">
      <c r="A297" s="72"/>
      <c r="B297" s="18"/>
      <c r="C297" s="18"/>
      <c r="D297" s="18"/>
      <c r="E297" s="18"/>
      <c r="F297" s="18"/>
      <c r="G297" s="18"/>
    </row>
    <row r="298" spans="1:7" ht="13.8">
      <c r="A298" s="72"/>
      <c r="B298" s="18"/>
      <c r="C298" s="18"/>
      <c r="D298" s="18"/>
      <c r="E298" s="18"/>
      <c r="F298" s="18"/>
      <c r="G298" s="18"/>
    </row>
    <row r="299" spans="1:7" ht="13.8">
      <c r="A299" s="72"/>
      <c r="B299" s="18"/>
      <c r="C299" s="18"/>
      <c r="D299" s="18"/>
      <c r="E299" s="18"/>
      <c r="F299" s="18"/>
      <c r="G299" s="18"/>
    </row>
    <row r="300" spans="1:7" ht="13.8">
      <c r="A300" s="72"/>
      <c r="B300" s="18"/>
      <c r="C300" s="18"/>
      <c r="D300" s="18"/>
      <c r="E300" s="18"/>
      <c r="F300" s="18"/>
      <c r="G300" s="18"/>
    </row>
    <row r="301" spans="1:7" ht="13.8">
      <c r="A301" s="72"/>
      <c r="B301" s="18"/>
      <c r="C301" s="18"/>
      <c r="D301" s="18"/>
      <c r="E301" s="18"/>
      <c r="F301" s="18"/>
      <c r="G301" s="18"/>
    </row>
    <row r="302" spans="1:7" ht="13.8">
      <c r="A302" s="72"/>
      <c r="B302" s="18"/>
      <c r="C302" s="18"/>
      <c r="D302" s="18"/>
      <c r="E302" s="18"/>
      <c r="F302" s="18"/>
      <c r="G302" s="18"/>
    </row>
    <row r="303" spans="1:7" ht="13.8">
      <c r="A303" s="72"/>
      <c r="B303" s="18"/>
      <c r="C303" s="18"/>
      <c r="D303" s="18"/>
      <c r="E303" s="18"/>
      <c r="F303" s="18"/>
      <c r="G303" s="18"/>
    </row>
    <row r="304" spans="1:7" ht="13.8">
      <c r="A304" s="72"/>
      <c r="B304" s="18"/>
      <c r="C304" s="18"/>
      <c r="D304" s="18"/>
      <c r="E304" s="18"/>
      <c r="F304" s="18"/>
      <c r="G304" s="18"/>
    </row>
    <row r="305" spans="1:7" ht="13.8">
      <c r="A305" s="72"/>
      <c r="B305" s="18"/>
      <c r="C305" s="18"/>
      <c r="D305" s="18"/>
      <c r="E305" s="18"/>
      <c r="F305" s="18"/>
      <c r="G305" s="18"/>
    </row>
    <row r="306" spans="1:7" ht="13.8">
      <c r="A306" s="72"/>
      <c r="B306" s="18"/>
      <c r="C306" s="18"/>
      <c r="D306" s="18"/>
      <c r="E306" s="18"/>
      <c r="F306" s="18"/>
      <c r="G306" s="18"/>
    </row>
    <row r="307" spans="1:7" ht="13.8">
      <c r="A307" s="72"/>
      <c r="B307" s="18"/>
      <c r="C307" s="18"/>
      <c r="D307" s="18"/>
      <c r="E307" s="18"/>
      <c r="F307" s="18"/>
      <c r="G307" s="18"/>
    </row>
    <row r="308" spans="1:7" ht="13.8">
      <c r="A308" s="72"/>
      <c r="B308" s="18"/>
      <c r="C308" s="18"/>
      <c r="D308" s="18"/>
      <c r="E308" s="18"/>
      <c r="F308" s="18"/>
      <c r="G308" s="18"/>
    </row>
    <row r="309" spans="1:7" ht="13.8">
      <c r="A309" s="72"/>
      <c r="B309" s="18"/>
      <c r="C309" s="18"/>
      <c r="D309" s="18"/>
      <c r="E309" s="18"/>
      <c r="F309" s="18"/>
      <c r="G309" s="18"/>
    </row>
    <row r="310" spans="1:7" ht="13.8">
      <c r="A310" s="72"/>
      <c r="B310" s="18"/>
      <c r="C310" s="18"/>
      <c r="D310" s="18"/>
      <c r="E310" s="18"/>
      <c r="F310" s="18"/>
      <c r="G310" s="18"/>
    </row>
    <row r="311" spans="1:7" ht="13.8">
      <c r="A311" s="72"/>
      <c r="B311" s="18"/>
      <c r="C311" s="18"/>
      <c r="D311" s="18"/>
      <c r="E311" s="18"/>
      <c r="F311" s="18"/>
      <c r="G311" s="18"/>
    </row>
    <row r="312" spans="1:7" ht="13.8">
      <c r="A312" s="72"/>
      <c r="B312" s="18"/>
      <c r="C312" s="18"/>
      <c r="D312" s="18"/>
      <c r="E312" s="18"/>
      <c r="F312" s="18"/>
      <c r="G312" s="18"/>
    </row>
    <row r="313" spans="1:7" ht="13.8">
      <c r="A313" s="72"/>
      <c r="B313" s="18"/>
      <c r="C313" s="18"/>
      <c r="D313" s="18"/>
      <c r="E313" s="18"/>
      <c r="F313" s="18"/>
      <c r="G313" s="18"/>
    </row>
    <row r="314" spans="1:7" ht="13.8">
      <c r="A314" s="72"/>
      <c r="B314" s="18"/>
      <c r="C314" s="18"/>
      <c r="D314" s="18"/>
      <c r="E314" s="18"/>
      <c r="F314" s="18"/>
      <c r="G314" s="18"/>
    </row>
    <row r="315" spans="1:7" ht="13.8">
      <c r="A315" s="72"/>
      <c r="B315" s="18"/>
      <c r="C315" s="18"/>
      <c r="D315" s="18"/>
      <c r="E315" s="18"/>
      <c r="F315" s="18"/>
      <c r="G315" s="18"/>
    </row>
    <row r="316" spans="1:7" ht="13.8">
      <c r="A316" s="72"/>
      <c r="B316" s="18"/>
      <c r="C316" s="18"/>
      <c r="D316" s="18"/>
      <c r="E316" s="18"/>
      <c r="F316" s="18"/>
      <c r="G316" s="18"/>
    </row>
    <row r="317" spans="1:7" ht="13.8">
      <c r="A317" s="72"/>
      <c r="B317" s="18"/>
      <c r="C317" s="18"/>
      <c r="D317" s="18"/>
      <c r="E317" s="18"/>
      <c r="F317" s="18"/>
      <c r="G317" s="18"/>
    </row>
    <row r="318" spans="1:7" ht="13.8">
      <c r="A318" s="72"/>
      <c r="B318" s="18"/>
      <c r="C318" s="18"/>
      <c r="D318" s="18"/>
      <c r="E318" s="18"/>
      <c r="F318" s="18"/>
      <c r="G318" s="18"/>
    </row>
    <row r="319" spans="1:7" ht="13.8">
      <c r="A319" s="72"/>
      <c r="B319" s="18"/>
      <c r="C319" s="18"/>
      <c r="D319" s="18"/>
      <c r="E319" s="18"/>
      <c r="F319" s="18"/>
      <c r="G319" s="18"/>
    </row>
    <row r="320" spans="1:7" ht="13.8">
      <c r="A320" s="72"/>
      <c r="B320" s="18"/>
      <c r="C320" s="18"/>
      <c r="D320" s="18"/>
      <c r="E320" s="18"/>
      <c r="F320" s="18"/>
      <c r="G320" s="18"/>
    </row>
    <row r="321" spans="1:7" ht="13.8">
      <c r="A321" s="72"/>
      <c r="B321" s="18"/>
      <c r="C321" s="18"/>
      <c r="D321" s="18"/>
      <c r="E321" s="18"/>
      <c r="F321" s="18"/>
      <c r="G321" s="18"/>
    </row>
    <row r="322" spans="1:7" ht="13.8">
      <c r="A322" s="72"/>
      <c r="B322" s="18"/>
      <c r="C322" s="18"/>
      <c r="D322" s="18"/>
      <c r="E322" s="18"/>
      <c r="F322" s="18"/>
      <c r="G322" s="18"/>
    </row>
    <row r="323" spans="1:7" ht="13.8">
      <c r="A323" s="72"/>
      <c r="B323" s="18"/>
      <c r="C323" s="18"/>
      <c r="D323" s="18"/>
      <c r="E323" s="18"/>
      <c r="F323" s="18"/>
      <c r="G323" s="18"/>
    </row>
    <row r="324" spans="1:7" ht="13.8">
      <c r="A324" s="72"/>
      <c r="B324" s="18"/>
      <c r="C324" s="18"/>
      <c r="D324" s="18"/>
      <c r="E324" s="18"/>
      <c r="F324" s="18"/>
      <c r="G324" s="18"/>
    </row>
    <row r="325" spans="1:7" ht="13.8">
      <c r="A325" s="72"/>
      <c r="B325" s="18"/>
      <c r="C325" s="18"/>
      <c r="D325" s="18"/>
      <c r="E325" s="18"/>
      <c r="F325" s="18"/>
      <c r="G325" s="18"/>
    </row>
    <row r="326" spans="1:7" ht="13.8">
      <c r="A326" s="72"/>
      <c r="B326" s="18"/>
      <c r="C326" s="18"/>
      <c r="D326" s="18"/>
      <c r="E326" s="18"/>
      <c r="F326" s="18"/>
      <c r="G326" s="18"/>
    </row>
    <row r="327" spans="1:7" ht="13.8">
      <c r="A327" s="72"/>
      <c r="B327" s="18"/>
      <c r="C327" s="18"/>
      <c r="D327" s="18"/>
      <c r="E327" s="18"/>
      <c r="F327" s="18"/>
      <c r="G327" s="18"/>
    </row>
    <row r="328" spans="1:7" ht="13.8">
      <c r="A328" s="72"/>
      <c r="B328" s="18"/>
      <c r="C328" s="18"/>
      <c r="D328" s="18"/>
      <c r="E328" s="18"/>
      <c r="F328" s="18"/>
      <c r="G328" s="18"/>
    </row>
    <row r="329" spans="1:7" ht="13.8">
      <c r="A329" s="72"/>
      <c r="B329" s="18"/>
      <c r="C329" s="18"/>
      <c r="D329" s="18"/>
      <c r="E329" s="18"/>
      <c r="F329" s="18"/>
      <c r="G329" s="18"/>
    </row>
    <row r="330" spans="1:7" ht="13.8">
      <c r="A330" s="72"/>
      <c r="B330" s="18"/>
      <c r="C330" s="18"/>
      <c r="D330" s="18"/>
      <c r="E330" s="18"/>
      <c r="F330" s="18"/>
      <c r="G330" s="18"/>
    </row>
    <row r="331" spans="1:7" ht="13.8">
      <c r="A331" s="72"/>
      <c r="B331" s="18"/>
      <c r="C331" s="18"/>
      <c r="D331" s="18"/>
      <c r="E331" s="18"/>
      <c r="F331" s="18"/>
      <c r="G331" s="18"/>
    </row>
    <row r="332" spans="1:7" ht="13.8">
      <c r="A332" s="72"/>
      <c r="B332" s="18"/>
      <c r="C332" s="18"/>
      <c r="D332" s="18"/>
      <c r="E332" s="18"/>
      <c r="F332" s="18"/>
      <c r="G332" s="18"/>
    </row>
    <row r="333" spans="1:7" ht="13.8">
      <c r="A333" s="72"/>
      <c r="B333" s="18"/>
      <c r="C333" s="18"/>
      <c r="D333" s="18"/>
      <c r="E333" s="18"/>
      <c r="F333" s="18"/>
      <c r="G333" s="18"/>
    </row>
    <row r="334" spans="1:7" ht="13.8">
      <c r="A334" s="72"/>
      <c r="B334" s="18"/>
      <c r="C334" s="18"/>
      <c r="D334" s="18"/>
      <c r="E334" s="18"/>
      <c r="F334" s="18"/>
      <c r="G334" s="18"/>
    </row>
    <row r="335" spans="1:7" ht="13.8">
      <c r="A335" s="72"/>
      <c r="B335" s="18"/>
      <c r="C335" s="18"/>
      <c r="D335" s="18"/>
      <c r="E335" s="18"/>
      <c r="F335" s="18"/>
      <c r="G335" s="18"/>
    </row>
    <row r="336" spans="1:7" ht="13.8">
      <c r="A336" s="72"/>
      <c r="B336" s="18"/>
      <c r="C336" s="18"/>
      <c r="D336" s="18"/>
      <c r="E336" s="18"/>
      <c r="F336" s="18"/>
      <c r="G336" s="18"/>
    </row>
    <row r="337" spans="1:7" ht="13.8">
      <c r="A337" s="72"/>
      <c r="B337" s="18"/>
      <c r="C337" s="18"/>
      <c r="D337" s="18"/>
      <c r="E337" s="18"/>
      <c r="F337" s="18"/>
      <c r="G337" s="18"/>
    </row>
    <row r="338" spans="1:7" ht="13.8">
      <c r="A338" s="72"/>
      <c r="B338" s="18"/>
      <c r="C338" s="18"/>
      <c r="D338" s="18"/>
      <c r="E338" s="18"/>
      <c r="F338" s="18"/>
      <c r="G338" s="18"/>
    </row>
    <row r="339" spans="1:7" ht="13.8">
      <c r="A339" s="72"/>
      <c r="B339" s="18"/>
      <c r="C339" s="18"/>
      <c r="D339" s="18"/>
      <c r="E339" s="18"/>
      <c r="F339" s="18"/>
      <c r="G339" s="18"/>
    </row>
    <row r="340" spans="1:7" ht="13.8">
      <c r="A340" s="72"/>
      <c r="B340" s="18"/>
      <c r="C340" s="18"/>
      <c r="D340" s="18"/>
      <c r="E340" s="18"/>
      <c r="F340" s="18"/>
      <c r="G340" s="18"/>
    </row>
    <row r="341" spans="1:7" ht="13.8">
      <c r="A341" s="72"/>
      <c r="B341" s="18"/>
      <c r="C341" s="18"/>
      <c r="D341" s="18"/>
      <c r="E341" s="18"/>
      <c r="F341" s="18"/>
      <c r="G341" s="18"/>
    </row>
    <row r="342" spans="1:7" ht="13.8">
      <c r="A342" s="72"/>
      <c r="B342" s="18"/>
      <c r="C342" s="18"/>
      <c r="D342" s="18"/>
      <c r="E342" s="18"/>
      <c r="F342" s="18"/>
      <c r="G342" s="18"/>
    </row>
    <row r="343" spans="1:7" ht="13.8">
      <c r="A343" s="72"/>
      <c r="B343" s="18"/>
      <c r="C343" s="18"/>
      <c r="D343" s="18"/>
      <c r="E343" s="18"/>
      <c r="F343" s="18"/>
      <c r="G343" s="18"/>
    </row>
    <row r="344" spans="1:7" ht="13.8">
      <c r="A344" s="72"/>
      <c r="B344" s="18"/>
      <c r="C344" s="18"/>
      <c r="D344" s="18"/>
      <c r="E344" s="18"/>
      <c r="F344" s="18"/>
      <c r="G344" s="18"/>
    </row>
    <row r="345" spans="1:7" ht="13.8">
      <c r="A345" s="72"/>
      <c r="B345" s="18"/>
      <c r="C345" s="18"/>
      <c r="D345" s="18"/>
      <c r="E345" s="18"/>
      <c r="F345" s="18"/>
      <c r="G345" s="18"/>
    </row>
    <row r="346" spans="1:7" ht="13.8">
      <c r="A346" s="72"/>
      <c r="B346" s="18"/>
      <c r="C346" s="18"/>
      <c r="D346" s="18"/>
      <c r="E346" s="18"/>
      <c r="F346" s="18"/>
      <c r="G346" s="18"/>
    </row>
    <row r="347" spans="1:7" ht="13.8">
      <c r="A347" s="72"/>
      <c r="B347" s="18"/>
      <c r="C347" s="18"/>
      <c r="D347" s="18"/>
      <c r="E347" s="18"/>
      <c r="F347" s="18"/>
      <c r="G347" s="18"/>
    </row>
    <row r="348" spans="1:7" ht="13.8">
      <c r="A348" s="72"/>
      <c r="B348" s="18"/>
      <c r="C348" s="18"/>
      <c r="D348" s="18"/>
      <c r="E348" s="18"/>
      <c r="F348" s="18"/>
      <c r="G348" s="18"/>
    </row>
    <row r="349" spans="1:7" ht="13.8">
      <c r="A349" s="72"/>
      <c r="B349" s="18"/>
      <c r="C349" s="18"/>
      <c r="D349" s="18"/>
      <c r="E349" s="18"/>
      <c r="F349" s="18"/>
      <c r="G349" s="18"/>
    </row>
    <row r="350" spans="1:7" ht="13.8">
      <c r="A350" s="72"/>
      <c r="B350" s="18"/>
      <c r="C350" s="18"/>
      <c r="D350" s="18"/>
      <c r="E350" s="18"/>
      <c r="F350" s="18"/>
      <c r="G350" s="18"/>
    </row>
    <row r="351" spans="1:7" ht="13.8">
      <c r="A351" s="72"/>
      <c r="B351" s="18"/>
      <c r="C351" s="18"/>
      <c r="D351" s="18"/>
      <c r="E351" s="18"/>
      <c r="F351" s="18"/>
      <c r="G351" s="18"/>
    </row>
    <row r="352" spans="1:7" ht="13.8">
      <c r="A352" s="72"/>
      <c r="B352" s="18"/>
      <c r="C352" s="18"/>
      <c r="D352" s="18"/>
      <c r="E352" s="18"/>
      <c r="F352" s="18"/>
      <c r="G352" s="18"/>
    </row>
    <row r="353" spans="1:7" ht="13.8">
      <c r="A353" s="72"/>
      <c r="B353" s="18"/>
      <c r="C353" s="18"/>
      <c r="D353" s="18"/>
      <c r="E353" s="18"/>
      <c r="F353" s="18"/>
      <c r="G353" s="18"/>
    </row>
    <row r="354" spans="1:7" ht="13.8">
      <c r="A354" s="72"/>
      <c r="B354" s="18"/>
      <c r="C354" s="18"/>
      <c r="D354" s="18"/>
      <c r="E354" s="18"/>
      <c r="F354" s="18"/>
      <c r="G354" s="18"/>
    </row>
    <row r="355" spans="1:7" ht="13.8">
      <c r="A355" s="72"/>
      <c r="B355" s="18"/>
      <c r="C355" s="18"/>
      <c r="D355" s="18"/>
      <c r="E355" s="18"/>
      <c r="F355" s="18"/>
      <c r="G355" s="18"/>
    </row>
    <row r="356" spans="1:7" ht="13.8">
      <c r="A356" s="72"/>
      <c r="B356" s="18"/>
      <c r="C356" s="18"/>
      <c r="D356" s="18"/>
      <c r="E356" s="18"/>
      <c r="F356" s="18"/>
      <c r="G356" s="18"/>
    </row>
    <row r="357" spans="1:7" ht="13.8">
      <c r="A357" s="72"/>
      <c r="B357" s="18"/>
      <c r="C357" s="18"/>
      <c r="D357" s="18"/>
      <c r="E357" s="18"/>
      <c r="F357" s="18"/>
      <c r="G357" s="18"/>
    </row>
    <row r="358" spans="1:7" ht="13.8">
      <c r="A358" s="72"/>
      <c r="B358" s="18"/>
      <c r="C358" s="18"/>
      <c r="D358" s="18"/>
      <c r="E358" s="18"/>
      <c r="F358" s="18"/>
      <c r="G358" s="18"/>
    </row>
    <row r="359" spans="1:7" ht="13.8">
      <c r="A359" s="72"/>
      <c r="B359" s="18"/>
      <c r="C359" s="18"/>
      <c r="D359" s="18"/>
      <c r="E359" s="18"/>
      <c r="F359" s="18"/>
      <c r="G359" s="18"/>
    </row>
    <row r="360" spans="1:7" ht="13.8">
      <c r="A360" s="72"/>
      <c r="B360" s="18"/>
      <c r="C360" s="18"/>
      <c r="D360" s="18"/>
      <c r="E360" s="18"/>
      <c r="F360" s="18"/>
      <c r="G360" s="18"/>
    </row>
    <row r="361" spans="1:7" ht="13.8">
      <c r="A361" s="72"/>
      <c r="B361" s="18"/>
      <c r="C361" s="18"/>
      <c r="D361" s="18"/>
      <c r="E361" s="18"/>
      <c r="F361" s="18"/>
      <c r="G361" s="18"/>
    </row>
    <row r="362" spans="1:7" ht="13.8">
      <c r="A362" s="72"/>
      <c r="B362" s="18"/>
      <c r="C362" s="18"/>
      <c r="D362" s="18"/>
      <c r="E362" s="18"/>
      <c r="F362" s="18"/>
      <c r="G362" s="18"/>
    </row>
    <row r="363" spans="1:7" ht="13.8">
      <c r="A363" s="72"/>
      <c r="B363" s="18"/>
      <c r="C363" s="18"/>
      <c r="D363" s="18"/>
      <c r="E363" s="18"/>
      <c r="F363" s="18"/>
      <c r="G363" s="18"/>
    </row>
    <row r="364" spans="1:7" ht="13.8">
      <c r="A364" s="72"/>
      <c r="B364" s="18"/>
      <c r="C364" s="18"/>
      <c r="D364" s="18"/>
      <c r="E364" s="18"/>
      <c r="F364" s="18"/>
      <c r="G364" s="18"/>
    </row>
    <row r="365" spans="1:7" ht="13.8">
      <c r="A365" s="72"/>
      <c r="B365" s="18"/>
      <c r="C365" s="18"/>
      <c r="D365" s="18"/>
      <c r="E365" s="18"/>
      <c r="F365" s="18"/>
      <c r="G365" s="18"/>
    </row>
    <row r="366" spans="1:7" ht="13.8">
      <c r="A366" s="72"/>
      <c r="B366" s="18"/>
      <c r="C366" s="18"/>
      <c r="D366" s="18"/>
      <c r="E366" s="18"/>
      <c r="F366" s="18"/>
      <c r="G366" s="18"/>
    </row>
    <row r="367" spans="1:7" ht="13.8">
      <c r="A367" s="72"/>
      <c r="B367" s="18"/>
      <c r="C367" s="18"/>
      <c r="D367" s="18"/>
      <c r="E367" s="18"/>
      <c r="F367" s="18"/>
      <c r="G367" s="18"/>
    </row>
    <row r="368" spans="1:7" ht="13.8">
      <c r="A368" s="72"/>
      <c r="B368" s="18"/>
      <c r="C368" s="18"/>
      <c r="D368" s="18"/>
      <c r="E368" s="18"/>
      <c r="F368" s="18"/>
      <c r="G368" s="18"/>
    </row>
    <row r="369" spans="1:7" ht="13.8">
      <c r="A369" s="72"/>
      <c r="B369" s="18"/>
      <c r="C369" s="18"/>
      <c r="D369" s="18"/>
      <c r="E369" s="18"/>
      <c r="F369" s="18"/>
      <c r="G369" s="18"/>
    </row>
    <row r="370" spans="1:7" ht="13.8">
      <c r="A370" s="72"/>
      <c r="B370" s="18"/>
      <c r="C370" s="18"/>
      <c r="D370" s="18"/>
      <c r="E370" s="18"/>
      <c r="F370" s="18"/>
      <c r="G370" s="18"/>
    </row>
    <row r="371" spans="1:7" ht="13.8">
      <c r="A371" s="72"/>
      <c r="B371" s="18"/>
      <c r="C371" s="18"/>
      <c r="D371" s="18"/>
      <c r="E371" s="18"/>
      <c r="F371" s="18"/>
      <c r="G371" s="18"/>
    </row>
    <row r="372" spans="1:7" ht="13.8">
      <c r="A372" s="72"/>
      <c r="B372" s="18"/>
      <c r="C372" s="18"/>
      <c r="D372" s="18"/>
      <c r="E372" s="18"/>
      <c r="F372" s="18"/>
      <c r="G372" s="18"/>
    </row>
    <row r="373" spans="1:7" ht="13.8">
      <c r="A373" s="72"/>
      <c r="B373" s="18"/>
      <c r="C373" s="18"/>
      <c r="D373" s="18"/>
      <c r="E373" s="18"/>
      <c r="F373" s="18"/>
      <c r="G373" s="18"/>
    </row>
    <row r="374" spans="1:7" ht="13.8">
      <c r="A374" s="72"/>
      <c r="B374" s="18"/>
      <c r="C374" s="18"/>
      <c r="D374" s="18"/>
      <c r="E374" s="18"/>
      <c r="F374" s="18"/>
      <c r="G374" s="18"/>
    </row>
    <row r="375" spans="1:7" ht="13.8">
      <c r="A375" s="72"/>
      <c r="B375" s="18"/>
      <c r="C375" s="18"/>
      <c r="D375" s="18"/>
      <c r="E375" s="18"/>
      <c r="F375" s="18"/>
      <c r="G375" s="18"/>
    </row>
    <row r="376" spans="1:7" ht="13.8">
      <c r="A376" s="72"/>
      <c r="B376" s="18"/>
      <c r="C376" s="18"/>
      <c r="D376" s="18"/>
      <c r="E376" s="18"/>
      <c r="F376" s="18"/>
      <c r="G376" s="18"/>
    </row>
    <row r="377" spans="1:7" ht="13.8">
      <c r="A377" s="72"/>
      <c r="B377" s="18"/>
      <c r="C377" s="18"/>
      <c r="D377" s="18"/>
      <c r="E377" s="18"/>
      <c r="F377" s="18"/>
      <c r="G377" s="18"/>
    </row>
    <row r="378" spans="1:7" ht="13.8">
      <c r="A378" s="72"/>
      <c r="B378" s="18"/>
      <c r="C378" s="18"/>
      <c r="D378" s="18"/>
      <c r="E378" s="18"/>
      <c r="F378" s="18"/>
      <c r="G378" s="18"/>
    </row>
    <row r="379" spans="1:7" ht="13.8">
      <c r="A379" s="72"/>
      <c r="B379" s="18"/>
      <c r="C379" s="18"/>
      <c r="D379" s="18"/>
      <c r="E379" s="18"/>
      <c r="F379" s="18"/>
      <c r="G379" s="18"/>
    </row>
    <row r="380" spans="1:7" ht="13.8">
      <c r="A380" s="72"/>
      <c r="B380" s="18"/>
      <c r="C380" s="18"/>
      <c r="D380" s="18"/>
      <c r="E380" s="18"/>
      <c r="F380" s="18"/>
      <c r="G380" s="18"/>
    </row>
    <row r="381" spans="1:7" ht="13.8">
      <c r="A381" s="72"/>
      <c r="B381" s="18"/>
      <c r="C381" s="18"/>
      <c r="D381" s="18"/>
      <c r="E381" s="18"/>
      <c r="F381" s="18"/>
      <c r="G381" s="18"/>
    </row>
    <row r="382" spans="1:7" ht="13.8">
      <c r="A382" s="72"/>
      <c r="B382" s="18"/>
      <c r="C382" s="18"/>
      <c r="D382" s="18"/>
      <c r="E382" s="18"/>
      <c r="F382" s="18"/>
      <c r="G382" s="18"/>
    </row>
    <row r="383" spans="1:7" ht="13.8">
      <c r="A383" s="72"/>
      <c r="B383" s="18"/>
      <c r="C383" s="18"/>
      <c r="D383" s="18"/>
      <c r="E383" s="18"/>
      <c r="F383" s="18"/>
      <c r="G383" s="18"/>
    </row>
    <row r="384" spans="1:7" ht="13.8">
      <c r="A384" s="72"/>
      <c r="B384" s="18"/>
      <c r="C384" s="18"/>
      <c r="D384" s="18"/>
      <c r="E384" s="18"/>
      <c r="F384" s="18"/>
      <c r="G384" s="18"/>
    </row>
    <row r="385" spans="1:7" ht="13.8">
      <c r="A385" s="72"/>
      <c r="B385" s="18"/>
      <c r="C385" s="18"/>
      <c r="D385" s="18"/>
      <c r="E385" s="18"/>
      <c r="F385" s="18"/>
      <c r="G385" s="18"/>
    </row>
    <row r="386" spans="1:7" ht="13.8">
      <c r="A386" s="72"/>
      <c r="B386" s="18"/>
      <c r="C386" s="18"/>
      <c r="D386" s="18"/>
      <c r="E386" s="18"/>
      <c r="F386" s="18"/>
      <c r="G386" s="18"/>
    </row>
    <row r="387" spans="1:7" ht="13.8">
      <c r="A387" s="72"/>
      <c r="B387" s="18"/>
      <c r="C387" s="18"/>
      <c r="D387" s="18"/>
      <c r="E387" s="18"/>
      <c r="F387" s="18"/>
      <c r="G387" s="18"/>
    </row>
    <row r="388" spans="1:7" ht="13.8">
      <c r="A388" s="72"/>
      <c r="B388" s="18"/>
      <c r="C388" s="18"/>
      <c r="D388" s="18"/>
      <c r="E388" s="18"/>
      <c r="F388" s="18"/>
      <c r="G388" s="18"/>
    </row>
    <row r="389" spans="1:7" ht="13.8">
      <c r="A389" s="72"/>
      <c r="B389" s="18"/>
      <c r="C389" s="18"/>
      <c r="D389" s="18"/>
      <c r="E389" s="18"/>
      <c r="F389" s="18"/>
      <c r="G389" s="18"/>
    </row>
    <row r="390" spans="1:7" ht="13.8">
      <c r="A390" s="72"/>
      <c r="B390" s="18"/>
      <c r="C390" s="18"/>
      <c r="D390" s="18"/>
      <c r="E390" s="18"/>
      <c r="F390" s="18"/>
      <c r="G390" s="18"/>
    </row>
    <row r="391" spans="1:7" ht="13.8">
      <c r="A391" s="72"/>
      <c r="B391" s="18"/>
      <c r="C391" s="18"/>
      <c r="D391" s="18"/>
      <c r="E391" s="18"/>
      <c r="F391" s="18"/>
      <c r="G391" s="18"/>
    </row>
    <row r="392" spans="1:7" ht="13.8">
      <c r="A392" s="72"/>
      <c r="B392" s="18"/>
      <c r="C392" s="18"/>
      <c r="D392" s="18"/>
      <c r="E392" s="18"/>
      <c r="F392" s="18"/>
      <c r="G392" s="18"/>
    </row>
    <row r="393" spans="1:7" ht="13.8">
      <c r="A393" s="72"/>
      <c r="B393" s="18"/>
      <c r="C393" s="18"/>
      <c r="D393" s="18"/>
      <c r="E393" s="18"/>
      <c r="F393" s="18"/>
      <c r="G393" s="18"/>
    </row>
    <row r="394" spans="1:7" ht="13.8">
      <c r="A394" s="72"/>
      <c r="B394" s="18"/>
      <c r="C394" s="18"/>
      <c r="D394" s="18"/>
      <c r="E394" s="18"/>
      <c r="F394" s="18"/>
      <c r="G394" s="18"/>
    </row>
    <row r="395" spans="1:7" ht="13.8">
      <c r="A395" s="72"/>
      <c r="B395" s="18"/>
      <c r="C395" s="18"/>
      <c r="D395" s="18"/>
      <c r="E395" s="18"/>
      <c r="F395" s="18"/>
      <c r="G395" s="18"/>
    </row>
    <row r="396" spans="1:7" ht="13.8">
      <c r="A396" s="72"/>
      <c r="B396" s="18"/>
      <c r="C396" s="18"/>
      <c r="D396" s="18"/>
      <c r="E396" s="18"/>
      <c r="F396" s="18"/>
      <c r="G396" s="18"/>
    </row>
    <row r="397" spans="1:7" ht="13.8">
      <c r="A397" s="72"/>
      <c r="B397" s="18"/>
      <c r="C397" s="18"/>
      <c r="D397" s="18"/>
      <c r="E397" s="18"/>
      <c r="F397" s="18"/>
      <c r="G397" s="18"/>
    </row>
    <row r="398" spans="1:7" ht="13.8">
      <c r="A398" s="72"/>
      <c r="B398" s="18"/>
      <c r="C398" s="18"/>
      <c r="D398" s="18"/>
      <c r="E398" s="18"/>
      <c r="F398" s="18"/>
      <c r="G398" s="18"/>
    </row>
    <row r="399" spans="1:7" ht="13.8">
      <c r="A399" s="72"/>
      <c r="B399" s="18"/>
      <c r="C399" s="18"/>
      <c r="D399" s="18"/>
      <c r="E399" s="18"/>
      <c r="F399" s="18"/>
      <c r="G399" s="18"/>
    </row>
    <row r="400" spans="1:7" ht="13.8">
      <c r="A400" s="72"/>
      <c r="B400" s="18"/>
      <c r="C400" s="18"/>
      <c r="D400" s="18"/>
      <c r="E400" s="18"/>
      <c r="F400" s="18"/>
      <c r="G400" s="18"/>
    </row>
    <row r="401" spans="1:7" ht="13.8">
      <c r="A401" s="72"/>
      <c r="B401" s="18"/>
      <c r="C401" s="18"/>
      <c r="D401" s="18"/>
      <c r="E401" s="18"/>
      <c r="F401" s="18"/>
      <c r="G401" s="18"/>
    </row>
    <row r="402" spans="1:7" ht="13.8">
      <c r="A402" s="72"/>
      <c r="B402" s="18"/>
      <c r="C402" s="18"/>
      <c r="D402" s="18"/>
      <c r="E402" s="18"/>
      <c r="F402" s="18"/>
      <c r="G402" s="18"/>
    </row>
    <row r="403" spans="1:7" ht="13.8">
      <c r="A403" s="72"/>
      <c r="B403" s="18"/>
      <c r="C403" s="18"/>
      <c r="D403" s="18"/>
      <c r="E403" s="18"/>
      <c r="F403" s="18"/>
      <c r="G403" s="18"/>
    </row>
    <row r="404" spans="1:7" ht="13.8">
      <c r="A404" s="72"/>
      <c r="B404" s="18"/>
      <c r="C404" s="18"/>
      <c r="D404" s="18"/>
      <c r="E404" s="18"/>
      <c r="F404" s="18"/>
      <c r="G404" s="18"/>
    </row>
    <row r="405" spans="1:7" ht="13.8">
      <c r="A405" s="72"/>
      <c r="B405" s="18"/>
      <c r="C405" s="18"/>
      <c r="D405" s="18"/>
      <c r="E405" s="18"/>
      <c r="F405" s="18"/>
      <c r="G405" s="18"/>
    </row>
    <row r="406" spans="1:7" ht="13.8">
      <c r="A406" s="72"/>
      <c r="B406" s="18"/>
      <c r="C406" s="18"/>
      <c r="D406" s="18"/>
      <c r="E406" s="18"/>
      <c r="F406" s="18"/>
      <c r="G406" s="18"/>
    </row>
    <row r="407" spans="1:7" ht="13.8">
      <c r="A407" s="72"/>
      <c r="B407" s="18"/>
      <c r="C407" s="18"/>
      <c r="D407" s="18"/>
      <c r="E407" s="18"/>
      <c r="F407" s="18"/>
      <c r="G407" s="18"/>
    </row>
    <row r="408" spans="1:7" ht="13.8">
      <c r="A408" s="72"/>
      <c r="B408" s="18"/>
      <c r="C408" s="18"/>
      <c r="D408" s="18"/>
      <c r="E408" s="18"/>
      <c r="F408" s="18"/>
      <c r="G408" s="18"/>
    </row>
    <row r="409" spans="1:7" ht="13.8">
      <c r="A409" s="72"/>
      <c r="B409" s="18"/>
      <c r="C409" s="18"/>
      <c r="D409" s="18"/>
      <c r="E409" s="18"/>
      <c r="F409" s="18"/>
      <c r="G409" s="18"/>
    </row>
    <row r="410" spans="1:7" ht="13.8">
      <c r="A410" s="72"/>
      <c r="B410" s="18"/>
      <c r="C410" s="18"/>
      <c r="D410" s="18"/>
      <c r="E410" s="18"/>
      <c r="F410" s="18"/>
      <c r="G410" s="18"/>
    </row>
    <row r="411" spans="1:7" ht="13.8">
      <c r="A411" s="72"/>
      <c r="B411" s="18"/>
      <c r="C411" s="18"/>
      <c r="D411" s="18"/>
      <c r="E411" s="18"/>
      <c r="F411" s="18"/>
      <c r="G411" s="18"/>
    </row>
    <row r="412" spans="1:7" ht="13.8">
      <c r="A412" s="72"/>
      <c r="B412" s="18"/>
      <c r="C412" s="18"/>
      <c r="D412" s="18"/>
      <c r="E412" s="18"/>
      <c r="F412" s="18"/>
      <c r="G412" s="18"/>
    </row>
    <row r="413" spans="1:7" ht="13.8">
      <c r="A413" s="72"/>
      <c r="B413" s="18"/>
      <c r="C413" s="18"/>
      <c r="D413" s="18"/>
      <c r="E413" s="18"/>
      <c r="F413" s="18"/>
      <c r="G413" s="18"/>
    </row>
    <row r="414" spans="1:7" ht="13.8">
      <c r="A414" s="72"/>
      <c r="B414" s="18"/>
      <c r="C414" s="18"/>
      <c r="D414" s="18"/>
      <c r="E414" s="18"/>
      <c r="F414" s="18"/>
      <c r="G414" s="18"/>
    </row>
    <row r="415" spans="1:7" ht="13.8">
      <c r="A415" s="72"/>
      <c r="B415" s="18"/>
      <c r="C415" s="18"/>
      <c r="D415" s="18"/>
      <c r="E415" s="18"/>
      <c r="F415" s="18"/>
      <c r="G415" s="18"/>
    </row>
    <row r="416" spans="1:7" ht="13.8">
      <c r="A416" s="72"/>
      <c r="B416" s="18"/>
      <c r="C416" s="18"/>
      <c r="D416" s="18"/>
      <c r="E416" s="18"/>
      <c r="F416" s="18"/>
      <c r="G416" s="18"/>
    </row>
    <row r="417" spans="1:7" ht="13.8">
      <c r="A417" s="72"/>
      <c r="B417" s="18"/>
      <c r="C417" s="18"/>
      <c r="D417" s="18"/>
      <c r="E417" s="18"/>
      <c r="F417" s="18"/>
      <c r="G417" s="18"/>
    </row>
    <row r="418" spans="1:7" ht="13.8">
      <c r="A418" s="72"/>
      <c r="B418" s="18"/>
      <c r="C418" s="18"/>
      <c r="D418" s="18"/>
      <c r="E418" s="18"/>
      <c r="F418" s="18"/>
      <c r="G418" s="18"/>
    </row>
    <row r="419" spans="1:7" ht="13.8">
      <c r="A419" s="72"/>
      <c r="B419" s="18"/>
      <c r="C419" s="18"/>
      <c r="D419" s="18"/>
      <c r="E419" s="18"/>
      <c r="F419" s="18"/>
      <c r="G419" s="18"/>
    </row>
    <row r="420" spans="1:7" ht="13.8">
      <c r="A420" s="72"/>
      <c r="B420" s="18"/>
      <c r="C420" s="18"/>
      <c r="D420" s="18"/>
      <c r="E420" s="18"/>
      <c r="F420" s="18"/>
      <c r="G420" s="18"/>
    </row>
    <row r="421" spans="1:7" ht="13.8">
      <c r="A421" s="72"/>
      <c r="B421" s="18"/>
      <c r="C421" s="18"/>
      <c r="D421" s="18"/>
      <c r="E421" s="18"/>
      <c r="F421" s="18"/>
      <c r="G421" s="18"/>
    </row>
    <row r="422" spans="1:7" ht="13.8">
      <c r="A422" s="72"/>
      <c r="B422" s="18"/>
      <c r="C422" s="18"/>
      <c r="D422" s="18"/>
      <c r="E422" s="18"/>
      <c r="F422" s="18"/>
      <c r="G422" s="18"/>
    </row>
    <row r="423" spans="1:7" ht="13.8">
      <c r="A423" s="72"/>
      <c r="B423" s="18"/>
      <c r="C423" s="18"/>
      <c r="D423" s="18"/>
      <c r="E423" s="18"/>
      <c r="F423" s="18"/>
      <c r="G423" s="18"/>
    </row>
    <row r="424" spans="1:7" ht="13.8">
      <c r="A424" s="72"/>
      <c r="B424" s="18"/>
      <c r="C424" s="18"/>
      <c r="D424" s="18"/>
      <c r="E424" s="18"/>
      <c r="F424" s="18"/>
      <c r="G424" s="18"/>
    </row>
    <row r="425" spans="1:7" ht="13.8">
      <c r="A425" s="72"/>
      <c r="B425" s="18"/>
      <c r="C425" s="18"/>
      <c r="D425" s="18"/>
      <c r="E425" s="18"/>
      <c r="F425" s="18"/>
      <c r="G425" s="18"/>
    </row>
    <row r="426" spans="1:7" ht="13.8">
      <c r="A426" s="72"/>
      <c r="B426" s="18"/>
      <c r="C426" s="18"/>
      <c r="D426" s="18"/>
      <c r="E426" s="18"/>
      <c r="F426" s="18"/>
      <c r="G426" s="18"/>
    </row>
    <row r="427" spans="1:7" ht="13.8">
      <c r="A427" s="72"/>
      <c r="B427" s="18"/>
      <c r="C427" s="18"/>
      <c r="D427" s="18"/>
      <c r="E427" s="18"/>
      <c r="F427" s="18"/>
      <c r="G427" s="18"/>
    </row>
    <row r="428" spans="1:7" ht="13.8">
      <c r="A428" s="72"/>
      <c r="B428" s="18"/>
      <c r="C428" s="18"/>
      <c r="D428" s="18"/>
      <c r="E428" s="18"/>
      <c r="F428" s="18"/>
      <c r="G428" s="18"/>
    </row>
    <row r="429" spans="1:7" ht="13.8">
      <c r="A429" s="72"/>
      <c r="B429" s="18"/>
      <c r="C429" s="18"/>
      <c r="D429" s="18"/>
      <c r="E429" s="18"/>
      <c r="F429" s="18"/>
      <c r="G429" s="18"/>
    </row>
    <row r="430" spans="1:7" ht="13.8">
      <c r="A430" s="72"/>
      <c r="B430" s="18"/>
      <c r="C430" s="18"/>
      <c r="D430" s="18"/>
      <c r="E430" s="18"/>
      <c r="F430" s="18"/>
      <c r="G430" s="18"/>
    </row>
    <row r="431" spans="1:7" ht="13.8">
      <c r="A431" s="72"/>
      <c r="B431" s="18"/>
      <c r="C431" s="18"/>
      <c r="D431" s="18"/>
      <c r="E431" s="18"/>
      <c r="F431" s="18"/>
      <c r="G431" s="18"/>
    </row>
    <row r="432" spans="1:7" ht="13.8">
      <c r="A432" s="72"/>
      <c r="B432" s="18"/>
      <c r="C432" s="18"/>
      <c r="D432" s="18"/>
      <c r="E432" s="18"/>
      <c r="F432" s="18"/>
      <c r="G432" s="18"/>
    </row>
    <row r="433" spans="1:7" ht="13.8">
      <c r="A433" s="72"/>
      <c r="B433" s="18"/>
      <c r="C433" s="18"/>
      <c r="D433" s="18"/>
      <c r="E433" s="18"/>
      <c r="F433" s="18"/>
      <c r="G433" s="18"/>
    </row>
    <row r="434" spans="1:7" ht="13.8">
      <c r="A434" s="72"/>
      <c r="B434" s="18"/>
      <c r="C434" s="18"/>
      <c r="D434" s="18"/>
      <c r="E434" s="18"/>
      <c r="F434" s="18"/>
      <c r="G434" s="18"/>
    </row>
    <row r="435" spans="1:7" ht="13.8">
      <c r="A435" s="72"/>
      <c r="B435" s="18"/>
      <c r="C435" s="18"/>
      <c r="D435" s="18"/>
      <c r="E435" s="18"/>
      <c r="F435" s="18"/>
      <c r="G435" s="18"/>
    </row>
    <row r="436" spans="1:7" ht="13.8">
      <c r="A436" s="72"/>
      <c r="B436" s="18"/>
      <c r="C436" s="18"/>
      <c r="D436" s="18"/>
      <c r="E436" s="18"/>
      <c r="F436" s="18"/>
      <c r="G436" s="18"/>
    </row>
    <row r="437" spans="1:7" ht="13.8">
      <c r="A437" s="72"/>
      <c r="B437" s="18"/>
      <c r="C437" s="18"/>
      <c r="D437" s="18"/>
      <c r="E437" s="18"/>
      <c r="F437" s="18"/>
      <c r="G437" s="18"/>
    </row>
    <row r="438" spans="1:7" ht="13.8">
      <c r="A438" s="72"/>
      <c r="B438" s="18"/>
      <c r="C438" s="18"/>
      <c r="D438" s="18"/>
      <c r="E438" s="18"/>
      <c r="F438" s="18"/>
      <c r="G438" s="18"/>
    </row>
    <row r="439" spans="1:7" ht="13.8">
      <c r="A439" s="72"/>
      <c r="B439" s="18"/>
      <c r="C439" s="18"/>
      <c r="D439" s="18"/>
      <c r="E439" s="18"/>
      <c r="F439" s="18"/>
      <c r="G439" s="18"/>
    </row>
    <row r="440" spans="1:7" ht="13.8">
      <c r="A440" s="72"/>
      <c r="B440" s="18"/>
      <c r="C440" s="18"/>
      <c r="D440" s="18"/>
      <c r="E440" s="18"/>
      <c r="F440" s="18"/>
      <c r="G440" s="18"/>
    </row>
    <row r="441" spans="1:7" ht="13.8">
      <c r="A441" s="72"/>
      <c r="B441" s="18"/>
      <c r="C441" s="18"/>
      <c r="D441" s="18"/>
      <c r="E441" s="18"/>
      <c r="F441" s="18"/>
      <c r="G441" s="18"/>
    </row>
    <row r="442" spans="1:7" ht="13.8">
      <c r="A442" s="72"/>
      <c r="B442" s="18"/>
      <c r="C442" s="18"/>
      <c r="D442" s="18"/>
      <c r="E442" s="18"/>
      <c r="F442" s="18"/>
      <c r="G442" s="18"/>
    </row>
    <row r="443" spans="1:7" ht="13.8">
      <c r="A443" s="72"/>
      <c r="B443" s="18"/>
      <c r="C443" s="18"/>
      <c r="D443" s="18"/>
      <c r="E443" s="18"/>
      <c r="F443" s="18"/>
      <c r="G443" s="18"/>
    </row>
    <row r="444" spans="1:7" ht="13.8">
      <c r="A444" s="72"/>
      <c r="B444" s="18"/>
      <c r="C444" s="18"/>
      <c r="D444" s="18"/>
      <c r="E444" s="18"/>
      <c r="F444" s="18"/>
      <c r="G444" s="18"/>
    </row>
    <row r="445" spans="1:7" ht="13.8">
      <c r="A445" s="72"/>
      <c r="B445" s="18"/>
      <c r="C445" s="18"/>
      <c r="D445" s="18"/>
      <c r="E445" s="18"/>
      <c r="F445" s="18"/>
      <c r="G445" s="18"/>
    </row>
    <row r="446" spans="1:7" ht="13.8">
      <c r="A446" s="72"/>
      <c r="B446" s="18"/>
      <c r="C446" s="18"/>
      <c r="D446" s="18"/>
      <c r="E446" s="18"/>
      <c r="F446" s="18"/>
      <c r="G446" s="18"/>
    </row>
    <row r="447" spans="1:7" ht="13.8">
      <c r="A447" s="72"/>
      <c r="B447" s="18"/>
      <c r="C447" s="18"/>
      <c r="D447" s="18"/>
      <c r="E447" s="18"/>
      <c r="F447" s="18"/>
      <c r="G447" s="18"/>
    </row>
    <row r="448" spans="1:7" ht="13.8">
      <c r="A448" s="72"/>
      <c r="B448" s="18"/>
      <c r="C448" s="18"/>
      <c r="D448" s="18"/>
      <c r="E448" s="18"/>
      <c r="F448" s="18"/>
      <c r="G448" s="18"/>
    </row>
    <row r="449" spans="1:7" ht="13.8">
      <c r="A449" s="72"/>
      <c r="B449" s="18"/>
      <c r="C449" s="18"/>
      <c r="D449" s="18"/>
      <c r="E449" s="18"/>
      <c r="F449" s="18"/>
      <c r="G449" s="18"/>
    </row>
    <row r="450" spans="1:7" ht="13.8">
      <c r="A450" s="72"/>
      <c r="B450" s="18"/>
      <c r="C450" s="18"/>
      <c r="D450" s="18"/>
      <c r="E450" s="18"/>
      <c r="F450" s="18"/>
      <c r="G450" s="18"/>
    </row>
    <row r="451" spans="1:7" ht="13.8">
      <c r="A451" s="72"/>
      <c r="B451" s="18"/>
      <c r="C451" s="18"/>
      <c r="D451" s="18"/>
      <c r="E451" s="18"/>
      <c r="F451" s="18"/>
      <c r="G451" s="18"/>
    </row>
    <row r="452" spans="1:7" ht="13.8">
      <c r="A452" s="72"/>
      <c r="B452" s="18"/>
      <c r="C452" s="18"/>
      <c r="D452" s="18"/>
      <c r="E452" s="18"/>
      <c r="F452" s="18"/>
      <c r="G452" s="18"/>
    </row>
    <row r="453" spans="1:7" ht="13.8">
      <c r="A453" s="72"/>
      <c r="B453" s="18"/>
      <c r="C453" s="18"/>
      <c r="D453" s="18"/>
      <c r="E453" s="18"/>
      <c r="F453" s="18"/>
      <c r="G453" s="18"/>
    </row>
    <row r="454" spans="1:7" ht="13.8">
      <c r="A454" s="72"/>
      <c r="B454" s="18"/>
      <c r="C454" s="18"/>
      <c r="D454" s="18"/>
      <c r="E454" s="18"/>
      <c r="F454" s="18"/>
      <c r="G454" s="18"/>
    </row>
    <row r="455" spans="1:7" ht="13.8">
      <c r="A455" s="72"/>
      <c r="B455" s="18"/>
      <c r="C455" s="18"/>
      <c r="D455" s="18"/>
      <c r="E455" s="18"/>
      <c r="F455" s="18"/>
      <c r="G455" s="18"/>
    </row>
    <row r="456" spans="1:7" ht="13.8">
      <c r="A456" s="72"/>
      <c r="B456" s="18"/>
      <c r="C456" s="18"/>
      <c r="D456" s="18"/>
      <c r="E456" s="18"/>
      <c r="F456" s="18"/>
      <c r="G456" s="18"/>
    </row>
    <row r="457" spans="1:7" ht="13.8">
      <c r="A457" s="72"/>
      <c r="B457" s="18"/>
      <c r="C457" s="18"/>
      <c r="D457" s="18"/>
      <c r="E457" s="18"/>
      <c r="F457" s="18"/>
      <c r="G457" s="18"/>
    </row>
    <row r="458" spans="1:7" ht="13.8">
      <c r="A458" s="72"/>
      <c r="B458" s="18"/>
      <c r="C458" s="18"/>
      <c r="D458" s="18"/>
      <c r="E458" s="18"/>
      <c r="F458" s="18"/>
      <c r="G458" s="18"/>
    </row>
    <row r="459" spans="1:7" ht="13.8">
      <c r="A459" s="72"/>
      <c r="B459" s="18"/>
      <c r="C459" s="18"/>
      <c r="D459" s="18"/>
      <c r="E459" s="18"/>
      <c r="F459" s="18"/>
      <c r="G459" s="18"/>
    </row>
    <row r="460" spans="1:7" ht="13.8">
      <c r="A460" s="72"/>
      <c r="B460" s="18"/>
      <c r="C460" s="18"/>
      <c r="D460" s="18"/>
      <c r="E460" s="18"/>
      <c r="F460" s="18"/>
      <c r="G460" s="18"/>
    </row>
    <row r="461" spans="1:7" ht="13.8">
      <c r="A461" s="72"/>
      <c r="B461" s="18"/>
      <c r="C461" s="18"/>
      <c r="D461" s="18"/>
      <c r="E461" s="18"/>
      <c r="F461" s="18"/>
      <c r="G461" s="18"/>
    </row>
    <row r="462" spans="1:7" ht="13.8">
      <c r="A462" s="72"/>
      <c r="B462" s="18"/>
      <c r="C462" s="18"/>
      <c r="D462" s="18"/>
      <c r="E462" s="18"/>
      <c r="F462" s="18"/>
      <c r="G462" s="18"/>
    </row>
    <row r="463" spans="1:7" ht="13.8">
      <c r="A463" s="72"/>
      <c r="B463" s="18"/>
      <c r="C463" s="18"/>
      <c r="D463" s="18"/>
      <c r="E463" s="18"/>
      <c r="F463" s="18"/>
      <c r="G463" s="18"/>
    </row>
    <row r="464" spans="1:7" ht="13.8">
      <c r="A464" s="72"/>
      <c r="B464" s="18"/>
      <c r="C464" s="18"/>
      <c r="D464" s="18"/>
      <c r="E464" s="18"/>
      <c r="F464" s="18"/>
      <c r="G464" s="18"/>
    </row>
    <row r="465" spans="1:7" ht="13.8">
      <c r="A465" s="72"/>
      <c r="B465" s="18"/>
      <c r="C465" s="18"/>
      <c r="D465" s="18"/>
      <c r="E465" s="18"/>
      <c r="F465" s="18"/>
      <c r="G465" s="18"/>
    </row>
    <row r="466" spans="1:7" ht="13.8">
      <c r="A466" s="72"/>
      <c r="B466" s="18"/>
      <c r="C466" s="18"/>
      <c r="D466" s="18"/>
      <c r="E466" s="18"/>
      <c r="F466" s="18"/>
      <c r="G466" s="18"/>
    </row>
    <row r="467" spans="1:7" ht="13.8">
      <c r="A467" s="72"/>
      <c r="B467" s="18"/>
      <c r="C467" s="18"/>
      <c r="D467" s="18"/>
      <c r="E467" s="18"/>
      <c r="F467" s="18"/>
      <c r="G467" s="18"/>
    </row>
    <row r="468" spans="1:7" ht="13.8">
      <c r="A468" s="72"/>
      <c r="B468" s="18"/>
      <c r="C468" s="18"/>
      <c r="D468" s="18"/>
      <c r="E468" s="18"/>
      <c r="F468" s="18"/>
      <c r="G468" s="18"/>
    </row>
    <row r="469" spans="1:7" ht="13.8">
      <c r="A469" s="72"/>
      <c r="B469" s="18"/>
      <c r="C469" s="18"/>
      <c r="D469" s="18"/>
      <c r="E469" s="18"/>
      <c r="F469" s="18"/>
      <c r="G469" s="18"/>
    </row>
    <row r="470" spans="1:7" ht="13.8">
      <c r="A470" s="72"/>
      <c r="B470" s="18"/>
      <c r="C470" s="18"/>
      <c r="D470" s="18"/>
      <c r="E470" s="18"/>
      <c r="F470" s="18"/>
      <c r="G470" s="18"/>
    </row>
    <row r="471" spans="1:7" ht="13.8">
      <c r="A471" s="72"/>
      <c r="B471" s="18"/>
      <c r="C471" s="18"/>
      <c r="D471" s="18"/>
      <c r="E471" s="18"/>
      <c r="F471" s="18"/>
      <c r="G471" s="18"/>
    </row>
    <row r="472" spans="1:7" ht="13.8">
      <c r="A472" s="72"/>
      <c r="B472" s="18"/>
      <c r="C472" s="18"/>
      <c r="D472" s="18"/>
      <c r="E472" s="18"/>
      <c r="F472" s="18"/>
      <c r="G472" s="18"/>
    </row>
    <row r="473" spans="1:7" ht="13.8">
      <c r="A473" s="72"/>
      <c r="B473" s="18"/>
      <c r="C473" s="18"/>
      <c r="D473" s="18"/>
      <c r="E473" s="18"/>
      <c r="F473" s="18"/>
      <c r="G473" s="18"/>
    </row>
    <row r="474" spans="1:7" ht="13.8">
      <c r="A474" s="72"/>
      <c r="B474" s="18"/>
      <c r="C474" s="18"/>
      <c r="D474" s="18"/>
      <c r="E474" s="18"/>
      <c r="F474" s="18"/>
      <c r="G474" s="18"/>
    </row>
    <row r="475" spans="1:7" ht="13.8">
      <c r="A475" s="72"/>
      <c r="B475" s="18"/>
      <c r="C475" s="18"/>
      <c r="D475" s="18"/>
      <c r="E475" s="18"/>
      <c r="F475" s="18"/>
      <c r="G475" s="18"/>
    </row>
    <row r="476" spans="1:7" ht="13.8">
      <c r="A476" s="72"/>
      <c r="B476" s="18"/>
      <c r="C476" s="18"/>
      <c r="D476" s="18"/>
      <c r="E476" s="18"/>
      <c r="F476" s="18"/>
      <c r="G476" s="18"/>
    </row>
    <row r="477" spans="1:7" ht="13.8">
      <c r="A477" s="72"/>
      <c r="B477" s="18"/>
      <c r="C477" s="18"/>
      <c r="D477" s="18"/>
      <c r="E477" s="18"/>
      <c r="F477" s="18"/>
      <c r="G477" s="18"/>
    </row>
    <row r="478" spans="1:7" ht="13.8">
      <c r="A478" s="72"/>
      <c r="B478" s="18"/>
      <c r="C478" s="18"/>
      <c r="D478" s="18"/>
      <c r="E478" s="18"/>
      <c r="F478" s="18"/>
      <c r="G478" s="18"/>
    </row>
    <row r="479" spans="1:7" ht="13.8">
      <c r="A479" s="72"/>
      <c r="B479" s="18"/>
      <c r="C479" s="18"/>
      <c r="D479" s="18"/>
      <c r="E479" s="18"/>
      <c r="F479" s="18"/>
      <c r="G479" s="18"/>
    </row>
    <row r="480" spans="1:7" ht="13.8">
      <c r="A480" s="72"/>
      <c r="B480" s="18"/>
      <c r="C480" s="18"/>
      <c r="D480" s="18"/>
      <c r="E480" s="18"/>
      <c r="F480" s="18"/>
      <c r="G480" s="18"/>
    </row>
    <row r="481" spans="1:7" ht="13.8">
      <c r="A481" s="72"/>
      <c r="B481" s="18"/>
      <c r="C481" s="18"/>
      <c r="D481" s="18"/>
      <c r="E481" s="18"/>
      <c r="F481" s="18"/>
      <c r="G481" s="18"/>
    </row>
    <row r="482" spans="1:7" ht="13.8">
      <c r="A482" s="72"/>
      <c r="B482" s="18"/>
      <c r="C482" s="18"/>
      <c r="D482" s="18"/>
      <c r="E482" s="18"/>
      <c r="F482" s="18"/>
      <c r="G482" s="18"/>
    </row>
    <row r="483" spans="1:7" ht="13.8">
      <c r="A483" s="72"/>
      <c r="B483" s="18"/>
      <c r="C483" s="18"/>
      <c r="D483" s="18"/>
      <c r="E483" s="18"/>
      <c r="F483" s="18"/>
      <c r="G483" s="18"/>
    </row>
    <row r="484" spans="1:7" ht="13.8">
      <c r="A484" s="72"/>
      <c r="B484" s="18"/>
      <c r="C484" s="18"/>
      <c r="D484" s="18"/>
      <c r="E484" s="18"/>
      <c r="F484" s="18"/>
      <c r="G484" s="18"/>
    </row>
    <row r="485" spans="1:7" ht="13.8">
      <c r="A485" s="72"/>
      <c r="B485" s="18"/>
      <c r="C485" s="18"/>
      <c r="D485" s="18"/>
      <c r="E485" s="18"/>
      <c r="F485" s="18"/>
      <c r="G485" s="18"/>
    </row>
    <row r="486" spans="1:7" ht="13.8">
      <c r="A486" s="72"/>
      <c r="B486" s="18"/>
      <c r="C486" s="18"/>
      <c r="D486" s="18"/>
      <c r="E486" s="18"/>
      <c r="F486" s="18"/>
      <c r="G486" s="18"/>
    </row>
    <row r="487" spans="1:7" ht="13.8">
      <c r="A487" s="72"/>
      <c r="B487" s="18"/>
      <c r="C487" s="18"/>
      <c r="D487" s="18"/>
      <c r="E487" s="18"/>
      <c r="F487" s="18"/>
      <c r="G487" s="18"/>
    </row>
    <row r="488" spans="1:7" ht="13.8">
      <c r="A488" s="72"/>
      <c r="B488" s="18"/>
      <c r="C488" s="18"/>
      <c r="D488" s="18"/>
      <c r="E488" s="18"/>
      <c r="F488" s="18"/>
      <c r="G488" s="18"/>
    </row>
    <row r="489" spans="1:7" ht="13.8">
      <c r="A489" s="72"/>
      <c r="B489" s="18"/>
      <c r="C489" s="18"/>
      <c r="D489" s="18"/>
      <c r="E489" s="18"/>
      <c r="F489" s="18"/>
      <c r="G489" s="18"/>
    </row>
    <row r="490" spans="1:7" ht="13.8">
      <c r="A490" s="72"/>
      <c r="B490" s="18"/>
      <c r="C490" s="18"/>
      <c r="D490" s="18"/>
      <c r="E490" s="18"/>
      <c r="F490" s="18"/>
      <c r="G490" s="18"/>
    </row>
    <row r="491" spans="1:7" ht="13.8">
      <c r="A491" s="72"/>
      <c r="B491" s="18"/>
      <c r="C491" s="18"/>
      <c r="D491" s="18"/>
      <c r="E491" s="18"/>
      <c r="F491" s="18"/>
      <c r="G491" s="18"/>
    </row>
    <row r="492" spans="1:7" ht="13.8">
      <c r="A492" s="72"/>
      <c r="B492" s="18"/>
      <c r="C492" s="18"/>
      <c r="D492" s="18"/>
      <c r="E492" s="18"/>
      <c r="F492" s="18"/>
      <c r="G492" s="18"/>
    </row>
    <row r="493" spans="1:7" ht="13.8">
      <c r="A493" s="72"/>
      <c r="B493" s="18"/>
      <c r="C493" s="18"/>
      <c r="D493" s="18"/>
      <c r="E493" s="18"/>
      <c r="F493" s="18"/>
      <c r="G493" s="18"/>
    </row>
    <row r="494" spans="1:7" ht="13.8">
      <c r="A494" s="72"/>
      <c r="B494" s="18"/>
      <c r="C494" s="18"/>
      <c r="D494" s="18"/>
      <c r="E494" s="18"/>
      <c r="F494" s="18"/>
      <c r="G494" s="18"/>
    </row>
    <row r="495" spans="1:7" ht="13.8">
      <c r="A495" s="72"/>
      <c r="B495" s="18"/>
      <c r="C495" s="18"/>
      <c r="D495" s="18"/>
      <c r="E495" s="18"/>
      <c r="F495" s="18"/>
      <c r="G495" s="18"/>
    </row>
    <row r="496" spans="1:7" ht="13.8">
      <c r="A496" s="72"/>
      <c r="B496" s="18"/>
      <c r="C496" s="18"/>
      <c r="D496" s="18"/>
      <c r="E496" s="18"/>
      <c r="F496" s="18"/>
      <c r="G496" s="18"/>
    </row>
    <row r="497" spans="1:7" ht="13.8">
      <c r="A497" s="72"/>
      <c r="B497" s="18"/>
      <c r="C497" s="18"/>
      <c r="D497" s="18"/>
      <c r="E497" s="18"/>
      <c r="F497" s="18"/>
      <c r="G497" s="18"/>
    </row>
    <row r="498" spans="1:7" ht="13.8">
      <c r="A498" s="72"/>
      <c r="B498" s="18"/>
      <c r="C498" s="18"/>
      <c r="D498" s="18"/>
      <c r="E498" s="18"/>
      <c r="F498" s="18"/>
      <c r="G498" s="18"/>
    </row>
    <row r="499" spans="1:7" ht="13.8">
      <c r="A499" s="72"/>
      <c r="B499" s="18"/>
      <c r="C499" s="18"/>
      <c r="D499" s="18"/>
      <c r="E499" s="18"/>
      <c r="F499" s="18"/>
      <c r="G499" s="18"/>
    </row>
    <row r="500" spans="1:7" ht="13.8">
      <c r="A500" s="72"/>
      <c r="B500" s="18"/>
      <c r="C500" s="18"/>
      <c r="D500" s="18"/>
      <c r="E500" s="18"/>
      <c r="F500" s="18"/>
      <c r="G500" s="18"/>
    </row>
    <row r="501" spans="1:7" ht="13.8">
      <c r="A501" s="72"/>
      <c r="B501" s="18"/>
      <c r="C501" s="18"/>
      <c r="D501" s="18"/>
      <c r="E501" s="18"/>
      <c r="F501" s="18"/>
      <c r="G501" s="18"/>
    </row>
    <row r="502" spans="1:7" ht="13.8">
      <c r="A502" s="72"/>
      <c r="B502" s="18"/>
      <c r="C502" s="18"/>
      <c r="D502" s="18"/>
      <c r="E502" s="18"/>
      <c r="F502" s="18"/>
      <c r="G502" s="18"/>
    </row>
    <row r="503" spans="1:7" ht="13.8">
      <c r="A503" s="72"/>
      <c r="B503" s="18"/>
      <c r="C503" s="18"/>
      <c r="D503" s="18"/>
      <c r="E503" s="18"/>
      <c r="F503" s="18"/>
      <c r="G503" s="18"/>
    </row>
    <row r="504" spans="1:7" ht="13.8">
      <c r="A504" s="72"/>
      <c r="B504" s="18"/>
      <c r="C504" s="18"/>
      <c r="D504" s="18"/>
      <c r="E504" s="18"/>
      <c r="F504" s="18"/>
      <c r="G504" s="18"/>
    </row>
    <row r="505" spans="1:7" ht="13.8">
      <c r="A505" s="72"/>
      <c r="B505" s="18"/>
      <c r="C505" s="18"/>
      <c r="D505" s="18"/>
      <c r="E505" s="18"/>
      <c r="F505" s="18"/>
      <c r="G505" s="18"/>
    </row>
    <row r="506" spans="1:7" ht="13.8">
      <c r="A506" s="72"/>
      <c r="B506" s="18"/>
      <c r="C506" s="18"/>
      <c r="D506" s="18"/>
      <c r="E506" s="18"/>
      <c r="F506" s="18"/>
      <c r="G506" s="18"/>
    </row>
    <row r="507" spans="1:7" ht="13.8">
      <c r="A507" s="72"/>
      <c r="B507" s="18"/>
      <c r="C507" s="18"/>
      <c r="D507" s="18"/>
      <c r="E507" s="18"/>
      <c r="F507" s="18"/>
      <c r="G507" s="18"/>
    </row>
    <row r="508" spans="1:7" ht="13.8">
      <c r="A508" s="72"/>
      <c r="B508" s="18"/>
      <c r="C508" s="18"/>
      <c r="D508" s="18"/>
      <c r="E508" s="18"/>
      <c r="F508" s="18"/>
      <c r="G508" s="18"/>
    </row>
    <row r="509" spans="1:7" ht="13.8">
      <c r="A509" s="72"/>
      <c r="B509" s="18"/>
      <c r="C509" s="18"/>
      <c r="D509" s="18"/>
      <c r="E509" s="18"/>
      <c r="F509" s="18"/>
      <c r="G509" s="18"/>
    </row>
    <row r="510" spans="1:7" ht="13.8">
      <c r="A510" s="72"/>
      <c r="B510" s="18"/>
      <c r="C510" s="18"/>
      <c r="D510" s="18"/>
      <c r="E510" s="18"/>
      <c r="F510" s="18"/>
      <c r="G510" s="18"/>
    </row>
    <row r="511" spans="1:7" ht="13.8">
      <c r="A511" s="72"/>
      <c r="B511" s="18"/>
      <c r="C511" s="18"/>
      <c r="D511" s="18"/>
      <c r="E511" s="18"/>
      <c r="F511" s="18"/>
      <c r="G511" s="18"/>
    </row>
    <row r="512" spans="1:7" ht="13.8">
      <c r="A512" s="72"/>
      <c r="B512" s="18"/>
      <c r="C512" s="18"/>
      <c r="D512" s="18"/>
      <c r="E512" s="18"/>
      <c r="F512" s="18"/>
      <c r="G512" s="18"/>
    </row>
    <row r="513" spans="1:7" ht="13.8">
      <c r="A513" s="72"/>
      <c r="B513" s="18"/>
      <c r="C513" s="18"/>
      <c r="D513" s="18"/>
      <c r="E513" s="18"/>
      <c r="F513" s="18"/>
      <c r="G513" s="18"/>
    </row>
    <row r="514" spans="1:7" ht="13.8">
      <c r="A514" s="72"/>
      <c r="B514" s="18"/>
      <c r="C514" s="18"/>
      <c r="D514" s="18"/>
      <c r="E514" s="18"/>
      <c r="F514" s="18"/>
      <c r="G514" s="18"/>
    </row>
    <row r="515" spans="1:7" ht="13.8">
      <c r="A515" s="72"/>
      <c r="B515" s="18"/>
      <c r="C515" s="18"/>
      <c r="D515" s="18"/>
      <c r="E515" s="18"/>
      <c r="F515" s="18"/>
      <c r="G515" s="18"/>
    </row>
    <row r="516" spans="1:7" ht="13.8">
      <c r="A516" s="72"/>
      <c r="B516" s="18"/>
      <c r="C516" s="18"/>
      <c r="D516" s="18"/>
      <c r="E516" s="18"/>
      <c r="F516" s="18"/>
      <c r="G516" s="18"/>
    </row>
    <row r="517" spans="1:7" ht="13.8">
      <c r="A517" s="72"/>
      <c r="B517" s="18"/>
      <c r="C517" s="18"/>
      <c r="D517" s="18"/>
      <c r="E517" s="18"/>
      <c r="F517" s="18"/>
      <c r="G517" s="18"/>
    </row>
    <row r="518" spans="1:7" ht="13.8">
      <c r="A518" s="72"/>
      <c r="B518" s="18"/>
      <c r="C518" s="18"/>
      <c r="D518" s="18"/>
      <c r="E518" s="18"/>
      <c r="F518" s="18"/>
      <c r="G518" s="18"/>
    </row>
    <row r="519" spans="1:7" ht="13.8">
      <c r="A519" s="72"/>
      <c r="B519" s="18"/>
      <c r="C519" s="18"/>
      <c r="D519" s="18"/>
      <c r="E519" s="18"/>
      <c r="F519" s="18"/>
      <c r="G519" s="18"/>
    </row>
    <row r="520" spans="1:7" ht="13.8">
      <c r="A520" s="72"/>
      <c r="B520" s="18"/>
      <c r="C520" s="18"/>
      <c r="D520" s="18"/>
      <c r="E520" s="18"/>
      <c r="F520" s="18"/>
      <c r="G520" s="18"/>
    </row>
    <row r="521" spans="1:7" ht="13.8">
      <c r="A521" s="72"/>
      <c r="B521" s="18"/>
      <c r="C521" s="18"/>
      <c r="D521" s="18"/>
      <c r="E521" s="18"/>
      <c r="F521" s="18"/>
      <c r="G521" s="18"/>
    </row>
    <row r="522" spans="1:7" ht="13.8">
      <c r="A522" s="72"/>
      <c r="B522" s="18"/>
      <c r="C522" s="18"/>
      <c r="D522" s="18"/>
      <c r="E522" s="18"/>
      <c r="F522" s="18"/>
      <c r="G522" s="18"/>
    </row>
    <row r="523" spans="1:7" ht="13.8">
      <c r="A523" s="72"/>
      <c r="B523" s="18"/>
      <c r="C523" s="18"/>
      <c r="D523" s="18"/>
      <c r="E523" s="18"/>
      <c r="F523" s="18"/>
      <c r="G523" s="18"/>
    </row>
    <row r="524" spans="1:7" ht="13.8">
      <c r="A524" s="72"/>
      <c r="B524" s="18"/>
      <c r="C524" s="18"/>
      <c r="D524" s="18"/>
      <c r="E524" s="18"/>
      <c r="F524" s="18"/>
      <c r="G524" s="18"/>
    </row>
    <row r="525" spans="1:7" ht="13.8">
      <c r="A525" s="72"/>
      <c r="B525" s="18"/>
      <c r="C525" s="18"/>
      <c r="D525" s="18"/>
      <c r="E525" s="18"/>
      <c r="F525" s="18"/>
      <c r="G525" s="18"/>
    </row>
    <row r="526" spans="1:7" ht="13.8">
      <c r="A526" s="72"/>
      <c r="B526" s="18"/>
      <c r="C526" s="18"/>
      <c r="D526" s="18"/>
      <c r="E526" s="18"/>
      <c r="F526" s="18"/>
      <c r="G526" s="18"/>
    </row>
    <row r="527" spans="1:7" ht="13.8">
      <c r="A527" s="72"/>
      <c r="B527" s="18"/>
      <c r="C527" s="18"/>
      <c r="D527" s="18"/>
      <c r="E527" s="18"/>
      <c r="F527" s="18"/>
      <c r="G527" s="18"/>
    </row>
    <row r="528" spans="1:7" ht="13.8">
      <c r="A528" s="72"/>
      <c r="B528" s="18"/>
      <c r="C528" s="18"/>
      <c r="D528" s="18"/>
      <c r="E528" s="18"/>
      <c r="F528" s="18"/>
      <c r="G528" s="18"/>
    </row>
    <row r="529" spans="1:7" ht="13.8">
      <c r="A529" s="72"/>
      <c r="B529" s="18"/>
      <c r="C529" s="18"/>
      <c r="D529" s="18"/>
      <c r="E529" s="18"/>
      <c r="F529" s="18"/>
      <c r="G529" s="18"/>
    </row>
    <row r="530" spans="1:7" ht="13.8">
      <c r="A530" s="72"/>
      <c r="B530" s="18"/>
      <c r="C530" s="18"/>
      <c r="D530" s="18"/>
      <c r="E530" s="18"/>
      <c r="F530" s="18"/>
      <c r="G530" s="18"/>
    </row>
    <row r="531" spans="1:7" ht="13.8">
      <c r="A531" s="72"/>
      <c r="B531" s="18"/>
      <c r="C531" s="18"/>
      <c r="D531" s="18"/>
      <c r="E531" s="18"/>
      <c r="F531" s="18"/>
      <c r="G531" s="18"/>
    </row>
    <row r="532" spans="1:7" ht="13.8">
      <c r="A532" s="72"/>
      <c r="B532" s="18"/>
      <c r="C532" s="18"/>
      <c r="D532" s="18"/>
      <c r="E532" s="18"/>
      <c r="F532" s="18"/>
      <c r="G532" s="18"/>
    </row>
    <row r="533" spans="1:7" ht="13.8">
      <c r="A533" s="72"/>
      <c r="B533" s="18"/>
      <c r="C533" s="18"/>
      <c r="D533" s="18"/>
      <c r="E533" s="18"/>
      <c r="F533" s="18"/>
      <c r="G533" s="18"/>
    </row>
    <row r="534" spans="1:7" ht="13.8">
      <c r="A534" s="72"/>
      <c r="B534" s="18"/>
      <c r="C534" s="18"/>
      <c r="D534" s="18"/>
      <c r="E534" s="18"/>
      <c r="F534" s="18"/>
      <c r="G534" s="18"/>
    </row>
    <row r="535" spans="1:7" ht="13.8">
      <c r="A535" s="72"/>
      <c r="B535" s="18"/>
      <c r="C535" s="18"/>
      <c r="D535" s="18"/>
      <c r="E535" s="18"/>
      <c r="F535" s="18"/>
      <c r="G535" s="18"/>
    </row>
    <row r="536" spans="1:7" ht="13.8">
      <c r="A536" s="72"/>
      <c r="B536" s="18"/>
      <c r="C536" s="18"/>
      <c r="D536" s="18"/>
      <c r="E536" s="18"/>
      <c r="F536" s="18"/>
      <c r="G536" s="18"/>
    </row>
    <row r="537" spans="1:7" ht="13.8">
      <c r="A537" s="72"/>
      <c r="B537" s="18"/>
      <c r="C537" s="18"/>
      <c r="D537" s="18"/>
      <c r="E537" s="18"/>
      <c r="F537" s="18"/>
      <c r="G537" s="18"/>
    </row>
    <row r="538" spans="1:7" ht="13.8">
      <c r="A538" s="72"/>
      <c r="B538" s="18"/>
      <c r="C538" s="18"/>
      <c r="D538" s="18"/>
      <c r="E538" s="18"/>
      <c r="F538" s="18"/>
      <c r="G538" s="18"/>
    </row>
    <row r="539" spans="1:7" ht="13.8">
      <c r="A539" s="72"/>
      <c r="B539" s="18"/>
      <c r="C539" s="18"/>
      <c r="D539" s="18"/>
      <c r="E539" s="18"/>
      <c r="F539" s="18"/>
      <c r="G539" s="18"/>
    </row>
    <row r="540" spans="1:7" ht="13.8">
      <c r="A540" s="72"/>
      <c r="B540" s="18"/>
      <c r="C540" s="18"/>
      <c r="D540" s="18"/>
      <c r="E540" s="18"/>
      <c r="F540" s="18"/>
      <c r="G540" s="18"/>
    </row>
    <row r="541" spans="1:7" ht="13.8">
      <c r="A541" s="72"/>
      <c r="B541" s="18"/>
      <c r="C541" s="18"/>
      <c r="D541" s="18"/>
      <c r="E541" s="18"/>
      <c r="F541" s="18"/>
      <c r="G541" s="18"/>
    </row>
    <row r="542" spans="1:7" ht="13.8">
      <c r="A542" s="72"/>
      <c r="B542" s="18"/>
      <c r="C542" s="18"/>
      <c r="D542" s="18"/>
      <c r="E542" s="18"/>
      <c r="F542" s="18"/>
      <c r="G542" s="18"/>
    </row>
    <row r="543" spans="1:7" ht="13.8">
      <c r="A543" s="72"/>
      <c r="B543" s="18"/>
      <c r="C543" s="18"/>
      <c r="D543" s="18"/>
      <c r="E543" s="18"/>
      <c r="F543" s="18"/>
      <c r="G543" s="18"/>
    </row>
    <row r="544" spans="1:7" ht="13.8">
      <c r="A544" s="72"/>
      <c r="B544" s="18"/>
      <c r="C544" s="18"/>
      <c r="D544" s="18"/>
      <c r="E544" s="18"/>
      <c r="F544" s="18"/>
      <c r="G544" s="18"/>
    </row>
    <row r="545" spans="1:7" ht="13.8">
      <c r="A545" s="72"/>
      <c r="B545" s="18"/>
      <c r="C545" s="18"/>
      <c r="D545" s="18"/>
      <c r="E545" s="18"/>
      <c r="F545" s="18"/>
      <c r="G545" s="18"/>
    </row>
    <row r="546" spans="1:7" ht="13.8">
      <c r="A546" s="72"/>
      <c r="B546" s="18"/>
      <c r="C546" s="18"/>
      <c r="D546" s="18"/>
      <c r="E546" s="18"/>
      <c r="F546" s="18"/>
      <c r="G546" s="18"/>
    </row>
    <row r="547" spans="1:7" ht="13.8">
      <c r="A547" s="72"/>
      <c r="B547" s="18"/>
      <c r="C547" s="18"/>
      <c r="D547" s="18"/>
      <c r="E547" s="18"/>
      <c r="F547" s="18"/>
      <c r="G547" s="18"/>
    </row>
    <row r="548" spans="1:7" ht="13.8">
      <c r="A548" s="72"/>
      <c r="B548" s="18"/>
      <c r="C548" s="18"/>
      <c r="D548" s="18"/>
      <c r="E548" s="18"/>
      <c r="F548" s="18"/>
      <c r="G548" s="18"/>
    </row>
    <row r="549" spans="1:7" ht="13.8">
      <c r="A549" s="72"/>
      <c r="B549" s="18"/>
      <c r="C549" s="18"/>
      <c r="D549" s="18"/>
      <c r="E549" s="18"/>
      <c r="F549" s="18"/>
      <c r="G549" s="18"/>
    </row>
    <row r="550" spans="1:7" ht="13.8">
      <c r="A550" s="72"/>
      <c r="B550" s="18"/>
      <c r="C550" s="18"/>
      <c r="D550" s="18"/>
      <c r="E550" s="18"/>
      <c r="F550" s="18"/>
      <c r="G550" s="18"/>
    </row>
    <row r="551" spans="1:7" ht="13.8">
      <c r="A551" s="72"/>
      <c r="B551" s="18"/>
      <c r="C551" s="18"/>
      <c r="D551" s="18"/>
      <c r="E551" s="18"/>
      <c r="F551" s="18"/>
      <c r="G551" s="18"/>
    </row>
    <row r="552" spans="1:7" ht="13.8">
      <c r="A552" s="72"/>
      <c r="B552" s="18"/>
      <c r="C552" s="18"/>
      <c r="D552" s="18"/>
      <c r="E552" s="18"/>
      <c r="F552" s="18"/>
      <c r="G552" s="18"/>
    </row>
    <row r="553" spans="1:7" ht="13.8">
      <c r="A553" s="72"/>
      <c r="B553" s="18"/>
      <c r="C553" s="18"/>
      <c r="D553" s="18"/>
      <c r="E553" s="18"/>
      <c r="F553" s="18"/>
      <c r="G553" s="18"/>
    </row>
    <row r="554" spans="1:7" ht="13.8">
      <c r="A554" s="72"/>
      <c r="B554" s="18"/>
      <c r="C554" s="18"/>
      <c r="D554" s="18"/>
      <c r="E554" s="18"/>
      <c r="F554" s="18"/>
      <c r="G554" s="18"/>
    </row>
    <row r="555" spans="1:7" ht="13.8">
      <c r="A555" s="72"/>
      <c r="B555" s="18"/>
      <c r="C555" s="18"/>
      <c r="D555" s="18"/>
      <c r="E555" s="18"/>
      <c r="F555" s="18"/>
      <c r="G555" s="18"/>
    </row>
    <row r="556" spans="1:7" ht="13.8">
      <c r="A556" s="72"/>
      <c r="B556" s="18"/>
      <c r="C556" s="18"/>
      <c r="D556" s="18"/>
      <c r="E556" s="18"/>
      <c r="F556" s="18"/>
      <c r="G556" s="18"/>
    </row>
    <row r="557" spans="1:7" ht="13.8">
      <c r="A557" s="72"/>
      <c r="B557" s="18"/>
      <c r="C557" s="18"/>
      <c r="D557" s="18"/>
      <c r="E557" s="18"/>
      <c r="F557" s="18"/>
      <c r="G557" s="18"/>
    </row>
    <row r="558" spans="1:7" ht="13.8">
      <c r="A558" s="72"/>
      <c r="B558" s="18"/>
      <c r="C558" s="18"/>
      <c r="D558" s="18"/>
      <c r="E558" s="18"/>
      <c r="F558" s="18"/>
      <c r="G558" s="18"/>
    </row>
    <row r="559" spans="1:7" ht="13.8">
      <c r="A559" s="72"/>
      <c r="B559" s="18"/>
      <c r="C559" s="18"/>
      <c r="D559" s="18"/>
      <c r="E559" s="18"/>
      <c r="F559" s="18"/>
      <c r="G559" s="18"/>
    </row>
    <row r="560" spans="1:7" ht="13.8">
      <c r="A560" s="72"/>
      <c r="B560" s="18"/>
      <c r="C560" s="18"/>
      <c r="D560" s="18"/>
      <c r="E560" s="18"/>
      <c r="F560" s="18"/>
      <c r="G560" s="18"/>
    </row>
    <row r="561" spans="1:7" ht="13.8">
      <c r="A561" s="72"/>
      <c r="B561" s="18"/>
      <c r="C561" s="18"/>
      <c r="D561" s="18"/>
      <c r="E561" s="18"/>
      <c r="F561" s="18"/>
      <c r="G561" s="18"/>
    </row>
    <row r="562" spans="1:7" ht="13.8">
      <c r="A562" s="72"/>
      <c r="B562" s="18"/>
      <c r="C562" s="18"/>
      <c r="D562" s="18"/>
      <c r="E562" s="18"/>
      <c r="F562" s="18"/>
      <c r="G562" s="18"/>
    </row>
    <row r="563" spans="1:7" ht="13.8">
      <c r="A563" s="72"/>
      <c r="B563" s="18"/>
      <c r="C563" s="18"/>
      <c r="D563" s="18"/>
      <c r="E563" s="18"/>
      <c r="F563" s="18"/>
      <c r="G563" s="18"/>
    </row>
    <row r="564" spans="1:7" ht="13.8">
      <c r="A564" s="72"/>
      <c r="B564" s="18"/>
      <c r="C564" s="18"/>
      <c r="D564" s="18"/>
      <c r="E564" s="18"/>
      <c r="F564" s="18"/>
      <c r="G564" s="18"/>
    </row>
    <row r="565" spans="1:7" ht="13.8">
      <c r="A565" s="72"/>
      <c r="B565" s="18"/>
      <c r="C565" s="18"/>
      <c r="D565" s="18"/>
      <c r="E565" s="18"/>
      <c r="F565" s="18"/>
      <c r="G565" s="18"/>
    </row>
    <row r="566" spans="1:7" ht="13.8">
      <c r="A566" s="72"/>
      <c r="B566" s="18"/>
      <c r="C566" s="18"/>
      <c r="D566" s="18"/>
      <c r="E566" s="18"/>
      <c r="F566" s="18"/>
      <c r="G566" s="18"/>
    </row>
    <row r="567" spans="1:7" ht="13.8">
      <c r="A567" s="72"/>
      <c r="B567" s="18"/>
      <c r="C567" s="18"/>
      <c r="D567" s="18"/>
      <c r="E567" s="18"/>
      <c r="F567" s="18"/>
      <c r="G567" s="18"/>
    </row>
    <row r="568" spans="1:7" ht="13.8">
      <c r="A568" s="72"/>
      <c r="B568" s="18"/>
      <c r="C568" s="18"/>
      <c r="D568" s="18"/>
      <c r="E568" s="18"/>
      <c r="F568" s="18"/>
      <c r="G568" s="18"/>
    </row>
    <row r="569" spans="1:7" ht="13.8">
      <c r="A569" s="72"/>
      <c r="B569" s="18"/>
      <c r="C569" s="18"/>
      <c r="D569" s="18"/>
      <c r="E569" s="18"/>
      <c r="F569" s="18"/>
      <c r="G569" s="18"/>
    </row>
    <row r="570" spans="1:7" ht="13.8">
      <c r="A570" s="72"/>
      <c r="B570" s="18"/>
      <c r="C570" s="18"/>
      <c r="D570" s="18"/>
      <c r="E570" s="18"/>
      <c r="F570" s="18"/>
      <c r="G570" s="18"/>
    </row>
    <row r="571" spans="1:7" ht="13.8">
      <c r="A571" s="72"/>
      <c r="B571" s="18"/>
      <c r="C571" s="18"/>
      <c r="D571" s="18"/>
      <c r="E571" s="18"/>
      <c r="F571" s="18"/>
      <c r="G571" s="18"/>
    </row>
    <row r="572" spans="1:7" ht="13.8">
      <c r="A572" s="72"/>
      <c r="B572" s="18"/>
      <c r="C572" s="18"/>
      <c r="D572" s="18"/>
      <c r="E572" s="18"/>
      <c r="F572" s="18"/>
      <c r="G572" s="18"/>
    </row>
    <row r="573" spans="1:7" ht="13.8">
      <c r="A573" s="72"/>
      <c r="B573" s="18"/>
      <c r="C573" s="18"/>
      <c r="D573" s="18"/>
      <c r="E573" s="18"/>
      <c r="F573" s="18"/>
      <c r="G573" s="18"/>
    </row>
    <row r="574" spans="1:7" ht="13.8">
      <c r="A574" s="72"/>
      <c r="B574" s="18"/>
      <c r="C574" s="18"/>
      <c r="D574" s="18"/>
      <c r="E574" s="18"/>
      <c r="F574" s="18"/>
      <c r="G574" s="18"/>
    </row>
    <row r="575" spans="1:7" ht="13.8">
      <c r="A575" s="72"/>
      <c r="B575" s="18"/>
      <c r="C575" s="18"/>
      <c r="D575" s="18"/>
      <c r="E575" s="18"/>
      <c r="F575" s="18"/>
      <c r="G575" s="18"/>
    </row>
    <row r="576" spans="1:7" ht="13.8">
      <c r="A576" s="72"/>
      <c r="B576" s="18"/>
      <c r="C576" s="18"/>
      <c r="D576" s="18"/>
      <c r="E576" s="18"/>
      <c r="F576" s="18"/>
      <c r="G576" s="18"/>
    </row>
    <row r="577" spans="1:7" ht="13.8">
      <c r="A577" s="72"/>
      <c r="B577" s="18"/>
      <c r="C577" s="18"/>
      <c r="D577" s="18"/>
      <c r="E577" s="18"/>
      <c r="F577" s="18"/>
      <c r="G577" s="18"/>
    </row>
    <row r="578" spans="1:7" ht="13.8">
      <c r="A578" s="72"/>
      <c r="B578" s="18"/>
      <c r="C578" s="18"/>
      <c r="D578" s="18"/>
      <c r="E578" s="18"/>
      <c r="F578" s="18"/>
      <c r="G578" s="18"/>
    </row>
    <row r="579" spans="1:7" ht="13.8">
      <c r="A579" s="72"/>
      <c r="B579" s="18"/>
      <c r="C579" s="18"/>
      <c r="D579" s="18"/>
      <c r="E579" s="18"/>
      <c r="F579" s="18"/>
      <c r="G579" s="18"/>
    </row>
    <row r="580" spans="1:7" ht="13.8">
      <c r="A580" s="72"/>
      <c r="B580" s="18"/>
      <c r="C580" s="18"/>
      <c r="D580" s="18"/>
      <c r="E580" s="18"/>
      <c r="F580" s="18"/>
      <c r="G580" s="18"/>
    </row>
    <row r="581" spans="1:7" ht="13.8">
      <c r="A581" s="72"/>
      <c r="B581" s="18"/>
      <c r="C581" s="18"/>
      <c r="D581" s="18"/>
      <c r="E581" s="18"/>
      <c r="F581" s="18"/>
      <c r="G581" s="18"/>
    </row>
    <row r="582" spans="1:7" ht="13.8">
      <c r="A582" s="72"/>
      <c r="B582" s="18"/>
      <c r="C582" s="18"/>
      <c r="D582" s="18"/>
      <c r="E582" s="18"/>
      <c r="F582" s="18"/>
      <c r="G582" s="18"/>
    </row>
    <row r="583" spans="1:7" ht="13.8">
      <c r="A583" s="72"/>
      <c r="B583" s="18"/>
      <c r="C583" s="18"/>
      <c r="D583" s="18"/>
      <c r="E583" s="18"/>
      <c r="F583" s="18"/>
      <c r="G583" s="18"/>
    </row>
    <row r="584" spans="1:7" ht="13.8">
      <c r="A584" s="72"/>
      <c r="B584" s="18"/>
      <c r="C584" s="18"/>
      <c r="D584" s="18"/>
      <c r="E584" s="18"/>
      <c r="F584" s="18"/>
      <c r="G584" s="18"/>
    </row>
    <row r="585" spans="1:7" ht="13.8">
      <c r="A585" s="72"/>
      <c r="B585" s="18"/>
      <c r="C585" s="18"/>
      <c r="D585" s="18"/>
      <c r="E585" s="18"/>
      <c r="F585" s="18"/>
      <c r="G585" s="18"/>
    </row>
    <row r="586" spans="1:7" ht="13.8">
      <c r="A586" s="72"/>
      <c r="B586" s="18"/>
      <c r="C586" s="18"/>
      <c r="D586" s="18"/>
      <c r="E586" s="18"/>
      <c r="F586" s="18"/>
      <c r="G586" s="18"/>
    </row>
    <row r="587" spans="1:7" ht="13.8">
      <c r="A587" s="72"/>
      <c r="B587" s="18"/>
      <c r="C587" s="18"/>
      <c r="D587" s="18"/>
      <c r="E587" s="18"/>
      <c r="F587" s="18"/>
      <c r="G587" s="18"/>
    </row>
    <row r="588" spans="1:7" ht="13.8">
      <c r="A588" s="72"/>
      <c r="B588" s="18"/>
      <c r="C588" s="18"/>
      <c r="D588" s="18"/>
      <c r="E588" s="18"/>
      <c r="F588" s="18"/>
      <c r="G588" s="18"/>
    </row>
    <row r="589" spans="1:7" ht="13.8">
      <c r="A589" s="72"/>
      <c r="B589" s="18"/>
      <c r="C589" s="18"/>
      <c r="D589" s="18"/>
      <c r="E589" s="18"/>
      <c r="F589" s="18"/>
      <c r="G589" s="18"/>
    </row>
    <row r="590" spans="1:7" ht="13.8">
      <c r="A590" s="72"/>
      <c r="B590" s="18"/>
      <c r="C590" s="18"/>
      <c r="D590" s="18"/>
      <c r="E590" s="18"/>
      <c r="F590" s="18"/>
      <c r="G590" s="18"/>
    </row>
    <row r="591" spans="1:7" ht="13.8">
      <c r="A591" s="72"/>
      <c r="B591" s="18"/>
      <c r="C591" s="18"/>
      <c r="D591" s="18"/>
      <c r="E591" s="18"/>
      <c r="F591" s="18"/>
      <c r="G591" s="18"/>
    </row>
    <row r="592" spans="1:7" ht="13.8">
      <c r="A592" s="72"/>
      <c r="B592" s="18"/>
      <c r="C592" s="18"/>
      <c r="D592" s="18"/>
      <c r="E592" s="18"/>
      <c r="F592" s="18"/>
      <c r="G592" s="18"/>
    </row>
    <row r="593" spans="1:7" ht="13.8">
      <c r="A593" s="72"/>
      <c r="B593" s="18"/>
      <c r="C593" s="18"/>
      <c r="D593" s="18"/>
      <c r="E593" s="18"/>
      <c r="F593" s="18"/>
      <c r="G593" s="18"/>
    </row>
    <row r="594" spans="1:7" ht="13.8">
      <c r="A594" s="72"/>
      <c r="B594" s="18"/>
      <c r="C594" s="18"/>
      <c r="D594" s="18"/>
      <c r="E594" s="18"/>
      <c r="F594" s="18"/>
      <c r="G594" s="18"/>
    </row>
    <row r="595" spans="1:7" ht="13.8">
      <c r="A595" s="72"/>
      <c r="B595" s="18"/>
      <c r="C595" s="18"/>
      <c r="D595" s="18"/>
      <c r="E595" s="18"/>
      <c r="F595" s="18"/>
      <c r="G595" s="18"/>
    </row>
    <row r="596" spans="1:7" ht="13.8">
      <c r="A596" s="72"/>
      <c r="B596" s="18"/>
      <c r="C596" s="18"/>
      <c r="D596" s="18"/>
      <c r="E596" s="18"/>
      <c r="F596" s="18"/>
      <c r="G596" s="18"/>
    </row>
    <row r="597" spans="1:7" ht="13.8">
      <c r="A597" s="72"/>
      <c r="B597" s="18"/>
      <c r="C597" s="18"/>
      <c r="D597" s="18"/>
      <c r="E597" s="18"/>
      <c r="F597" s="18"/>
      <c r="G597" s="18"/>
    </row>
    <row r="598" spans="1:7" ht="13.8">
      <c r="A598" s="72"/>
      <c r="B598" s="18"/>
      <c r="C598" s="18"/>
      <c r="D598" s="18"/>
      <c r="E598" s="18"/>
      <c r="F598" s="18"/>
      <c r="G598" s="18"/>
    </row>
    <row r="599" spans="1:7" ht="13.8">
      <c r="A599" s="72"/>
      <c r="B599" s="18"/>
      <c r="C599" s="18"/>
      <c r="D599" s="18"/>
      <c r="E599" s="18"/>
      <c r="F599" s="18"/>
      <c r="G599" s="18"/>
    </row>
    <row r="600" spans="1:7" ht="13.8">
      <c r="A600" s="72"/>
      <c r="B600" s="18"/>
      <c r="C600" s="18"/>
      <c r="D600" s="18"/>
      <c r="E600" s="18"/>
      <c r="F600" s="18"/>
      <c r="G600" s="18"/>
    </row>
    <row r="601" spans="1:7" ht="13.8">
      <c r="A601" s="72"/>
      <c r="B601" s="18"/>
      <c r="C601" s="18"/>
      <c r="D601" s="18"/>
      <c r="E601" s="18"/>
      <c r="F601" s="18"/>
      <c r="G601" s="18"/>
    </row>
    <row r="602" spans="1:7" ht="13.8">
      <c r="A602" s="72"/>
      <c r="B602" s="18"/>
      <c r="C602" s="18"/>
      <c r="D602" s="18"/>
      <c r="E602" s="18"/>
      <c r="F602" s="18"/>
      <c r="G602" s="18"/>
    </row>
    <row r="603" spans="1:7" ht="13.8">
      <c r="A603" s="72"/>
      <c r="B603" s="18"/>
      <c r="C603" s="18"/>
      <c r="D603" s="18"/>
      <c r="E603" s="18"/>
      <c r="F603" s="18"/>
      <c r="G603" s="18"/>
    </row>
    <row r="604" spans="1:7" ht="13.8">
      <c r="A604" s="72"/>
      <c r="B604" s="18"/>
      <c r="C604" s="18"/>
      <c r="D604" s="18"/>
      <c r="E604" s="18"/>
      <c r="F604" s="18"/>
      <c r="G604" s="18"/>
    </row>
    <row r="605" spans="1:7" ht="13.8">
      <c r="A605" s="72"/>
      <c r="B605" s="18"/>
      <c r="C605" s="18"/>
      <c r="D605" s="18"/>
      <c r="E605" s="18"/>
      <c r="F605" s="18"/>
      <c r="G605" s="18"/>
    </row>
    <row r="606" spans="1:7" ht="13.8">
      <c r="A606" s="72"/>
      <c r="B606" s="18"/>
      <c r="C606" s="18"/>
      <c r="D606" s="18"/>
      <c r="E606" s="18"/>
      <c r="F606" s="18"/>
      <c r="G606" s="18"/>
    </row>
    <row r="607" spans="1:7" ht="13.8">
      <c r="A607" s="72"/>
      <c r="B607" s="18"/>
      <c r="C607" s="18"/>
      <c r="D607" s="18"/>
      <c r="E607" s="18"/>
      <c r="F607" s="18"/>
      <c r="G607" s="18"/>
    </row>
    <row r="608" spans="1:7" ht="13.8">
      <c r="A608" s="72"/>
      <c r="B608" s="18"/>
      <c r="C608" s="18"/>
      <c r="D608" s="18"/>
      <c r="E608" s="18"/>
      <c r="F608" s="18"/>
      <c r="G608" s="18"/>
    </row>
    <row r="609" spans="1:7" ht="13.8">
      <c r="A609" s="72"/>
      <c r="B609" s="18"/>
      <c r="C609" s="18"/>
      <c r="D609" s="18"/>
      <c r="E609" s="18"/>
      <c r="F609" s="18"/>
      <c r="G609" s="18"/>
    </row>
    <row r="610" spans="1:7" ht="13.8">
      <c r="A610" s="72"/>
      <c r="B610" s="18"/>
      <c r="C610" s="18"/>
      <c r="D610" s="18"/>
      <c r="E610" s="18"/>
      <c r="F610" s="18"/>
      <c r="G610" s="18"/>
    </row>
    <row r="611" spans="1:7" ht="13.8">
      <c r="A611" s="72"/>
      <c r="B611" s="18"/>
      <c r="C611" s="18"/>
      <c r="D611" s="18"/>
      <c r="E611" s="18"/>
      <c r="F611" s="18"/>
      <c r="G611" s="18"/>
    </row>
    <row r="612" spans="1:7" ht="13.8">
      <c r="A612" s="72"/>
      <c r="B612" s="18"/>
      <c r="C612" s="18"/>
      <c r="D612" s="18"/>
      <c r="E612" s="18"/>
      <c r="F612" s="18"/>
      <c r="G612" s="18"/>
    </row>
    <row r="613" spans="1:7" ht="13.8">
      <c r="A613" s="72"/>
      <c r="B613" s="18"/>
      <c r="C613" s="18"/>
      <c r="D613" s="18"/>
      <c r="E613" s="18"/>
      <c r="F613" s="18"/>
      <c r="G613" s="18"/>
    </row>
    <row r="614" spans="1:7" ht="13.8">
      <c r="A614" s="72"/>
      <c r="B614" s="18"/>
      <c r="C614" s="18"/>
      <c r="D614" s="18"/>
      <c r="E614" s="18"/>
      <c r="F614" s="18"/>
      <c r="G614" s="18"/>
    </row>
    <row r="615" spans="1:7" ht="13.8">
      <c r="A615" s="72"/>
      <c r="B615" s="18"/>
      <c r="C615" s="18"/>
      <c r="D615" s="18"/>
      <c r="E615" s="18"/>
      <c r="F615" s="18"/>
      <c r="G615" s="18"/>
    </row>
    <row r="616" spans="1:7" ht="13.8">
      <c r="A616" s="72"/>
      <c r="B616" s="18"/>
      <c r="C616" s="18"/>
      <c r="D616" s="18"/>
      <c r="E616" s="18"/>
      <c r="F616" s="18"/>
      <c r="G616" s="18"/>
    </row>
    <row r="617" spans="1:7" ht="13.8">
      <c r="A617" s="72"/>
      <c r="B617" s="18"/>
      <c r="C617" s="18"/>
      <c r="D617" s="18"/>
      <c r="E617" s="18"/>
      <c r="F617" s="18"/>
      <c r="G617" s="18"/>
    </row>
    <row r="618" spans="1:7" ht="13.8">
      <c r="A618" s="72"/>
      <c r="B618" s="18"/>
      <c r="C618" s="18"/>
      <c r="D618" s="18"/>
      <c r="E618" s="18"/>
      <c r="F618" s="18"/>
      <c r="G618" s="18"/>
    </row>
    <row r="619" spans="1:7" ht="13.8">
      <c r="A619" s="72"/>
      <c r="B619" s="18"/>
      <c r="C619" s="18"/>
      <c r="D619" s="18"/>
      <c r="E619" s="18"/>
      <c r="F619" s="18"/>
      <c r="G619" s="18"/>
    </row>
    <row r="620" spans="1:7" ht="13.8">
      <c r="A620" s="72"/>
      <c r="B620" s="18"/>
      <c r="C620" s="18"/>
      <c r="D620" s="18"/>
      <c r="E620" s="18"/>
      <c r="F620" s="18"/>
      <c r="G620" s="18"/>
    </row>
    <row r="621" spans="1:7" ht="13.8">
      <c r="A621" s="72"/>
      <c r="B621" s="18"/>
      <c r="C621" s="18"/>
      <c r="D621" s="18"/>
      <c r="E621" s="18"/>
      <c r="F621" s="18"/>
      <c r="G621" s="18"/>
    </row>
    <row r="622" spans="1:7" ht="13.8">
      <c r="A622" s="72"/>
      <c r="B622" s="18"/>
      <c r="C622" s="18"/>
      <c r="D622" s="18"/>
      <c r="E622" s="18"/>
      <c r="F622" s="18"/>
      <c r="G622" s="18"/>
    </row>
    <row r="623" spans="1:7" ht="13.8">
      <c r="A623" s="72"/>
      <c r="B623" s="18"/>
      <c r="C623" s="18"/>
      <c r="D623" s="18"/>
      <c r="E623" s="18"/>
      <c r="F623" s="18"/>
      <c r="G623" s="18"/>
    </row>
    <row r="624" spans="1:7" ht="13.8">
      <c r="A624" s="72"/>
      <c r="B624" s="18"/>
      <c r="C624" s="18"/>
      <c r="D624" s="18"/>
      <c r="E624" s="18"/>
      <c r="F624" s="18"/>
      <c r="G624" s="18"/>
    </row>
    <row r="625" spans="1:7" ht="13.8">
      <c r="A625" s="72"/>
      <c r="B625" s="18"/>
      <c r="C625" s="18"/>
      <c r="D625" s="18"/>
      <c r="E625" s="18"/>
      <c r="F625" s="18"/>
      <c r="G625" s="18"/>
    </row>
    <row r="626" spans="1:7" ht="13.8">
      <c r="A626" s="72"/>
      <c r="B626" s="18"/>
      <c r="C626" s="18"/>
      <c r="D626" s="18"/>
      <c r="E626" s="18"/>
      <c r="F626" s="18"/>
      <c r="G626" s="18"/>
    </row>
    <row r="627" spans="1:7" ht="13.8">
      <c r="A627" s="72"/>
      <c r="B627" s="18"/>
      <c r="C627" s="18"/>
      <c r="D627" s="18"/>
      <c r="E627" s="18"/>
      <c r="F627" s="18"/>
      <c r="G627" s="18"/>
    </row>
    <row r="628" spans="1:7" ht="13.8">
      <c r="A628" s="72"/>
      <c r="B628" s="18"/>
      <c r="C628" s="18"/>
      <c r="D628" s="18"/>
      <c r="E628" s="18"/>
      <c r="F628" s="18"/>
      <c r="G628" s="18"/>
    </row>
    <row r="629" spans="1:7" ht="13.8">
      <c r="A629" s="72"/>
      <c r="B629" s="18"/>
      <c r="C629" s="18"/>
      <c r="D629" s="18"/>
      <c r="E629" s="18"/>
      <c r="F629" s="18"/>
      <c r="G629" s="18"/>
    </row>
    <row r="630" spans="1:7" ht="13.8">
      <c r="A630" s="72"/>
      <c r="B630" s="18"/>
      <c r="C630" s="18"/>
      <c r="D630" s="18"/>
      <c r="E630" s="18"/>
      <c r="F630" s="18"/>
      <c r="G630" s="18"/>
    </row>
    <row r="631" spans="1:7" ht="13.8">
      <c r="A631" s="72"/>
      <c r="B631" s="18"/>
      <c r="C631" s="18"/>
      <c r="D631" s="18"/>
      <c r="E631" s="18"/>
      <c r="F631" s="18"/>
      <c r="G631" s="18"/>
    </row>
    <row r="632" spans="1:7" ht="13.8">
      <c r="A632" s="72"/>
      <c r="B632" s="18"/>
      <c r="C632" s="18"/>
      <c r="D632" s="18"/>
      <c r="E632" s="18"/>
      <c r="F632" s="18"/>
      <c r="G632" s="18"/>
    </row>
    <row r="633" spans="1:7" ht="13.8">
      <c r="A633" s="72"/>
      <c r="B633" s="18"/>
      <c r="C633" s="18"/>
      <c r="D633" s="18"/>
      <c r="E633" s="18"/>
      <c r="F633" s="18"/>
      <c r="G633" s="18"/>
    </row>
    <row r="634" spans="1:7" ht="13.8">
      <c r="A634" s="72"/>
      <c r="B634" s="18"/>
      <c r="C634" s="18"/>
      <c r="D634" s="18"/>
      <c r="E634" s="18"/>
      <c r="F634" s="18"/>
      <c r="G634" s="18"/>
    </row>
    <row r="635" spans="1:7" ht="13.8">
      <c r="A635" s="72"/>
      <c r="B635" s="18"/>
      <c r="C635" s="18"/>
      <c r="D635" s="18"/>
      <c r="E635" s="18"/>
      <c r="F635" s="18"/>
      <c r="G635" s="18"/>
    </row>
    <row r="636" spans="1:7" ht="13.8">
      <c r="A636" s="72"/>
      <c r="B636" s="18"/>
      <c r="C636" s="18"/>
      <c r="D636" s="18"/>
      <c r="E636" s="18"/>
      <c r="F636" s="18"/>
      <c r="G636" s="18"/>
    </row>
    <row r="637" spans="1:7" ht="13.8">
      <c r="A637" s="72"/>
      <c r="B637" s="18"/>
      <c r="C637" s="18"/>
      <c r="D637" s="18"/>
      <c r="E637" s="18"/>
      <c r="F637" s="18"/>
      <c r="G637" s="18"/>
    </row>
    <row r="638" spans="1:7" ht="13.8">
      <c r="A638" s="72"/>
      <c r="B638" s="18"/>
      <c r="C638" s="18"/>
      <c r="D638" s="18"/>
      <c r="E638" s="18"/>
      <c r="F638" s="18"/>
      <c r="G638" s="18"/>
    </row>
    <row r="639" spans="1:7" ht="13.8">
      <c r="A639" s="72"/>
      <c r="B639" s="18"/>
      <c r="C639" s="18"/>
      <c r="D639" s="18"/>
      <c r="E639" s="18"/>
      <c r="F639" s="18"/>
      <c r="G639" s="18"/>
    </row>
    <row r="640" spans="1:7" ht="13.8">
      <c r="A640" s="72"/>
      <c r="B640" s="18"/>
      <c r="C640" s="18"/>
      <c r="D640" s="18"/>
      <c r="E640" s="18"/>
      <c r="F640" s="18"/>
      <c r="G640" s="18"/>
    </row>
    <row r="641" spans="1:7" ht="13.8">
      <c r="A641" s="72"/>
      <c r="B641" s="18"/>
      <c r="C641" s="18"/>
      <c r="D641" s="18"/>
      <c r="E641" s="18"/>
      <c r="F641" s="18"/>
      <c r="G641" s="18"/>
    </row>
    <row r="642" spans="1:7" ht="13.8">
      <c r="A642" s="72"/>
      <c r="B642" s="18"/>
      <c r="C642" s="18"/>
      <c r="D642" s="18"/>
      <c r="E642" s="18"/>
      <c r="F642" s="18"/>
      <c r="G642" s="18"/>
    </row>
    <row r="643" spans="1:7" ht="13.8">
      <c r="A643" s="72"/>
      <c r="B643" s="18"/>
      <c r="C643" s="18"/>
      <c r="D643" s="18"/>
      <c r="E643" s="18"/>
      <c r="F643" s="18"/>
      <c r="G643" s="18"/>
    </row>
    <row r="644" spans="1:7" ht="13.8">
      <c r="A644" s="72"/>
      <c r="B644" s="18"/>
      <c r="C644" s="18"/>
      <c r="D644" s="18"/>
      <c r="E644" s="18"/>
      <c r="F644" s="18"/>
      <c r="G644" s="18"/>
    </row>
    <row r="645" spans="1:7" ht="13.8">
      <c r="A645" s="72"/>
      <c r="B645" s="18"/>
      <c r="C645" s="18"/>
      <c r="D645" s="18"/>
      <c r="E645" s="18"/>
      <c r="F645" s="18"/>
      <c r="G645" s="18"/>
    </row>
    <row r="646" spans="1:7" ht="13.8">
      <c r="A646" s="72"/>
      <c r="B646" s="18"/>
      <c r="C646" s="18"/>
      <c r="D646" s="18"/>
      <c r="E646" s="18"/>
      <c r="F646" s="18"/>
      <c r="G646" s="18"/>
    </row>
    <row r="647" spans="1:7" ht="13.8">
      <c r="A647" s="72"/>
      <c r="B647" s="18"/>
      <c r="C647" s="18"/>
      <c r="D647" s="18"/>
      <c r="E647" s="18"/>
      <c r="F647" s="18"/>
      <c r="G647" s="18"/>
    </row>
    <row r="648" spans="1:7" ht="13.8">
      <c r="A648" s="72"/>
      <c r="B648" s="18"/>
      <c r="C648" s="18"/>
      <c r="D648" s="18"/>
      <c r="E648" s="18"/>
      <c r="F648" s="18"/>
      <c r="G648" s="18"/>
    </row>
    <row r="649" spans="1:7" ht="13.8">
      <c r="A649" s="72"/>
      <c r="B649" s="18"/>
      <c r="C649" s="18"/>
      <c r="D649" s="18"/>
      <c r="E649" s="18"/>
      <c r="F649" s="18"/>
      <c r="G649" s="18"/>
    </row>
    <row r="650" spans="1:7" ht="13.8">
      <c r="A650" s="72"/>
      <c r="B650" s="18"/>
      <c r="C650" s="18"/>
      <c r="D650" s="18"/>
      <c r="E650" s="18"/>
      <c r="F650" s="18"/>
      <c r="G650" s="18"/>
    </row>
    <row r="651" spans="1:7" ht="13.8">
      <c r="A651" s="72"/>
      <c r="B651" s="18"/>
      <c r="C651" s="18"/>
      <c r="D651" s="18"/>
      <c r="E651" s="18"/>
      <c r="F651" s="18"/>
      <c r="G651" s="18"/>
    </row>
    <row r="652" spans="1:7" ht="13.8">
      <c r="A652" s="72"/>
      <c r="B652" s="18"/>
      <c r="C652" s="18"/>
      <c r="D652" s="18"/>
      <c r="E652" s="18"/>
      <c r="F652" s="18"/>
      <c r="G652" s="18"/>
    </row>
    <row r="653" spans="1:7" ht="13.8">
      <c r="A653" s="72"/>
      <c r="B653" s="18"/>
      <c r="C653" s="18"/>
      <c r="D653" s="18"/>
      <c r="E653" s="18"/>
      <c r="F653" s="18"/>
      <c r="G653" s="18"/>
    </row>
    <row r="654" spans="1:7" ht="13.8">
      <c r="A654" s="72"/>
      <c r="B654" s="18"/>
      <c r="C654" s="18"/>
      <c r="D654" s="18"/>
      <c r="E654" s="18"/>
      <c r="F654" s="18"/>
      <c r="G654" s="18"/>
    </row>
    <row r="655" spans="1:7" ht="13.8">
      <c r="A655" s="72"/>
      <c r="B655" s="18"/>
      <c r="C655" s="18"/>
      <c r="D655" s="18"/>
      <c r="E655" s="18"/>
      <c r="F655" s="18"/>
      <c r="G655" s="18"/>
    </row>
    <row r="656" spans="1:7" ht="13.8">
      <c r="A656" s="72"/>
      <c r="B656" s="18"/>
      <c r="C656" s="18"/>
      <c r="D656" s="18"/>
      <c r="E656" s="18"/>
      <c r="F656" s="18"/>
      <c r="G656" s="18"/>
    </row>
    <row r="657" spans="1:7" ht="13.8">
      <c r="A657" s="72"/>
      <c r="B657" s="18"/>
      <c r="C657" s="18"/>
      <c r="D657" s="18"/>
      <c r="E657" s="18"/>
      <c r="F657" s="18"/>
      <c r="G657" s="18"/>
    </row>
    <row r="658" spans="1:7" ht="13.8">
      <c r="A658" s="72"/>
      <c r="B658" s="18"/>
      <c r="C658" s="18"/>
      <c r="D658" s="18"/>
      <c r="E658" s="18"/>
      <c r="F658" s="18"/>
      <c r="G658" s="18"/>
    </row>
    <row r="659" spans="1:7" ht="13.8">
      <c r="A659" s="72"/>
      <c r="B659" s="18"/>
      <c r="C659" s="18"/>
      <c r="D659" s="18"/>
      <c r="E659" s="18"/>
      <c r="F659" s="18"/>
      <c r="G659" s="18"/>
    </row>
    <row r="660" spans="1:7" ht="13.8">
      <c r="A660" s="72"/>
      <c r="B660" s="18"/>
      <c r="C660" s="18"/>
      <c r="D660" s="18"/>
      <c r="E660" s="18"/>
      <c r="F660" s="18"/>
      <c r="G660" s="18"/>
    </row>
    <row r="661" spans="1:7" ht="13.8">
      <c r="A661" s="72"/>
      <c r="B661" s="18"/>
      <c r="C661" s="18"/>
      <c r="D661" s="18"/>
      <c r="E661" s="18"/>
      <c r="F661" s="18"/>
      <c r="G661" s="18"/>
    </row>
    <row r="662" spans="1:7" ht="13.8">
      <c r="A662" s="72"/>
      <c r="B662" s="18"/>
      <c r="C662" s="18"/>
      <c r="D662" s="18"/>
      <c r="E662" s="18"/>
      <c r="F662" s="18"/>
      <c r="G662" s="18"/>
    </row>
    <row r="663" spans="1:7" ht="13.8">
      <c r="A663" s="72"/>
      <c r="B663" s="18"/>
      <c r="C663" s="18"/>
      <c r="D663" s="18"/>
      <c r="E663" s="18"/>
      <c r="F663" s="18"/>
      <c r="G663" s="18"/>
    </row>
    <row r="664" spans="1:7" ht="13.8">
      <c r="A664" s="72"/>
      <c r="B664" s="18"/>
      <c r="C664" s="18"/>
      <c r="D664" s="18"/>
      <c r="E664" s="18"/>
      <c r="F664" s="18"/>
      <c r="G664" s="18"/>
    </row>
    <row r="665" spans="1:7" ht="13.8">
      <c r="A665" s="72"/>
      <c r="B665" s="18"/>
      <c r="C665" s="18"/>
      <c r="D665" s="18"/>
      <c r="E665" s="18"/>
      <c r="F665" s="18"/>
      <c r="G665" s="18"/>
    </row>
    <row r="666" spans="1:7" ht="13.8">
      <c r="A666" s="72"/>
      <c r="B666" s="18"/>
      <c r="C666" s="18"/>
      <c r="D666" s="18"/>
      <c r="E666" s="18"/>
      <c r="F666" s="18"/>
      <c r="G666" s="18"/>
    </row>
    <row r="667" spans="1:7" ht="13.8">
      <c r="A667" s="72"/>
      <c r="B667" s="18"/>
      <c r="C667" s="18"/>
      <c r="D667" s="18"/>
      <c r="E667" s="18"/>
      <c r="F667" s="18"/>
      <c r="G667" s="18"/>
    </row>
    <row r="668" spans="1:7" ht="13.8">
      <c r="A668" s="72"/>
      <c r="B668" s="18"/>
      <c r="C668" s="18"/>
      <c r="D668" s="18"/>
      <c r="E668" s="18"/>
      <c r="F668" s="18"/>
      <c r="G668" s="18"/>
    </row>
    <row r="669" spans="1:7" ht="13.8">
      <c r="A669" s="72"/>
      <c r="B669" s="18"/>
      <c r="C669" s="18"/>
      <c r="D669" s="18"/>
      <c r="E669" s="18"/>
      <c r="F669" s="18"/>
      <c r="G669" s="18"/>
    </row>
    <row r="670" spans="1:7" ht="13.8">
      <c r="A670" s="72"/>
      <c r="B670" s="18"/>
      <c r="C670" s="18"/>
      <c r="D670" s="18"/>
      <c r="E670" s="18"/>
      <c r="F670" s="18"/>
      <c r="G670" s="18"/>
    </row>
    <row r="671" spans="1:7" ht="13.8">
      <c r="A671" s="72"/>
      <c r="B671" s="18"/>
      <c r="C671" s="18"/>
      <c r="D671" s="18"/>
      <c r="E671" s="18"/>
      <c r="F671" s="18"/>
      <c r="G671" s="18"/>
    </row>
    <row r="672" spans="1:7" ht="13.8">
      <c r="A672" s="72"/>
      <c r="B672" s="18"/>
      <c r="C672" s="18"/>
      <c r="D672" s="18"/>
      <c r="E672" s="18"/>
      <c r="F672" s="18"/>
      <c r="G672" s="18"/>
    </row>
    <row r="673" spans="1:7" ht="13.8">
      <c r="A673" s="72"/>
      <c r="B673" s="18"/>
      <c r="C673" s="18"/>
      <c r="D673" s="18"/>
      <c r="E673" s="18"/>
      <c r="F673" s="18"/>
      <c r="G673" s="18"/>
    </row>
    <row r="674" spans="1:7" ht="13.8">
      <c r="A674" s="72"/>
      <c r="B674" s="18"/>
      <c r="C674" s="18"/>
      <c r="D674" s="18"/>
      <c r="E674" s="18"/>
      <c r="F674" s="18"/>
      <c r="G674" s="18"/>
    </row>
    <row r="675" spans="1:7" ht="13.8">
      <c r="A675" s="72"/>
      <c r="B675" s="18"/>
      <c r="C675" s="18"/>
      <c r="D675" s="18"/>
      <c r="E675" s="18"/>
      <c r="F675" s="18"/>
      <c r="G675" s="18"/>
    </row>
    <row r="676" spans="1:7" ht="13.8">
      <c r="A676" s="72"/>
      <c r="B676" s="18"/>
      <c r="C676" s="18"/>
      <c r="D676" s="18"/>
      <c r="E676" s="18"/>
      <c r="F676" s="18"/>
      <c r="G676" s="18"/>
    </row>
    <row r="677" spans="1:7" ht="13.8">
      <c r="A677" s="72"/>
      <c r="B677" s="18"/>
      <c r="C677" s="18"/>
      <c r="D677" s="18"/>
      <c r="E677" s="18"/>
      <c r="F677" s="18"/>
      <c r="G677" s="18"/>
    </row>
    <row r="678" spans="1:7" ht="13.8">
      <c r="A678" s="72"/>
      <c r="B678" s="18"/>
      <c r="C678" s="18"/>
      <c r="D678" s="18"/>
      <c r="E678" s="18"/>
      <c r="F678" s="18"/>
      <c r="G678" s="18"/>
    </row>
    <row r="679" spans="1:7" ht="13.8">
      <c r="A679" s="72"/>
      <c r="B679" s="18"/>
      <c r="C679" s="18"/>
      <c r="D679" s="18"/>
      <c r="E679" s="18"/>
      <c r="F679" s="18"/>
      <c r="G679" s="18"/>
    </row>
    <row r="680" spans="1:7" ht="13.8">
      <c r="A680" s="72"/>
      <c r="B680" s="18"/>
      <c r="C680" s="18"/>
      <c r="D680" s="18"/>
      <c r="E680" s="18"/>
      <c r="F680" s="18"/>
      <c r="G680" s="18"/>
    </row>
    <row r="681" spans="1:7" ht="13.8">
      <c r="A681" s="72"/>
      <c r="B681" s="18"/>
      <c r="C681" s="18"/>
      <c r="D681" s="18"/>
      <c r="E681" s="18"/>
      <c r="F681" s="18"/>
      <c r="G681" s="18"/>
    </row>
    <row r="682" spans="1:7" ht="13.8">
      <c r="A682" s="72"/>
      <c r="B682" s="18"/>
      <c r="C682" s="18"/>
      <c r="D682" s="18"/>
      <c r="E682" s="18"/>
      <c r="F682" s="18"/>
      <c r="G682" s="18"/>
    </row>
    <row r="683" spans="1:7" ht="13.8">
      <c r="A683" s="72"/>
      <c r="B683" s="18"/>
      <c r="C683" s="18"/>
      <c r="D683" s="18"/>
      <c r="E683" s="18"/>
      <c r="F683" s="18"/>
      <c r="G683" s="18"/>
    </row>
    <row r="684" spans="1:7" ht="13.8">
      <c r="A684" s="72"/>
      <c r="B684" s="18"/>
      <c r="C684" s="18"/>
      <c r="D684" s="18"/>
      <c r="E684" s="18"/>
      <c r="F684" s="18"/>
      <c r="G684" s="18"/>
    </row>
    <row r="685" spans="1:7" ht="13.8">
      <c r="A685" s="72"/>
      <c r="B685" s="18"/>
      <c r="C685" s="18"/>
      <c r="D685" s="18"/>
      <c r="E685" s="18"/>
      <c r="F685" s="18"/>
      <c r="G685" s="18"/>
    </row>
    <row r="686" spans="1:7" ht="13.8">
      <c r="A686" s="72"/>
      <c r="B686" s="18"/>
      <c r="C686" s="18"/>
      <c r="D686" s="18"/>
      <c r="E686" s="18"/>
      <c r="F686" s="18"/>
      <c r="G686" s="18"/>
    </row>
    <row r="687" spans="1:7" ht="13.8">
      <c r="A687" s="72"/>
      <c r="B687" s="18"/>
      <c r="C687" s="18"/>
      <c r="D687" s="18"/>
      <c r="E687" s="18"/>
      <c r="F687" s="18"/>
      <c r="G687" s="18"/>
    </row>
    <row r="688" spans="1:7" ht="13.8">
      <c r="A688" s="72"/>
      <c r="B688" s="18"/>
      <c r="C688" s="18"/>
      <c r="D688" s="18"/>
      <c r="E688" s="18"/>
      <c r="F688" s="18"/>
      <c r="G688" s="18"/>
    </row>
    <row r="689" spans="1:7" ht="13.8">
      <c r="A689" s="72"/>
      <c r="B689" s="18"/>
      <c r="C689" s="18"/>
      <c r="D689" s="18"/>
      <c r="E689" s="18"/>
      <c r="F689" s="18"/>
      <c r="G689" s="18"/>
    </row>
    <row r="690" spans="1:7" ht="13.8">
      <c r="A690" s="72"/>
      <c r="B690" s="18"/>
      <c r="C690" s="18"/>
      <c r="D690" s="18"/>
      <c r="E690" s="18"/>
      <c r="F690" s="18"/>
      <c r="G690" s="18"/>
    </row>
    <row r="691" spans="1:7" ht="13.8">
      <c r="A691" s="72"/>
      <c r="B691" s="18"/>
      <c r="C691" s="18"/>
      <c r="D691" s="18"/>
      <c r="E691" s="18"/>
      <c r="F691" s="18"/>
      <c r="G691" s="18"/>
    </row>
    <row r="692" spans="1:7" ht="13.8">
      <c r="A692" s="72"/>
      <c r="B692" s="18"/>
      <c r="C692" s="18"/>
      <c r="D692" s="18"/>
      <c r="E692" s="18"/>
      <c r="F692" s="18"/>
      <c r="G692" s="18"/>
    </row>
    <row r="693" spans="1:7" ht="13.8">
      <c r="A693" s="72"/>
      <c r="B693" s="18"/>
      <c r="C693" s="18"/>
      <c r="D693" s="18"/>
      <c r="E693" s="18"/>
      <c r="F693" s="18"/>
      <c r="G693" s="18"/>
    </row>
    <row r="694" spans="1:7" ht="13.8">
      <c r="A694" s="72"/>
      <c r="B694" s="18"/>
      <c r="C694" s="18"/>
      <c r="D694" s="18"/>
      <c r="E694" s="18"/>
      <c r="F694" s="18"/>
      <c r="G694" s="18"/>
    </row>
    <row r="695" spans="1:7" ht="13.8">
      <c r="A695" s="72"/>
      <c r="B695" s="18"/>
      <c r="C695" s="18"/>
      <c r="D695" s="18"/>
      <c r="E695" s="18"/>
      <c r="F695" s="18"/>
      <c r="G695" s="18"/>
    </row>
    <row r="696" spans="1:7" ht="13.8">
      <c r="A696" s="72"/>
      <c r="B696" s="18"/>
      <c r="C696" s="18"/>
      <c r="D696" s="18"/>
      <c r="E696" s="18"/>
      <c r="F696" s="18"/>
      <c r="G696" s="18"/>
    </row>
    <row r="697" spans="1:7" ht="13.8">
      <c r="A697" s="72"/>
      <c r="B697" s="18"/>
      <c r="C697" s="18"/>
      <c r="D697" s="18"/>
      <c r="E697" s="18"/>
      <c r="F697" s="18"/>
      <c r="G697" s="18"/>
    </row>
    <row r="698" spans="1:7" ht="13.8">
      <c r="A698" s="72"/>
      <c r="B698" s="18"/>
      <c r="C698" s="18"/>
      <c r="D698" s="18"/>
      <c r="E698" s="18"/>
      <c r="F698" s="18"/>
      <c r="G698" s="18"/>
    </row>
    <row r="699" spans="1:7" ht="13.8">
      <c r="A699" s="72"/>
      <c r="B699" s="18"/>
      <c r="C699" s="18"/>
      <c r="D699" s="18"/>
      <c r="E699" s="18"/>
      <c r="F699" s="18"/>
      <c r="G699" s="18"/>
    </row>
    <row r="700" spans="1:7" ht="13.8">
      <c r="A700" s="72"/>
      <c r="B700" s="18"/>
      <c r="C700" s="18"/>
      <c r="D700" s="18"/>
      <c r="E700" s="18"/>
      <c r="F700" s="18"/>
      <c r="G700" s="18"/>
    </row>
    <row r="701" spans="1:7" ht="13.8">
      <c r="A701" s="72"/>
      <c r="B701" s="18"/>
      <c r="C701" s="18"/>
      <c r="D701" s="18"/>
      <c r="E701" s="18"/>
      <c r="F701" s="18"/>
      <c r="G701" s="18"/>
    </row>
    <row r="702" spans="1:7" ht="13.8">
      <c r="A702" s="72"/>
      <c r="B702" s="18"/>
      <c r="C702" s="18"/>
      <c r="D702" s="18"/>
      <c r="E702" s="18"/>
      <c r="F702" s="18"/>
      <c r="G702" s="18"/>
    </row>
    <row r="703" spans="1:7" ht="13.8">
      <c r="A703" s="72"/>
      <c r="B703" s="18"/>
      <c r="C703" s="18"/>
      <c r="D703" s="18"/>
      <c r="E703" s="18"/>
      <c r="F703" s="18"/>
      <c r="G703" s="18"/>
    </row>
    <row r="704" spans="1:7" ht="13.8">
      <c r="A704" s="72"/>
      <c r="B704" s="18"/>
      <c r="C704" s="18"/>
      <c r="D704" s="18"/>
      <c r="E704" s="18"/>
      <c r="F704" s="18"/>
      <c r="G704" s="18"/>
    </row>
    <row r="705" spans="1:7" ht="13.8">
      <c r="A705" s="72"/>
      <c r="B705" s="18"/>
      <c r="C705" s="18"/>
      <c r="D705" s="18"/>
      <c r="E705" s="18"/>
      <c r="F705" s="18"/>
      <c r="G705" s="18"/>
    </row>
    <row r="706" spans="1:7" ht="13.8">
      <c r="A706" s="72"/>
      <c r="B706" s="18"/>
      <c r="C706" s="18"/>
      <c r="D706" s="18"/>
      <c r="E706" s="18"/>
      <c r="F706" s="18"/>
      <c r="G706" s="18"/>
    </row>
    <row r="707" spans="1:7" ht="13.8">
      <c r="A707" s="72"/>
      <c r="B707" s="18"/>
      <c r="C707" s="18"/>
      <c r="D707" s="18"/>
      <c r="E707" s="18"/>
      <c r="F707" s="18"/>
      <c r="G707" s="18"/>
    </row>
    <row r="708" spans="1:7" ht="13.8">
      <c r="A708" s="72"/>
      <c r="B708" s="18"/>
      <c r="C708" s="18"/>
      <c r="D708" s="18"/>
      <c r="E708" s="18"/>
      <c r="F708" s="18"/>
      <c r="G708" s="18"/>
    </row>
    <row r="709" spans="1:7" ht="13.8">
      <c r="A709" s="72"/>
      <c r="B709" s="18"/>
      <c r="C709" s="18"/>
      <c r="D709" s="18"/>
      <c r="E709" s="18"/>
      <c r="F709" s="18"/>
      <c r="G709" s="18"/>
    </row>
    <row r="710" spans="1:7" ht="13.8">
      <c r="A710" s="72"/>
      <c r="B710" s="18"/>
      <c r="C710" s="18"/>
      <c r="D710" s="18"/>
      <c r="E710" s="18"/>
      <c r="F710" s="18"/>
      <c r="G710" s="18"/>
    </row>
    <row r="711" spans="1:7" ht="13.8">
      <c r="A711" s="72"/>
      <c r="B711" s="18"/>
      <c r="C711" s="18"/>
      <c r="D711" s="18"/>
      <c r="E711" s="18"/>
      <c r="F711" s="18"/>
      <c r="G711" s="18"/>
    </row>
    <row r="712" spans="1:7" ht="13.8">
      <c r="A712" s="72"/>
      <c r="B712" s="18"/>
      <c r="C712" s="18"/>
      <c r="D712" s="18"/>
      <c r="E712" s="18"/>
      <c r="F712" s="18"/>
      <c r="G712" s="18"/>
    </row>
    <row r="713" spans="1:7" ht="13.8">
      <c r="A713" s="72"/>
      <c r="B713" s="18"/>
      <c r="C713" s="18"/>
      <c r="D713" s="18"/>
      <c r="E713" s="18"/>
      <c r="F713" s="18"/>
      <c r="G713" s="18"/>
    </row>
    <row r="714" spans="1:7" ht="13.8">
      <c r="A714" s="72"/>
      <c r="B714" s="18"/>
      <c r="C714" s="18"/>
      <c r="D714" s="18"/>
      <c r="E714" s="18"/>
      <c r="F714" s="18"/>
      <c r="G714" s="18"/>
    </row>
    <row r="715" spans="1:7" ht="13.8">
      <c r="A715" s="72"/>
      <c r="B715" s="18"/>
      <c r="C715" s="18"/>
      <c r="D715" s="18"/>
      <c r="E715" s="18"/>
      <c r="F715" s="18"/>
      <c r="G715" s="18"/>
    </row>
    <row r="716" spans="1:7" ht="13.8">
      <c r="A716" s="72"/>
      <c r="B716" s="18"/>
      <c r="C716" s="18"/>
      <c r="D716" s="18"/>
      <c r="E716" s="18"/>
      <c r="F716" s="18"/>
      <c r="G716" s="18"/>
    </row>
    <row r="717" spans="1:7" ht="13.8">
      <c r="A717" s="72"/>
      <c r="B717" s="18"/>
      <c r="C717" s="18"/>
      <c r="D717" s="18"/>
      <c r="E717" s="18"/>
      <c r="F717" s="18"/>
      <c r="G717" s="18"/>
    </row>
    <row r="718" spans="1:7" ht="13.8">
      <c r="A718" s="72"/>
      <c r="B718" s="18"/>
      <c r="C718" s="18"/>
      <c r="D718" s="18"/>
      <c r="E718" s="18"/>
      <c r="F718" s="18"/>
      <c r="G718" s="18"/>
    </row>
    <row r="719" spans="1:7" ht="13.8">
      <c r="A719" s="72"/>
      <c r="B719" s="18"/>
      <c r="C719" s="18"/>
      <c r="D719" s="18"/>
      <c r="E719" s="18"/>
      <c r="F719" s="18"/>
      <c r="G719" s="18"/>
    </row>
    <row r="720" spans="1:7" ht="13.8">
      <c r="A720" s="72"/>
      <c r="B720" s="18"/>
      <c r="C720" s="18"/>
      <c r="D720" s="18"/>
      <c r="E720" s="18"/>
      <c r="F720" s="18"/>
      <c r="G720" s="18"/>
    </row>
    <row r="721" spans="1:7" ht="13.8">
      <c r="A721" s="72"/>
      <c r="B721" s="18"/>
      <c r="C721" s="18"/>
      <c r="D721" s="18"/>
      <c r="E721" s="18"/>
      <c r="F721" s="18"/>
      <c r="G721" s="18"/>
    </row>
    <row r="722" spans="1:7" ht="13.8">
      <c r="A722" s="72"/>
      <c r="B722" s="18"/>
      <c r="C722" s="18"/>
      <c r="D722" s="18"/>
      <c r="E722" s="18"/>
      <c r="F722" s="18"/>
      <c r="G722" s="18"/>
    </row>
    <row r="723" spans="1:7" ht="13.8">
      <c r="A723" s="72"/>
      <c r="B723" s="18"/>
      <c r="C723" s="18"/>
      <c r="D723" s="18"/>
      <c r="E723" s="18"/>
      <c r="F723" s="18"/>
      <c r="G723" s="18"/>
    </row>
    <row r="724" spans="1:7" ht="13.8">
      <c r="A724" s="72"/>
      <c r="B724" s="18"/>
      <c r="C724" s="18"/>
      <c r="D724" s="18"/>
      <c r="E724" s="18"/>
      <c r="F724" s="18"/>
      <c r="G724" s="18"/>
    </row>
    <row r="725" spans="1:7" ht="13.8">
      <c r="A725" s="72"/>
      <c r="B725" s="18"/>
      <c r="C725" s="18"/>
      <c r="D725" s="18"/>
      <c r="E725" s="18"/>
      <c r="F725" s="18"/>
      <c r="G725" s="18"/>
    </row>
    <row r="726" spans="1:7" ht="13.8">
      <c r="A726" s="72"/>
      <c r="B726" s="18"/>
      <c r="C726" s="18"/>
      <c r="D726" s="18"/>
      <c r="E726" s="18"/>
      <c r="F726" s="18"/>
      <c r="G726" s="18"/>
    </row>
    <row r="727" spans="1:7" ht="13.8">
      <c r="A727" s="72"/>
      <c r="B727" s="18"/>
      <c r="C727" s="18"/>
      <c r="D727" s="18"/>
      <c r="E727" s="18"/>
      <c r="F727" s="18"/>
      <c r="G727" s="18"/>
    </row>
    <row r="728" spans="1:7" ht="13.8">
      <c r="A728" s="72"/>
      <c r="B728" s="18"/>
      <c r="C728" s="18"/>
      <c r="D728" s="18"/>
      <c r="E728" s="18"/>
      <c r="F728" s="18"/>
      <c r="G728" s="18"/>
    </row>
    <row r="729" spans="1:7" ht="13.8">
      <c r="A729" s="72"/>
      <c r="B729" s="18"/>
      <c r="C729" s="18"/>
      <c r="D729" s="18"/>
      <c r="E729" s="18"/>
      <c r="F729" s="18"/>
      <c r="G729" s="18"/>
    </row>
    <row r="730" spans="1:7" ht="13.8">
      <c r="A730" s="72"/>
      <c r="B730" s="18"/>
      <c r="C730" s="18"/>
      <c r="D730" s="18"/>
      <c r="E730" s="18"/>
      <c r="F730" s="18"/>
      <c r="G730" s="18"/>
    </row>
    <row r="731" spans="1:7" ht="13.8">
      <c r="A731" s="72"/>
      <c r="B731" s="18"/>
      <c r="C731" s="18"/>
      <c r="D731" s="18"/>
      <c r="E731" s="18"/>
      <c r="F731" s="18"/>
      <c r="G731" s="18"/>
    </row>
    <row r="732" spans="1:7" ht="13.8">
      <c r="A732" s="72"/>
      <c r="B732" s="18"/>
      <c r="C732" s="18"/>
      <c r="D732" s="18"/>
      <c r="E732" s="18"/>
      <c r="F732" s="18"/>
      <c r="G732" s="18"/>
    </row>
    <row r="733" spans="1:7" ht="13.8">
      <c r="A733" s="72"/>
      <c r="B733" s="18"/>
      <c r="C733" s="18"/>
      <c r="D733" s="18"/>
      <c r="E733" s="18"/>
      <c r="F733" s="18"/>
      <c r="G733" s="18"/>
    </row>
    <row r="734" spans="1:7" ht="13.8">
      <c r="A734" s="72"/>
      <c r="B734" s="18"/>
      <c r="C734" s="18"/>
      <c r="D734" s="18"/>
      <c r="E734" s="18"/>
      <c r="F734" s="18"/>
      <c r="G734" s="18"/>
    </row>
    <row r="735" spans="1:7" ht="13.8">
      <c r="A735" s="72"/>
      <c r="B735" s="18"/>
      <c r="C735" s="18"/>
      <c r="D735" s="18"/>
      <c r="E735" s="18"/>
      <c r="F735" s="18"/>
      <c r="G735" s="18"/>
    </row>
    <row r="736" spans="1:7" ht="13.8">
      <c r="A736" s="72"/>
      <c r="B736" s="18"/>
      <c r="C736" s="18"/>
      <c r="D736" s="18"/>
      <c r="E736" s="18"/>
      <c r="F736" s="18"/>
      <c r="G736" s="18"/>
    </row>
    <row r="737" spans="1:7" ht="13.8">
      <c r="A737" s="72"/>
      <c r="B737" s="18"/>
      <c r="C737" s="18"/>
      <c r="D737" s="18"/>
      <c r="E737" s="18"/>
      <c r="F737" s="18"/>
      <c r="G737" s="18"/>
    </row>
    <row r="738" spans="1:7" ht="13.8">
      <c r="A738" s="72"/>
      <c r="B738" s="18"/>
      <c r="C738" s="18"/>
      <c r="D738" s="18"/>
      <c r="E738" s="18"/>
      <c r="F738" s="18"/>
      <c r="G738" s="18"/>
    </row>
    <row r="739" spans="1:7" ht="13.8">
      <c r="A739" s="72"/>
      <c r="B739" s="18"/>
      <c r="C739" s="18"/>
      <c r="D739" s="18"/>
      <c r="E739" s="18"/>
      <c r="F739" s="18"/>
      <c r="G739" s="18"/>
    </row>
    <row r="740" spans="1:7" ht="13.8">
      <c r="A740" s="72"/>
      <c r="B740" s="18"/>
      <c r="C740" s="18"/>
      <c r="D740" s="18"/>
      <c r="E740" s="18"/>
      <c r="F740" s="18"/>
      <c r="G740" s="18"/>
    </row>
    <row r="741" spans="1:7" ht="13.8">
      <c r="A741" s="72"/>
      <c r="B741" s="18"/>
      <c r="C741" s="18"/>
      <c r="D741" s="18"/>
      <c r="E741" s="18"/>
      <c r="F741" s="18"/>
      <c r="G741" s="18"/>
    </row>
    <row r="742" spans="1:7" ht="13.8">
      <c r="A742" s="72"/>
      <c r="B742" s="18"/>
      <c r="C742" s="18"/>
      <c r="D742" s="18"/>
      <c r="E742" s="18"/>
      <c r="F742" s="18"/>
      <c r="G742" s="18"/>
    </row>
    <row r="743" spans="1:7" ht="13.8">
      <c r="A743" s="72"/>
      <c r="B743" s="18"/>
      <c r="C743" s="18"/>
      <c r="D743" s="18"/>
      <c r="E743" s="18"/>
      <c r="F743" s="18"/>
      <c r="G743" s="18"/>
    </row>
    <row r="744" spans="1:7" ht="13.8">
      <c r="A744" s="72"/>
      <c r="B744" s="18"/>
      <c r="C744" s="18"/>
      <c r="D744" s="18"/>
      <c r="E744" s="18"/>
      <c r="F744" s="18"/>
      <c r="G744" s="18"/>
    </row>
    <row r="745" spans="1:7" ht="13.8">
      <c r="A745" s="72"/>
      <c r="B745" s="18"/>
      <c r="C745" s="18"/>
      <c r="D745" s="18"/>
      <c r="E745" s="18"/>
      <c r="F745" s="18"/>
      <c r="G745" s="18"/>
    </row>
    <row r="746" spans="1:7" ht="13.8">
      <c r="A746" s="72"/>
      <c r="B746" s="18"/>
      <c r="C746" s="18"/>
      <c r="D746" s="18"/>
      <c r="E746" s="18"/>
      <c r="F746" s="18"/>
      <c r="G746" s="18"/>
    </row>
    <row r="747" spans="1:7" ht="13.8">
      <c r="A747" s="72"/>
      <c r="B747" s="18"/>
      <c r="C747" s="18"/>
      <c r="D747" s="18"/>
      <c r="E747" s="18"/>
      <c r="F747" s="18"/>
      <c r="G747" s="18"/>
    </row>
    <row r="748" spans="1:7" ht="13.8">
      <c r="A748" s="72"/>
      <c r="B748" s="18"/>
      <c r="C748" s="18"/>
      <c r="D748" s="18"/>
      <c r="E748" s="18"/>
      <c r="F748" s="18"/>
      <c r="G748" s="18"/>
    </row>
    <row r="749" spans="1:7" ht="13.8">
      <c r="A749" s="72"/>
      <c r="B749" s="18"/>
      <c r="C749" s="18"/>
      <c r="D749" s="18"/>
      <c r="E749" s="18"/>
      <c r="F749" s="18"/>
      <c r="G749" s="18"/>
    </row>
    <row r="750" spans="1:7" ht="13.8">
      <c r="A750" s="72"/>
      <c r="B750" s="18"/>
      <c r="C750" s="18"/>
      <c r="D750" s="18"/>
      <c r="E750" s="18"/>
      <c r="F750" s="18"/>
      <c r="G750" s="18"/>
    </row>
    <row r="751" spans="1:7" ht="13.8">
      <c r="A751" s="72"/>
      <c r="B751" s="18"/>
      <c r="C751" s="18"/>
      <c r="D751" s="18"/>
      <c r="E751" s="18"/>
      <c r="F751" s="18"/>
      <c r="G751" s="18"/>
    </row>
    <row r="752" spans="1:7" ht="13.8">
      <c r="A752" s="72"/>
      <c r="B752" s="18"/>
      <c r="C752" s="18"/>
      <c r="D752" s="18"/>
      <c r="E752" s="18"/>
      <c r="F752" s="18"/>
      <c r="G752" s="18"/>
    </row>
    <row r="753" spans="1:7" ht="13.8">
      <c r="A753" s="72"/>
      <c r="B753" s="18"/>
      <c r="C753" s="18"/>
      <c r="D753" s="18"/>
      <c r="E753" s="18"/>
      <c r="F753" s="18"/>
      <c r="G753" s="18"/>
    </row>
    <row r="754" spans="1:7" ht="13.8">
      <c r="A754" s="72"/>
      <c r="B754" s="18"/>
      <c r="C754" s="18"/>
      <c r="D754" s="18"/>
      <c r="E754" s="18"/>
      <c r="F754" s="18"/>
      <c r="G754" s="18"/>
    </row>
    <row r="755" spans="1:7" ht="13.8">
      <c r="A755" s="72"/>
      <c r="B755" s="18"/>
      <c r="C755" s="18"/>
      <c r="D755" s="18"/>
      <c r="E755" s="18"/>
      <c r="F755" s="18"/>
      <c r="G755" s="18"/>
    </row>
    <row r="756" spans="1:7" ht="13.8">
      <c r="A756" s="72"/>
      <c r="B756" s="18"/>
      <c r="C756" s="18"/>
      <c r="D756" s="18"/>
      <c r="E756" s="18"/>
      <c r="F756" s="18"/>
      <c r="G756" s="18"/>
    </row>
    <row r="757" spans="1:7" ht="13.8">
      <c r="A757" s="72"/>
      <c r="B757" s="18"/>
      <c r="C757" s="18"/>
      <c r="D757" s="18"/>
      <c r="E757" s="18"/>
      <c r="F757" s="18"/>
      <c r="G757" s="18"/>
    </row>
    <row r="758" spans="1:7" ht="13.8">
      <c r="A758" s="72"/>
      <c r="B758" s="18"/>
      <c r="C758" s="18"/>
      <c r="D758" s="18"/>
      <c r="E758" s="18"/>
      <c r="F758" s="18"/>
      <c r="G758" s="18"/>
    </row>
    <row r="759" spans="1:7" ht="13.8">
      <c r="A759" s="72"/>
      <c r="B759" s="18"/>
      <c r="C759" s="18"/>
      <c r="D759" s="18"/>
      <c r="E759" s="18"/>
      <c r="F759" s="18"/>
      <c r="G759" s="18"/>
    </row>
    <row r="760" spans="1:7" ht="13.8">
      <c r="A760" s="72"/>
      <c r="B760" s="18"/>
      <c r="C760" s="18"/>
      <c r="D760" s="18"/>
      <c r="E760" s="18"/>
      <c r="F760" s="18"/>
      <c r="G760" s="18"/>
    </row>
    <row r="761" spans="1:7" ht="13.8">
      <c r="A761" s="72"/>
      <c r="B761" s="18"/>
      <c r="C761" s="18"/>
      <c r="D761" s="18"/>
      <c r="E761" s="18"/>
      <c r="F761" s="18"/>
      <c r="G761" s="18"/>
    </row>
    <row r="762" spans="1:7" ht="13.8">
      <c r="A762" s="72"/>
      <c r="B762" s="18"/>
      <c r="C762" s="18"/>
      <c r="D762" s="18"/>
      <c r="E762" s="18"/>
      <c r="F762" s="18"/>
      <c r="G762" s="18"/>
    </row>
    <row r="763" spans="1:7" ht="13.8">
      <c r="A763" s="72"/>
      <c r="B763" s="18"/>
      <c r="C763" s="18"/>
      <c r="D763" s="18"/>
      <c r="E763" s="18"/>
      <c r="F763" s="18"/>
      <c r="G763" s="18"/>
    </row>
    <row r="764" spans="1:7" ht="13.8">
      <c r="A764" s="72"/>
      <c r="B764" s="18"/>
      <c r="C764" s="18"/>
      <c r="D764" s="18"/>
      <c r="E764" s="18"/>
      <c r="F764" s="18"/>
      <c r="G764" s="18"/>
    </row>
    <row r="765" spans="1:7" ht="13.8">
      <c r="A765" s="72"/>
      <c r="B765" s="18"/>
      <c r="C765" s="18"/>
      <c r="D765" s="18"/>
      <c r="E765" s="18"/>
      <c r="F765" s="18"/>
      <c r="G765" s="18"/>
    </row>
    <row r="766" spans="1:7" ht="13.8">
      <c r="A766" s="72"/>
      <c r="B766" s="18"/>
      <c r="C766" s="18"/>
      <c r="D766" s="18"/>
      <c r="E766" s="18"/>
      <c r="F766" s="18"/>
      <c r="G766" s="18"/>
    </row>
    <row r="767" spans="1:7" ht="13.8">
      <c r="A767" s="72"/>
      <c r="B767" s="18"/>
      <c r="C767" s="18"/>
      <c r="D767" s="18"/>
      <c r="E767" s="18"/>
      <c r="F767" s="18"/>
      <c r="G767" s="18"/>
    </row>
    <row r="768" spans="1:7" ht="13.8">
      <c r="A768" s="72"/>
      <c r="B768" s="18"/>
      <c r="C768" s="18"/>
      <c r="D768" s="18"/>
      <c r="E768" s="18"/>
      <c r="F768" s="18"/>
      <c r="G768" s="18"/>
    </row>
    <row r="769" spans="1:7" ht="13.8">
      <c r="A769" s="72"/>
      <c r="B769" s="18"/>
      <c r="C769" s="18"/>
      <c r="D769" s="18"/>
      <c r="E769" s="18"/>
      <c r="F769" s="18"/>
      <c r="G769" s="18"/>
    </row>
    <row r="770" spans="1:7" ht="13.8">
      <c r="A770" s="72"/>
      <c r="B770" s="18"/>
      <c r="C770" s="18"/>
      <c r="D770" s="18"/>
      <c r="E770" s="18"/>
      <c r="F770" s="18"/>
      <c r="G770" s="18"/>
    </row>
    <row r="771" spans="1:7" ht="13.8">
      <c r="A771" s="72"/>
      <c r="B771" s="18"/>
      <c r="C771" s="18"/>
      <c r="D771" s="18"/>
      <c r="E771" s="18"/>
      <c r="F771" s="18"/>
      <c r="G771" s="18"/>
    </row>
    <row r="772" spans="1:7" ht="13.8">
      <c r="A772" s="72"/>
      <c r="B772" s="18"/>
      <c r="C772" s="18"/>
      <c r="D772" s="18"/>
      <c r="E772" s="18"/>
      <c r="F772" s="18"/>
      <c r="G772" s="18"/>
    </row>
    <row r="773" spans="1:7" ht="13.8">
      <c r="A773" s="72"/>
      <c r="B773" s="18"/>
      <c r="C773" s="18"/>
      <c r="D773" s="18"/>
      <c r="E773" s="18"/>
      <c r="F773" s="18"/>
      <c r="G773" s="18"/>
    </row>
    <row r="774" spans="1:7" ht="13.8">
      <c r="A774" s="72"/>
      <c r="B774" s="18"/>
      <c r="C774" s="18"/>
      <c r="D774" s="18"/>
      <c r="E774" s="18"/>
      <c r="F774" s="18"/>
      <c r="G774" s="18"/>
    </row>
    <row r="775" spans="1:7" ht="13.8">
      <c r="A775" s="72"/>
      <c r="B775" s="18"/>
      <c r="C775" s="18"/>
      <c r="D775" s="18"/>
      <c r="E775" s="18"/>
      <c r="F775" s="18"/>
      <c r="G775" s="18"/>
    </row>
    <row r="776" spans="1:7" ht="13.8">
      <c r="A776" s="72"/>
      <c r="B776" s="18"/>
      <c r="C776" s="18"/>
      <c r="D776" s="18"/>
      <c r="E776" s="18"/>
      <c r="F776" s="18"/>
      <c r="G776" s="18"/>
    </row>
    <row r="777" spans="1:7" ht="13.8">
      <c r="A777" s="72"/>
      <c r="B777" s="18"/>
      <c r="C777" s="18"/>
      <c r="D777" s="18"/>
      <c r="E777" s="18"/>
      <c r="F777" s="18"/>
      <c r="G777" s="18"/>
    </row>
    <row r="778" spans="1:7" ht="13.8">
      <c r="A778" s="72"/>
      <c r="B778" s="18"/>
      <c r="C778" s="18"/>
      <c r="D778" s="18"/>
      <c r="E778" s="18"/>
      <c r="F778" s="18"/>
      <c r="G778" s="18"/>
    </row>
    <row r="779" spans="1:7" ht="13.8">
      <c r="A779" s="72"/>
      <c r="B779" s="18"/>
      <c r="C779" s="18"/>
      <c r="D779" s="18"/>
      <c r="E779" s="18"/>
      <c r="F779" s="18"/>
      <c r="G779" s="18"/>
    </row>
    <row r="780" spans="1:7" ht="13.8">
      <c r="A780" s="72"/>
      <c r="B780" s="18"/>
      <c r="C780" s="18"/>
      <c r="D780" s="18"/>
      <c r="E780" s="18"/>
      <c r="F780" s="18"/>
      <c r="G780" s="18"/>
    </row>
    <row r="781" spans="1:7" ht="13.8">
      <c r="A781" s="72"/>
      <c r="B781" s="18"/>
      <c r="C781" s="18"/>
      <c r="D781" s="18"/>
      <c r="E781" s="18"/>
      <c r="F781" s="18"/>
      <c r="G781" s="18"/>
    </row>
    <row r="782" spans="1:7" ht="13.8">
      <c r="A782" s="72"/>
      <c r="B782" s="18"/>
      <c r="C782" s="18"/>
      <c r="D782" s="18"/>
      <c r="E782" s="18"/>
      <c r="F782" s="18"/>
      <c r="G782" s="18"/>
    </row>
    <row r="783" spans="1:7" ht="13.8">
      <c r="A783" s="72"/>
      <c r="B783" s="18"/>
      <c r="C783" s="18"/>
      <c r="D783" s="18"/>
      <c r="E783" s="18"/>
      <c r="F783" s="18"/>
      <c r="G783" s="18"/>
    </row>
    <row r="784" spans="1:7" ht="13.8">
      <c r="A784" s="72"/>
      <c r="B784" s="18"/>
      <c r="C784" s="18"/>
      <c r="D784" s="18"/>
      <c r="E784" s="18"/>
      <c r="F784" s="18"/>
      <c r="G784" s="18"/>
    </row>
    <row r="785" spans="1:7" ht="13.8">
      <c r="A785" s="72"/>
      <c r="B785" s="18"/>
      <c r="C785" s="18"/>
      <c r="D785" s="18"/>
      <c r="E785" s="18"/>
      <c r="F785" s="18"/>
      <c r="G785" s="18"/>
    </row>
    <row r="786" spans="1:7" ht="13.8">
      <c r="A786" s="72"/>
      <c r="B786" s="18"/>
      <c r="C786" s="18"/>
      <c r="D786" s="18"/>
      <c r="E786" s="18"/>
      <c r="F786" s="18"/>
      <c r="G786" s="18"/>
    </row>
    <row r="787" spans="1:7" ht="13.8">
      <c r="A787" s="72"/>
      <c r="B787" s="18"/>
      <c r="C787" s="18"/>
      <c r="D787" s="18"/>
      <c r="E787" s="18"/>
      <c r="F787" s="18"/>
      <c r="G787" s="18"/>
    </row>
    <row r="788" spans="1:7" ht="13.8">
      <c r="A788" s="72"/>
      <c r="B788" s="18"/>
      <c r="C788" s="18"/>
      <c r="D788" s="18"/>
      <c r="E788" s="18"/>
      <c r="F788" s="18"/>
      <c r="G788" s="18"/>
    </row>
    <row r="789" spans="1:7" ht="13.8">
      <c r="A789" s="72"/>
      <c r="B789" s="18"/>
      <c r="C789" s="18"/>
      <c r="D789" s="18"/>
      <c r="E789" s="18"/>
      <c r="F789" s="18"/>
      <c r="G789" s="18"/>
    </row>
    <row r="790" spans="1:7" ht="13.8">
      <c r="A790" s="72"/>
      <c r="B790" s="18"/>
      <c r="C790" s="18"/>
      <c r="D790" s="18"/>
      <c r="E790" s="18"/>
      <c r="F790" s="18"/>
      <c r="G790" s="18"/>
    </row>
    <row r="791" spans="1:7" ht="13.8">
      <c r="A791" s="72"/>
      <c r="B791" s="18"/>
      <c r="C791" s="18"/>
      <c r="D791" s="18"/>
      <c r="E791" s="18"/>
      <c r="F791" s="18"/>
      <c r="G791" s="18"/>
    </row>
    <row r="792" spans="1:7" ht="13.8">
      <c r="A792" s="72"/>
      <c r="B792" s="18"/>
      <c r="C792" s="18"/>
      <c r="D792" s="18"/>
      <c r="E792" s="18"/>
      <c r="F792" s="18"/>
      <c r="G792" s="18"/>
    </row>
    <row r="793" spans="1:7" ht="13.8">
      <c r="A793" s="72"/>
      <c r="B793" s="18"/>
      <c r="C793" s="18"/>
      <c r="D793" s="18"/>
      <c r="E793" s="18"/>
      <c r="F793" s="18"/>
      <c r="G793" s="18"/>
    </row>
    <row r="794" spans="1:7" ht="13.8">
      <c r="A794" s="72"/>
      <c r="B794" s="18"/>
      <c r="C794" s="18"/>
      <c r="D794" s="18"/>
      <c r="E794" s="18"/>
      <c r="F794" s="18"/>
      <c r="G794" s="18"/>
    </row>
    <row r="795" spans="1:7" ht="13.8">
      <c r="A795" s="72"/>
      <c r="B795" s="18"/>
      <c r="C795" s="18"/>
      <c r="D795" s="18"/>
      <c r="E795" s="18"/>
      <c r="F795" s="18"/>
      <c r="G795" s="18"/>
    </row>
    <row r="796" spans="1:7" ht="13.8">
      <c r="A796" s="72"/>
      <c r="B796" s="18"/>
      <c r="C796" s="18"/>
      <c r="D796" s="18"/>
      <c r="E796" s="18"/>
      <c r="F796" s="18"/>
      <c r="G796" s="18"/>
    </row>
    <row r="797" spans="1:7" ht="13.8">
      <c r="A797" s="72"/>
      <c r="B797" s="18"/>
      <c r="C797" s="18"/>
      <c r="D797" s="18"/>
      <c r="E797" s="18"/>
      <c r="F797" s="18"/>
      <c r="G797" s="18"/>
    </row>
    <row r="798" spans="1:7" ht="13.8">
      <c r="A798" s="72"/>
      <c r="B798" s="18"/>
      <c r="C798" s="18"/>
      <c r="D798" s="18"/>
      <c r="E798" s="18"/>
      <c r="F798" s="18"/>
      <c r="G798" s="18"/>
    </row>
    <row r="799" spans="1:7" ht="13.8">
      <c r="A799" s="72"/>
      <c r="B799" s="18"/>
      <c r="C799" s="18"/>
      <c r="D799" s="18"/>
      <c r="E799" s="18"/>
      <c r="F799" s="18"/>
      <c r="G799" s="18"/>
    </row>
    <row r="800" spans="1:7" ht="13.8">
      <c r="A800" s="72"/>
      <c r="B800" s="18"/>
      <c r="C800" s="18"/>
      <c r="D800" s="18"/>
      <c r="E800" s="18"/>
      <c r="F800" s="18"/>
      <c r="G800" s="18"/>
    </row>
    <row r="801" spans="1:7" ht="13.8">
      <c r="A801" s="72"/>
      <c r="B801" s="18"/>
      <c r="C801" s="18"/>
      <c r="D801" s="18"/>
      <c r="E801" s="18"/>
      <c r="F801" s="18"/>
      <c r="G801" s="18"/>
    </row>
    <row r="802" spans="1:7" ht="13.8">
      <c r="A802" s="72"/>
      <c r="B802" s="18"/>
      <c r="C802" s="18"/>
      <c r="D802" s="18"/>
      <c r="E802" s="18"/>
      <c r="F802" s="18"/>
      <c r="G802" s="18"/>
    </row>
    <row r="803" spans="1:7" ht="13.8">
      <c r="A803" s="72"/>
      <c r="B803" s="18"/>
      <c r="C803" s="18"/>
      <c r="D803" s="18"/>
      <c r="E803" s="18"/>
      <c r="F803" s="18"/>
      <c r="G803" s="18"/>
    </row>
    <row r="804" spans="1:7" ht="13.8">
      <c r="A804" s="72"/>
      <c r="B804" s="18"/>
      <c r="C804" s="18"/>
      <c r="D804" s="18"/>
      <c r="E804" s="18"/>
      <c r="F804" s="18"/>
      <c r="G804" s="18"/>
    </row>
    <row r="805" spans="1:7" ht="13.8">
      <c r="A805" s="72"/>
      <c r="B805" s="18"/>
      <c r="C805" s="18"/>
      <c r="D805" s="18"/>
      <c r="E805" s="18"/>
      <c r="F805" s="18"/>
      <c r="G805" s="18"/>
    </row>
    <row r="806" spans="1:7" ht="13.8">
      <c r="A806" s="72"/>
      <c r="B806" s="18"/>
      <c r="C806" s="18"/>
      <c r="D806" s="18"/>
      <c r="E806" s="18"/>
      <c r="F806" s="18"/>
      <c r="G806" s="18"/>
    </row>
    <row r="807" spans="1:7" ht="13.8">
      <c r="A807" s="72"/>
      <c r="B807" s="18"/>
      <c r="C807" s="18"/>
      <c r="D807" s="18"/>
      <c r="E807" s="18"/>
      <c r="F807" s="18"/>
      <c r="G807" s="18"/>
    </row>
    <row r="808" spans="1:7" ht="13.8">
      <c r="A808" s="72"/>
      <c r="B808" s="18"/>
      <c r="C808" s="18"/>
      <c r="D808" s="18"/>
      <c r="E808" s="18"/>
      <c r="F808" s="18"/>
      <c r="G808" s="18"/>
    </row>
    <row r="809" spans="1:7" ht="13.8">
      <c r="A809" s="72"/>
      <c r="B809" s="18"/>
      <c r="C809" s="18"/>
      <c r="D809" s="18"/>
      <c r="E809" s="18"/>
      <c r="F809" s="18"/>
      <c r="G809" s="18"/>
    </row>
    <row r="810" spans="1:7" ht="13.8">
      <c r="A810" s="72"/>
      <c r="B810" s="18"/>
      <c r="C810" s="18"/>
      <c r="D810" s="18"/>
      <c r="E810" s="18"/>
      <c r="F810" s="18"/>
      <c r="G810" s="18"/>
    </row>
    <row r="811" spans="1:7" ht="13.8">
      <c r="A811" s="72"/>
      <c r="B811" s="18"/>
      <c r="C811" s="18"/>
      <c r="D811" s="18"/>
      <c r="E811" s="18"/>
      <c r="F811" s="18"/>
      <c r="G811" s="18"/>
    </row>
    <row r="812" spans="1:7" ht="13.8">
      <c r="A812" s="72"/>
      <c r="B812" s="18"/>
      <c r="C812" s="18"/>
      <c r="D812" s="18"/>
      <c r="E812" s="18"/>
      <c r="F812" s="18"/>
      <c r="G812" s="18"/>
    </row>
    <row r="813" spans="1:7" ht="13.8">
      <c r="A813" s="72"/>
      <c r="B813" s="18"/>
      <c r="C813" s="18"/>
      <c r="D813" s="18"/>
      <c r="E813" s="18"/>
      <c r="F813" s="18"/>
      <c r="G813" s="18"/>
    </row>
    <row r="814" spans="1:7" ht="13.8">
      <c r="A814" s="72"/>
      <c r="B814" s="18"/>
      <c r="C814" s="18"/>
      <c r="D814" s="18"/>
      <c r="E814" s="18"/>
      <c r="F814" s="18"/>
      <c r="G814" s="18"/>
    </row>
    <row r="815" spans="1:7" ht="13.8">
      <c r="A815" s="72"/>
      <c r="B815" s="18"/>
      <c r="C815" s="18"/>
      <c r="D815" s="18"/>
      <c r="E815" s="18"/>
      <c r="F815" s="18"/>
      <c r="G815" s="18"/>
    </row>
    <row r="816" spans="1:7" ht="13.8">
      <c r="A816" s="72"/>
      <c r="B816" s="18"/>
      <c r="C816" s="18"/>
      <c r="D816" s="18"/>
      <c r="E816" s="18"/>
      <c r="F816" s="18"/>
      <c r="G816" s="18"/>
    </row>
    <row r="817" spans="1:7" ht="13.8">
      <c r="A817" s="72"/>
      <c r="B817" s="18"/>
      <c r="C817" s="18"/>
      <c r="D817" s="18"/>
      <c r="E817" s="18"/>
      <c r="F817" s="18"/>
      <c r="G817" s="18"/>
    </row>
    <row r="818" spans="1:7" ht="13.8">
      <c r="A818" s="72"/>
      <c r="B818" s="18"/>
      <c r="C818" s="18"/>
      <c r="D818" s="18"/>
      <c r="E818" s="18"/>
      <c r="F818" s="18"/>
      <c r="G818" s="18"/>
    </row>
    <row r="819" spans="1:7" ht="13.8">
      <c r="A819" s="72"/>
      <c r="B819" s="18"/>
      <c r="C819" s="18"/>
      <c r="D819" s="18"/>
      <c r="E819" s="18"/>
      <c r="F819" s="18"/>
      <c r="G819" s="18"/>
    </row>
    <row r="820" spans="1:7" ht="13.8">
      <c r="A820" s="72"/>
      <c r="B820" s="18"/>
      <c r="C820" s="18"/>
      <c r="D820" s="18"/>
      <c r="E820" s="18"/>
      <c r="F820" s="18"/>
      <c r="G820" s="18"/>
    </row>
    <row r="821" spans="1:7" ht="13.8">
      <c r="A821" s="72"/>
      <c r="B821" s="18"/>
      <c r="C821" s="18"/>
      <c r="D821" s="18"/>
      <c r="E821" s="18"/>
      <c r="F821" s="18"/>
      <c r="G821" s="18"/>
    </row>
    <row r="822" spans="1:7" ht="13.8">
      <c r="A822" s="72"/>
      <c r="B822" s="18"/>
      <c r="C822" s="18"/>
      <c r="D822" s="18"/>
      <c r="E822" s="18"/>
      <c r="F822" s="18"/>
      <c r="G822" s="18"/>
    </row>
    <row r="823" spans="1:7" ht="13.8">
      <c r="A823" s="72"/>
      <c r="B823" s="18"/>
      <c r="C823" s="18"/>
      <c r="D823" s="18"/>
      <c r="E823" s="18"/>
      <c r="F823" s="18"/>
      <c r="G823" s="18"/>
    </row>
    <row r="824" spans="1:7" ht="13.8">
      <c r="A824" s="72"/>
      <c r="B824" s="18"/>
      <c r="C824" s="18"/>
      <c r="D824" s="18"/>
      <c r="E824" s="18"/>
      <c r="F824" s="18"/>
      <c r="G824" s="18"/>
    </row>
    <row r="825" spans="1:7" ht="13.8">
      <c r="A825" s="72"/>
      <c r="B825" s="18"/>
      <c r="C825" s="18"/>
      <c r="D825" s="18"/>
      <c r="E825" s="18"/>
      <c r="F825" s="18"/>
      <c r="G825" s="18"/>
    </row>
    <row r="826" spans="1:7" ht="13.8">
      <c r="A826" s="72"/>
      <c r="B826" s="18"/>
      <c r="C826" s="18"/>
      <c r="D826" s="18"/>
      <c r="E826" s="18"/>
      <c r="F826" s="18"/>
      <c r="G826" s="18"/>
    </row>
    <row r="827" spans="1:7" ht="13.8">
      <c r="A827" s="72"/>
      <c r="B827" s="18"/>
      <c r="C827" s="18"/>
      <c r="D827" s="18"/>
      <c r="E827" s="18"/>
      <c r="F827" s="18"/>
      <c r="G827" s="18"/>
    </row>
    <row r="828" spans="1:7" ht="13.8">
      <c r="A828" s="72"/>
      <c r="B828" s="18"/>
      <c r="C828" s="18"/>
      <c r="D828" s="18"/>
      <c r="E828" s="18"/>
      <c r="F828" s="18"/>
      <c r="G828" s="18"/>
    </row>
    <row r="829" spans="1:7" ht="13.8">
      <c r="A829" s="72"/>
      <c r="B829" s="18"/>
      <c r="C829" s="18"/>
      <c r="D829" s="18"/>
      <c r="E829" s="18"/>
      <c r="F829" s="18"/>
      <c r="G829" s="18"/>
    </row>
    <row r="830" spans="1:7" ht="13.8">
      <c r="A830" s="72"/>
      <c r="B830" s="18"/>
      <c r="C830" s="18"/>
      <c r="D830" s="18"/>
      <c r="E830" s="18"/>
      <c r="F830" s="18"/>
      <c r="G830" s="18"/>
    </row>
    <row r="831" spans="1:7" ht="13.8">
      <c r="A831" s="72"/>
      <c r="B831" s="18"/>
      <c r="C831" s="18"/>
      <c r="D831" s="18"/>
      <c r="E831" s="18"/>
      <c r="F831" s="18"/>
      <c r="G831" s="18"/>
    </row>
    <row r="832" spans="1:7" ht="13.8">
      <c r="A832" s="72"/>
      <c r="B832" s="18"/>
      <c r="C832" s="18"/>
      <c r="D832" s="18"/>
      <c r="E832" s="18"/>
      <c r="F832" s="18"/>
      <c r="G832" s="18"/>
    </row>
    <row r="833" spans="1:7" ht="13.8">
      <c r="A833" s="72"/>
      <c r="B833" s="18"/>
      <c r="C833" s="18"/>
      <c r="D833" s="18"/>
      <c r="E833" s="18"/>
      <c r="F833" s="18"/>
      <c r="G833" s="18"/>
    </row>
    <row r="834" spans="1:7" ht="13.8">
      <c r="A834" s="72"/>
      <c r="B834" s="18"/>
      <c r="C834" s="18"/>
      <c r="D834" s="18"/>
      <c r="E834" s="18"/>
      <c r="F834" s="18"/>
      <c r="G834" s="18"/>
    </row>
    <row r="835" spans="1:7" ht="13.8">
      <c r="A835" s="72"/>
      <c r="B835" s="18"/>
      <c r="C835" s="18"/>
      <c r="D835" s="18"/>
      <c r="E835" s="18"/>
      <c r="F835" s="18"/>
      <c r="G835" s="18"/>
    </row>
    <row r="836" spans="1:7" ht="13.8">
      <c r="A836" s="72"/>
      <c r="B836" s="18"/>
      <c r="C836" s="18"/>
      <c r="D836" s="18"/>
      <c r="E836" s="18"/>
      <c r="F836" s="18"/>
      <c r="G836" s="18"/>
    </row>
    <row r="837" spans="1:7" ht="13.8">
      <c r="A837" s="72"/>
      <c r="B837" s="18"/>
      <c r="C837" s="18"/>
      <c r="D837" s="18"/>
      <c r="E837" s="18"/>
      <c r="F837" s="18"/>
      <c r="G837" s="18"/>
    </row>
    <row r="838" spans="1:7" ht="13.8">
      <c r="A838" s="72"/>
      <c r="B838" s="18"/>
      <c r="C838" s="18"/>
      <c r="D838" s="18"/>
      <c r="E838" s="18"/>
      <c r="F838" s="18"/>
      <c r="G838" s="18"/>
    </row>
    <row r="839" spans="1:7" ht="13.8">
      <c r="A839" s="72"/>
      <c r="B839" s="18"/>
      <c r="C839" s="18"/>
      <c r="D839" s="18"/>
      <c r="E839" s="18"/>
      <c r="F839" s="18"/>
      <c r="G839" s="18"/>
    </row>
    <row r="840" spans="1:7" ht="13.8">
      <c r="A840" s="72"/>
      <c r="B840" s="18"/>
      <c r="C840" s="18"/>
      <c r="D840" s="18"/>
      <c r="E840" s="18"/>
      <c r="F840" s="18"/>
      <c r="G840" s="18"/>
    </row>
    <row r="841" spans="1:7" ht="13.8">
      <c r="A841" s="72"/>
      <c r="B841" s="18"/>
      <c r="C841" s="18"/>
      <c r="D841" s="18"/>
      <c r="E841" s="18"/>
      <c r="F841" s="18"/>
      <c r="G841" s="18"/>
    </row>
    <row r="842" spans="1:7" ht="13.8">
      <c r="A842" s="72"/>
      <c r="B842" s="18"/>
      <c r="C842" s="18"/>
      <c r="D842" s="18"/>
      <c r="E842" s="18"/>
      <c r="F842" s="18"/>
      <c r="G842" s="18"/>
    </row>
    <row r="843" spans="1:7" ht="13.8">
      <c r="A843" s="72"/>
      <c r="B843" s="18"/>
      <c r="C843" s="18"/>
      <c r="D843" s="18"/>
      <c r="E843" s="18"/>
      <c r="F843" s="18"/>
      <c r="G843" s="18"/>
    </row>
    <row r="844" spans="1:7" ht="13.8">
      <c r="A844" s="72"/>
      <c r="B844" s="18"/>
      <c r="C844" s="18"/>
      <c r="D844" s="18"/>
      <c r="E844" s="18"/>
      <c r="F844" s="18"/>
      <c r="G844" s="18"/>
    </row>
    <row r="845" spans="1:7" ht="13.8">
      <c r="A845" s="72"/>
      <c r="B845" s="18"/>
      <c r="C845" s="18"/>
      <c r="D845" s="18"/>
      <c r="E845" s="18"/>
      <c r="F845" s="18"/>
      <c r="G845" s="18"/>
    </row>
    <row r="846" spans="1:7" ht="13.8">
      <c r="A846" s="72"/>
      <c r="B846" s="18"/>
      <c r="C846" s="18"/>
      <c r="D846" s="18"/>
      <c r="E846" s="18"/>
      <c r="F846" s="18"/>
      <c r="G846" s="18"/>
    </row>
    <row r="847" spans="1:7" ht="13.8">
      <c r="A847" s="72"/>
      <c r="B847" s="18"/>
      <c r="C847" s="18"/>
      <c r="D847" s="18"/>
      <c r="E847" s="18"/>
      <c r="F847" s="18"/>
      <c r="G847" s="18"/>
    </row>
    <row r="848" spans="1:7" ht="13.8">
      <c r="A848" s="72"/>
      <c r="B848" s="18"/>
      <c r="C848" s="18"/>
      <c r="D848" s="18"/>
      <c r="E848" s="18"/>
      <c r="F848" s="18"/>
      <c r="G848" s="18"/>
    </row>
    <row r="849" spans="1:7" ht="13.8">
      <c r="A849" s="72"/>
      <c r="B849" s="18"/>
      <c r="C849" s="18"/>
      <c r="D849" s="18"/>
      <c r="E849" s="18"/>
      <c r="F849" s="18"/>
      <c r="G849" s="18"/>
    </row>
    <row r="850" spans="1:7" ht="13.8">
      <c r="A850" s="72"/>
      <c r="B850" s="18"/>
      <c r="C850" s="18"/>
      <c r="D850" s="18"/>
      <c r="E850" s="18"/>
      <c r="F850" s="18"/>
      <c r="G850" s="18"/>
    </row>
    <row r="851" spans="1:7" ht="13.8">
      <c r="A851" s="72"/>
      <c r="B851" s="18"/>
      <c r="C851" s="18"/>
      <c r="D851" s="18"/>
      <c r="E851" s="18"/>
      <c r="F851" s="18"/>
      <c r="G851" s="18"/>
    </row>
    <row r="852" spans="1:7" ht="13.8">
      <c r="A852" s="72"/>
      <c r="B852" s="18"/>
      <c r="C852" s="18"/>
      <c r="D852" s="18"/>
      <c r="E852" s="18"/>
      <c r="F852" s="18"/>
      <c r="G852" s="18"/>
    </row>
    <row r="853" spans="1:7" ht="13.8">
      <c r="A853" s="72"/>
      <c r="B853" s="18"/>
      <c r="C853" s="18"/>
      <c r="D853" s="18"/>
      <c r="E853" s="18"/>
      <c r="F853" s="18"/>
      <c r="G853" s="18"/>
    </row>
    <row r="854" spans="1:7" ht="13.8">
      <c r="A854" s="72"/>
      <c r="B854" s="18"/>
      <c r="C854" s="18"/>
      <c r="D854" s="18"/>
      <c r="E854" s="18"/>
      <c r="F854" s="18"/>
      <c r="G854" s="18"/>
    </row>
    <row r="855" spans="1:7" ht="13.8">
      <c r="A855" s="72"/>
      <c r="B855" s="18"/>
      <c r="C855" s="18"/>
      <c r="D855" s="18"/>
      <c r="E855" s="18"/>
      <c r="F855" s="18"/>
      <c r="G855" s="18"/>
    </row>
    <row r="856" spans="1:7" ht="13.8">
      <c r="A856" s="72"/>
      <c r="B856" s="18"/>
      <c r="C856" s="18"/>
      <c r="D856" s="18"/>
      <c r="E856" s="18"/>
      <c r="F856" s="18"/>
      <c r="G856" s="18"/>
    </row>
    <row r="857" spans="1:7" ht="13.8">
      <c r="A857" s="72"/>
      <c r="B857" s="18"/>
      <c r="C857" s="18"/>
      <c r="D857" s="18"/>
      <c r="E857" s="18"/>
      <c r="F857" s="18"/>
      <c r="G857" s="18"/>
    </row>
    <row r="858" spans="1:7" ht="13.8">
      <c r="A858" s="72"/>
      <c r="B858" s="18"/>
      <c r="C858" s="18"/>
      <c r="D858" s="18"/>
      <c r="E858" s="18"/>
      <c r="F858" s="18"/>
      <c r="G858" s="18"/>
    </row>
    <row r="859" spans="1:7" ht="13.8">
      <c r="A859" s="72"/>
      <c r="B859" s="18"/>
      <c r="C859" s="18"/>
      <c r="D859" s="18"/>
      <c r="E859" s="18"/>
      <c r="F859" s="18"/>
      <c r="G859" s="18"/>
    </row>
    <row r="860" spans="1:7" ht="13.8">
      <c r="A860" s="72"/>
      <c r="B860" s="18"/>
      <c r="C860" s="18"/>
      <c r="D860" s="18"/>
      <c r="E860" s="18"/>
      <c r="F860" s="18"/>
      <c r="G860" s="18"/>
    </row>
    <row r="861" spans="1:7" ht="13.8">
      <c r="A861" s="72"/>
      <c r="B861" s="18"/>
      <c r="C861" s="18"/>
      <c r="D861" s="18"/>
      <c r="E861" s="18"/>
      <c r="F861" s="18"/>
      <c r="G861" s="18"/>
    </row>
    <row r="862" spans="1:7" ht="13.8">
      <c r="A862" s="72"/>
      <c r="B862" s="18"/>
      <c r="C862" s="18"/>
      <c r="D862" s="18"/>
      <c r="E862" s="18"/>
      <c r="F862" s="18"/>
      <c r="G862" s="18"/>
    </row>
    <row r="863" spans="1:7" ht="13.8">
      <c r="A863" s="72"/>
      <c r="B863" s="18"/>
      <c r="C863" s="18"/>
      <c r="D863" s="18"/>
      <c r="E863" s="18"/>
      <c r="F863" s="18"/>
      <c r="G863" s="18"/>
    </row>
    <row r="864" spans="1:7" ht="13.8">
      <c r="A864" s="72"/>
      <c r="B864" s="18"/>
      <c r="C864" s="18"/>
      <c r="D864" s="18"/>
      <c r="E864" s="18"/>
      <c r="F864" s="18"/>
      <c r="G864" s="18"/>
    </row>
    <row r="865" spans="1:7" ht="13.8">
      <c r="A865" s="72"/>
      <c r="B865" s="18"/>
      <c r="C865" s="18"/>
      <c r="D865" s="18"/>
      <c r="E865" s="18"/>
      <c r="F865" s="18"/>
      <c r="G865" s="18"/>
    </row>
    <row r="866" spans="1:7" ht="13.8">
      <c r="A866" s="72"/>
      <c r="B866" s="18"/>
      <c r="C866" s="18"/>
      <c r="D866" s="18"/>
      <c r="E866" s="18"/>
      <c r="F866" s="18"/>
      <c r="G866" s="18"/>
    </row>
    <row r="867" spans="1:7" ht="13.8">
      <c r="A867" s="72"/>
      <c r="B867" s="18"/>
      <c r="C867" s="18"/>
      <c r="D867" s="18"/>
      <c r="E867" s="18"/>
      <c r="F867" s="18"/>
      <c r="G867" s="18"/>
    </row>
    <row r="868" spans="1:7" ht="13.8">
      <c r="A868" s="72"/>
      <c r="B868" s="18"/>
      <c r="C868" s="18"/>
      <c r="D868" s="18"/>
      <c r="E868" s="18"/>
      <c r="F868" s="18"/>
      <c r="G868" s="18"/>
    </row>
    <row r="869" spans="1:7" ht="13.8">
      <c r="A869" s="72"/>
      <c r="B869" s="18"/>
      <c r="C869" s="18"/>
      <c r="D869" s="18"/>
      <c r="E869" s="18"/>
      <c r="F869" s="18"/>
      <c r="G869" s="18"/>
    </row>
    <row r="870" spans="1:7" ht="13.8">
      <c r="A870" s="72"/>
      <c r="B870" s="18"/>
      <c r="C870" s="18"/>
      <c r="D870" s="18"/>
      <c r="E870" s="18"/>
      <c r="F870" s="18"/>
      <c r="G870" s="18"/>
    </row>
    <row r="871" spans="1:7" ht="13.8">
      <c r="A871" s="72"/>
      <c r="B871" s="18"/>
      <c r="C871" s="18"/>
      <c r="D871" s="18"/>
      <c r="E871" s="18"/>
      <c r="F871" s="18"/>
      <c r="G871" s="18"/>
    </row>
    <row r="872" spans="1:7" ht="13.8">
      <c r="A872" s="72"/>
      <c r="B872" s="18"/>
      <c r="C872" s="18"/>
      <c r="D872" s="18"/>
      <c r="E872" s="18"/>
      <c r="F872" s="18"/>
      <c r="G872" s="18"/>
    </row>
    <row r="873" spans="1:7" ht="13.8">
      <c r="A873" s="72"/>
      <c r="B873" s="18"/>
      <c r="C873" s="18"/>
      <c r="D873" s="18"/>
      <c r="E873" s="18"/>
      <c r="F873" s="18"/>
      <c r="G873" s="18"/>
    </row>
    <row r="874" spans="1:7" ht="13.8">
      <c r="A874" s="72"/>
      <c r="B874" s="18"/>
      <c r="C874" s="18"/>
      <c r="D874" s="18"/>
      <c r="E874" s="18"/>
      <c r="F874" s="18"/>
      <c r="G874" s="18"/>
    </row>
    <row r="875" spans="1:7" ht="13.8">
      <c r="A875" s="72"/>
      <c r="B875" s="18"/>
      <c r="C875" s="18"/>
      <c r="D875" s="18"/>
      <c r="E875" s="18"/>
      <c r="F875" s="18"/>
      <c r="G875" s="18"/>
    </row>
    <row r="876" spans="1:7" ht="13.8">
      <c r="A876" s="72"/>
      <c r="B876" s="18"/>
      <c r="C876" s="18"/>
      <c r="D876" s="18"/>
      <c r="E876" s="18"/>
      <c r="F876" s="18"/>
      <c r="G876" s="18"/>
    </row>
    <row r="877" spans="1:7" ht="13.8">
      <c r="A877" s="72"/>
      <c r="B877" s="18"/>
      <c r="C877" s="18"/>
      <c r="D877" s="18"/>
      <c r="E877" s="18"/>
      <c r="F877" s="18"/>
      <c r="G877" s="18"/>
    </row>
    <row r="878" spans="1:7" ht="13.8">
      <c r="A878" s="72"/>
      <c r="B878" s="18"/>
      <c r="C878" s="18"/>
      <c r="D878" s="18"/>
      <c r="E878" s="18"/>
      <c r="F878" s="18"/>
      <c r="G878" s="18"/>
    </row>
    <row r="879" spans="1:7" ht="13.8">
      <c r="A879" s="72"/>
      <c r="B879" s="18"/>
      <c r="C879" s="18"/>
      <c r="D879" s="18"/>
      <c r="E879" s="18"/>
      <c r="F879" s="18"/>
      <c r="G879" s="18"/>
    </row>
    <row r="880" spans="1:7" ht="13.8">
      <c r="A880" s="72"/>
      <c r="B880" s="18"/>
      <c r="C880" s="18"/>
      <c r="D880" s="18"/>
      <c r="E880" s="18"/>
      <c r="F880" s="18"/>
      <c r="G880" s="18"/>
    </row>
    <row r="881" spans="1:7" ht="13.8">
      <c r="A881" s="72"/>
      <c r="B881" s="18"/>
      <c r="C881" s="18"/>
      <c r="D881" s="18"/>
      <c r="E881" s="18"/>
      <c r="F881" s="18"/>
      <c r="G881" s="18"/>
    </row>
    <row r="882" spans="1:7" ht="13.8">
      <c r="A882" s="72"/>
      <c r="B882" s="18"/>
      <c r="C882" s="18"/>
      <c r="D882" s="18"/>
      <c r="E882" s="18"/>
      <c r="F882" s="18"/>
      <c r="G882" s="18"/>
    </row>
    <row r="883" spans="1:7" ht="13.8">
      <c r="A883" s="72"/>
      <c r="B883" s="18"/>
      <c r="C883" s="18"/>
      <c r="D883" s="18"/>
      <c r="E883" s="18"/>
      <c r="F883" s="18"/>
      <c r="G883" s="18"/>
    </row>
    <row r="884" spans="1:7" ht="13.8">
      <c r="A884" s="72"/>
      <c r="B884" s="18"/>
      <c r="C884" s="18"/>
      <c r="D884" s="18"/>
      <c r="E884" s="18"/>
      <c r="F884" s="18"/>
      <c r="G884" s="18"/>
    </row>
    <row r="885" spans="1:7" ht="13.8">
      <c r="A885" s="72"/>
      <c r="B885" s="18"/>
      <c r="C885" s="18"/>
      <c r="D885" s="18"/>
      <c r="E885" s="18"/>
      <c r="F885" s="18"/>
      <c r="G885" s="18"/>
    </row>
    <row r="886" spans="1:7" ht="13.8">
      <c r="A886" s="72"/>
      <c r="B886" s="18"/>
      <c r="C886" s="18"/>
      <c r="D886" s="18"/>
      <c r="E886" s="18"/>
      <c r="F886" s="18"/>
      <c r="G886" s="18"/>
    </row>
    <row r="887" spans="1:7" ht="13.8">
      <c r="A887" s="72"/>
      <c r="B887" s="18"/>
      <c r="C887" s="18"/>
      <c r="D887" s="18"/>
      <c r="E887" s="18"/>
      <c r="F887" s="18"/>
      <c r="G887" s="18"/>
    </row>
    <row r="888" spans="1:7" ht="13.8">
      <c r="A888" s="72"/>
      <c r="B888" s="18"/>
      <c r="C888" s="18"/>
      <c r="D888" s="18"/>
      <c r="E888" s="18"/>
      <c r="F888" s="18"/>
      <c r="G888" s="18"/>
    </row>
    <row r="889" spans="1:7" ht="13.8">
      <c r="A889" s="72"/>
      <c r="B889" s="18"/>
      <c r="C889" s="18"/>
      <c r="D889" s="18"/>
      <c r="E889" s="18"/>
      <c r="F889" s="18"/>
      <c r="G889" s="18"/>
    </row>
    <row r="890" spans="1:7" ht="13.8">
      <c r="A890" s="72"/>
      <c r="B890" s="18"/>
      <c r="C890" s="18"/>
      <c r="D890" s="18"/>
      <c r="E890" s="18"/>
      <c r="F890" s="18"/>
      <c r="G890" s="18"/>
    </row>
    <row r="891" spans="1:7" ht="13.8">
      <c r="A891" s="72"/>
      <c r="B891" s="18"/>
      <c r="C891" s="18"/>
      <c r="D891" s="18"/>
      <c r="E891" s="18"/>
      <c r="F891" s="18"/>
      <c r="G891" s="18"/>
    </row>
    <row r="892" spans="1:7" ht="13.8">
      <c r="A892" s="72"/>
      <c r="B892" s="18"/>
      <c r="C892" s="18"/>
      <c r="D892" s="18"/>
      <c r="E892" s="18"/>
      <c r="F892" s="18"/>
      <c r="G892" s="18"/>
    </row>
    <row r="893" spans="1:7" ht="13.8">
      <c r="A893" s="72"/>
      <c r="B893" s="18"/>
      <c r="C893" s="18"/>
      <c r="D893" s="18"/>
      <c r="E893" s="18"/>
      <c r="F893" s="18"/>
      <c r="G893" s="18"/>
    </row>
    <row r="894" spans="1:7" ht="13.8">
      <c r="A894" s="72"/>
      <c r="B894" s="18"/>
      <c r="C894" s="18"/>
      <c r="D894" s="18"/>
      <c r="E894" s="18"/>
      <c r="F894" s="18"/>
      <c r="G894" s="18"/>
    </row>
    <row r="895" spans="1:7" ht="13.8">
      <c r="A895" s="72"/>
      <c r="B895" s="18"/>
      <c r="C895" s="18"/>
      <c r="D895" s="18"/>
      <c r="E895" s="18"/>
      <c r="F895" s="18"/>
      <c r="G895" s="18"/>
    </row>
    <row r="896" spans="1:7" ht="13.8">
      <c r="A896" s="72"/>
      <c r="B896" s="18"/>
      <c r="C896" s="18"/>
      <c r="D896" s="18"/>
      <c r="E896" s="18"/>
      <c r="F896" s="18"/>
      <c r="G896" s="18"/>
    </row>
    <row r="897" spans="1:7" ht="13.8">
      <c r="A897" s="72"/>
      <c r="B897" s="18"/>
      <c r="C897" s="18"/>
      <c r="D897" s="18"/>
      <c r="E897" s="18"/>
      <c r="F897" s="18"/>
      <c r="G897" s="18"/>
    </row>
    <row r="898" spans="1:7" ht="13.8">
      <c r="A898" s="72"/>
      <c r="B898" s="18"/>
      <c r="C898" s="18"/>
      <c r="D898" s="18"/>
      <c r="E898" s="18"/>
      <c r="F898" s="18"/>
      <c r="G898" s="18"/>
    </row>
    <row r="899" spans="1:7" ht="13.8">
      <c r="A899" s="72"/>
      <c r="B899" s="18"/>
      <c r="C899" s="18"/>
      <c r="D899" s="18"/>
      <c r="E899" s="18"/>
      <c r="F899" s="18"/>
      <c r="G899" s="18"/>
    </row>
    <row r="900" spans="1:7" ht="13.8">
      <c r="A900" s="72"/>
      <c r="B900" s="18"/>
      <c r="C900" s="18"/>
      <c r="D900" s="18"/>
      <c r="E900" s="18"/>
      <c r="F900" s="18"/>
      <c r="G900" s="18"/>
    </row>
    <row r="901" spans="1:7" ht="13.8">
      <c r="A901" s="72"/>
      <c r="B901" s="18"/>
      <c r="C901" s="18"/>
      <c r="D901" s="18"/>
      <c r="E901" s="18"/>
      <c r="F901" s="18"/>
      <c r="G901" s="18"/>
    </row>
    <row r="902" spans="1:7" ht="13.8">
      <c r="A902" s="72"/>
      <c r="B902" s="18"/>
      <c r="C902" s="18"/>
      <c r="D902" s="18"/>
      <c r="E902" s="18"/>
      <c r="F902" s="18"/>
      <c r="G902" s="18"/>
    </row>
    <row r="903" spans="1:7" ht="13.8">
      <c r="A903" s="72"/>
      <c r="B903" s="18"/>
      <c r="C903" s="18"/>
      <c r="D903" s="18"/>
      <c r="E903" s="18"/>
      <c r="F903" s="18"/>
      <c r="G903" s="18"/>
    </row>
    <row r="904" spans="1:7" ht="13.8">
      <c r="A904" s="72"/>
      <c r="B904" s="18"/>
      <c r="C904" s="18"/>
      <c r="D904" s="18"/>
      <c r="E904" s="18"/>
      <c r="F904" s="18"/>
      <c r="G904" s="18"/>
    </row>
    <row r="905" spans="1:7" ht="13.8">
      <c r="A905" s="72"/>
      <c r="B905" s="18"/>
      <c r="C905" s="18"/>
      <c r="D905" s="18"/>
      <c r="E905" s="18"/>
      <c r="F905" s="18"/>
      <c r="G905" s="18"/>
    </row>
    <row r="906" spans="1:7" ht="13.8">
      <c r="A906" s="72"/>
      <c r="B906" s="18"/>
      <c r="C906" s="18"/>
      <c r="D906" s="18"/>
      <c r="E906" s="18"/>
      <c r="F906" s="18"/>
      <c r="G906" s="18"/>
    </row>
    <row r="907" spans="1:7" ht="13.8">
      <c r="A907" s="72"/>
      <c r="B907" s="18"/>
      <c r="C907" s="18"/>
      <c r="D907" s="18"/>
      <c r="E907" s="18"/>
      <c r="F907" s="18"/>
      <c r="G907" s="18"/>
    </row>
    <row r="908" spans="1:7" ht="13.8">
      <c r="A908" s="72"/>
      <c r="B908" s="18"/>
      <c r="C908" s="18"/>
      <c r="D908" s="18"/>
      <c r="E908" s="18"/>
      <c r="F908" s="18"/>
      <c r="G908" s="18"/>
    </row>
    <row r="909" spans="1:7" ht="13.8">
      <c r="A909" s="72"/>
      <c r="B909" s="18"/>
      <c r="C909" s="18"/>
      <c r="D909" s="18"/>
      <c r="E909" s="18"/>
      <c r="F909" s="18"/>
      <c r="G909" s="18"/>
    </row>
    <row r="910" spans="1:7" ht="13.8">
      <c r="A910" s="72"/>
      <c r="B910" s="18"/>
      <c r="C910" s="18"/>
      <c r="D910" s="18"/>
      <c r="E910" s="18"/>
      <c r="F910" s="18"/>
      <c r="G910" s="18"/>
    </row>
    <row r="911" spans="1:7" ht="13.8">
      <c r="A911" s="72"/>
      <c r="B911" s="18"/>
      <c r="C911" s="18"/>
      <c r="D911" s="18"/>
      <c r="E911" s="18"/>
      <c r="F911" s="18"/>
      <c r="G911" s="18"/>
    </row>
    <row r="912" spans="1:7" ht="13.8">
      <c r="A912" s="72"/>
      <c r="B912" s="18"/>
      <c r="C912" s="18"/>
      <c r="D912" s="18"/>
      <c r="E912" s="18"/>
      <c r="F912" s="18"/>
      <c r="G912" s="18"/>
    </row>
    <row r="913" spans="1:7" ht="13.8">
      <c r="A913" s="72"/>
      <c r="B913" s="18"/>
      <c r="C913" s="18"/>
      <c r="D913" s="18"/>
      <c r="E913" s="18"/>
      <c r="F913" s="18"/>
      <c r="G913" s="18"/>
    </row>
    <row r="914" spans="1:7" ht="13.8">
      <c r="A914" s="72"/>
      <c r="B914" s="18"/>
      <c r="C914" s="18"/>
      <c r="D914" s="18"/>
      <c r="E914" s="18"/>
      <c r="F914" s="18"/>
      <c r="G914" s="18"/>
    </row>
    <row r="915" spans="1:7" ht="13.8">
      <c r="A915" s="72"/>
      <c r="B915" s="18"/>
      <c r="C915" s="18"/>
      <c r="D915" s="18"/>
      <c r="E915" s="18"/>
      <c r="F915" s="18"/>
      <c r="G915" s="18"/>
    </row>
    <row r="916" spans="1:7" ht="13.8">
      <c r="A916" s="72"/>
      <c r="B916" s="18"/>
      <c r="C916" s="18"/>
      <c r="D916" s="18"/>
      <c r="E916" s="18"/>
      <c r="F916" s="18"/>
      <c r="G916" s="18"/>
    </row>
    <row r="917" spans="1:7" ht="13.8">
      <c r="A917" s="72"/>
      <c r="B917" s="18"/>
      <c r="C917" s="18"/>
      <c r="D917" s="18"/>
      <c r="E917" s="18"/>
      <c r="F917" s="18"/>
      <c r="G917" s="18"/>
    </row>
    <row r="918" spans="1:7" ht="13.8">
      <c r="A918" s="72"/>
      <c r="B918" s="18"/>
      <c r="C918" s="18"/>
      <c r="D918" s="18"/>
      <c r="E918" s="18"/>
      <c r="F918" s="18"/>
      <c r="G918" s="18"/>
    </row>
    <row r="919" spans="1:7" ht="13.8">
      <c r="A919" s="72"/>
      <c r="B919" s="18"/>
      <c r="C919" s="18"/>
      <c r="D919" s="18"/>
      <c r="E919" s="18"/>
      <c r="F919" s="18"/>
      <c r="G919" s="18"/>
    </row>
    <row r="920" spans="1:7" ht="13.8">
      <c r="A920" s="72"/>
      <c r="B920" s="18"/>
      <c r="C920" s="18"/>
      <c r="D920" s="18"/>
      <c r="E920" s="18"/>
      <c r="F920" s="18"/>
      <c r="G920" s="18"/>
    </row>
    <row r="921" spans="1:7" ht="13.8">
      <c r="A921" s="72"/>
      <c r="B921" s="18"/>
      <c r="C921" s="18"/>
      <c r="D921" s="18"/>
      <c r="E921" s="18"/>
      <c r="F921" s="18"/>
      <c r="G921" s="18"/>
    </row>
    <row r="922" spans="1:7" ht="13.8">
      <c r="A922" s="72"/>
      <c r="B922" s="18"/>
      <c r="C922" s="18"/>
      <c r="D922" s="18"/>
      <c r="E922" s="18"/>
      <c r="F922" s="18"/>
      <c r="G922" s="18"/>
    </row>
    <row r="923" spans="1:7" ht="13.8">
      <c r="A923" s="72"/>
      <c r="B923" s="18"/>
      <c r="C923" s="18"/>
      <c r="D923" s="18"/>
      <c r="E923" s="18"/>
      <c r="F923" s="18"/>
      <c r="G923" s="18"/>
    </row>
    <row r="924" spans="1:7" ht="13.8">
      <c r="A924" s="72"/>
      <c r="B924" s="18"/>
      <c r="C924" s="18"/>
      <c r="D924" s="18"/>
      <c r="E924" s="18"/>
      <c r="F924" s="18"/>
      <c r="G924" s="18"/>
    </row>
    <row r="925" spans="1:7" ht="13.8">
      <c r="A925" s="72"/>
      <c r="B925" s="18"/>
      <c r="C925" s="18"/>
      <c r="D925" s="18"/>
      <c r="E925" s="18"/>
      <c r="F925" s="18"/>
      <c r="G925" s="18"/>
    </row>
    <row r="926" spans="1:7" ht="13.8">
      <c r="A926" s="72"/>
      <c r="B926" s="18"/>
      <c r="C926" s="18"/>
      <c r="D926" s="18"/>
      <c r="E926" s="18"/>
      <c r="F926" s="18"/>
      <c r="G926" s="18"/>
    </row>
    <row r="927" spans="1:7" ht="13.8">
      <c r="A927" s="72"/>
      <c r="B927" s="18"/>
      <c r="C927" s="18"/>
      <c r="D927" s="18"/>
      <c r="E927" s="18"/>
      <c r="F927" s="18"/>
      <c r="G927" s="18"/>
    </row>
    <row r="928" spans="1:7" ht="13.8">
      <c r="A928" s="72"/>
      <c r="B928" s="18"/>
      <c r="C928" s="18"/>
      <c r="D928" s="18"/>
      <c r="E928" s="18"/>
      <c r="F928" s="18"/>
      <c r="G928" s="18"/>
    </row>
    <row r="929" spans="1:7" ht="13.8">
      <c r="A929" s="72"/>
      <c r="B929" s="18"/>
      <c r="C929" s="18"/>
      <c r="D929" s="18"/>
      <c r="E929" s="18"/>
      <c r="F929" s="18"/>
      <c r="G929" s="18"/>
    </row>
    <row r="930" spans="1:7" ht="13.8">
      <c r="A930" s="72"/>
      <c r="B930" s="18"/>
      <c r="C930" s="18"/>
      <c r="D930" s="18"/>
      <c r="E930" s="18"/>
      <c r="F930" s="18"/>
      <c r="G930" s="18"/>
    </row>
    <row r="931" spans="1:7" ht="13.8">
      <c r="A931" s="72"/>
      <c r="B931" s="18"/>
      <c r="C931" s="18"/>
      <c r="D931" s="18"/>
      <c r="E931" s="18"/>
      <c r="F931" s="18"/>
      <c r="G931" s="18"/>
    </row>
    <row r="932" spans="1:7" ht="13.8">
      <c r="A932" s="72"/>
      <c r="B932" s="18"/>
      <c r="C932" s="18"/>
      <c r="D932" s="18"/>
      <c r="E932" s="18"/>
      <c r="F932" s="18"/>
      <c r="G932" s="18"/>
    </row>
    <row r="933" spans="1:7" ht="13.8">
      <c r="A933" s="72"/>
      <c r="B933" s="18"/>
      <c r="C933" s="18"/>
      <c r="D933" s="18"/>
      <c r="E933" s="18"/>
      <c r="F933" s="18"/>
      <c r="G933" s="18"/>
    </row>
    <row r="934" spans="1:7" ht="13.8">
      <c r="A934" s="72"/>
      <c r="B934" s="18"/>
      <c r="C934" s="18"/>
      <c r="D934" s="18"/>
      <c r="E934" s="18"/>
      <c r="F934" s="18"/>
      <c r="G934" s="18"/>
    </row>
    <row r="935" spans="1:7" ht="13.8">
      <c r="A935" s="72"/>
      <c r="B935" s="18"/>
      <c r="C935" s="18"/>
      <c r="D935" s="18"/>
      <c r="E935" s="18"/>
      <c r="F935" s="18"/>
      <c r="G935" s="18"/>
    </row>
    <row r="936" spans="1:7" ht="13.8">
      <c r="A936" s="72"/>
      <c r="B936" s="18"/>
      <c r="C936" s="18"/>
      <c r="D936" s="18"/>
      <c r="E936" s="18"/>
      <c r="F936" s="18"/>
      <c r="G936" s="18"/>
    </row>
    <row r="937" spans="1:7" ht="13.8">
      <c r="A937" s="72"/>
      <c r="B937" s="18"/>
      <c r="C937" s="18"/>
      <c r="D937" s="18"/>
      <c r="E937" s="18"/>
      <c r="F937" s="18"/>
      <c r="G937" s="18"/>
    </row>
    <row r="938" spans="1:7" ht="13.8">
      <c r="A938" s="72"/>
      <c r="B938" s="18"/>
      <c r="C938" s="18"/>
      <c r="D938" s="18"/>
      <c r="E938" s="18"/>
      <c r="F938" s="18"/>
      <c r="G938" s="18"/>
    </row>
    <row r="939" spans="1:7" ht="13.8">
      <c r="A939" s="72"/>
      <c r="B939" s="18"/>
      <c r="C939" s="18"/>
      <c r="D939" s="18"/>
      <c r="E939" s="18"/>
      <c r="F939" s="18"/>
      <c r="G939" s="18"/>
    </row>
    <row r="940" spans="1:7" ht="13.8">
      <c r="A940" s="72"/>
      <c r="B940" s="18"/>
      <c r="C940" s="18"/>
      <c r="D940" s="18"/>
      <c r="E940" s="18"/>
      <c r="F940" s="18"/>
      <c r="G940" s="18"/>
    </row>
    <row r="941" spans="1:7" ht="13.8">
      <c r="A941" s="72"/>
      <c r="B941" s="18"/>
      <c r="C941" s="18"/>
      <c r="D941" s="18"/>
      <c r="E941" s="18"/>
      <c r="F941" s="18"/>
      <c r="G941" s="18"/>
    </row>
    <row r="942" spans="1:7" ht="13.8">
      <c r="A942" s="72"/>
      <c r="B942" s="18"/>
      <c r="C942" s="18"/>
      <c r="D942" s="18"/>
      <c r="E942" s="18"/>
      <c r="F942" s="18"/>
      <c r="G942" s="18"/>
    </row>
    <row r="943" spans="1:7" ht="13.8">
      <c r="A943" s="72"/>
      <c r="B943" s="18"/>
      <c r="C943" s="18"/>
      <c r="D943" s="18"/>
      <c r="E943" s="18"/>
      <c r="F943" s="18"/>
      <c r="G943" s="18"/>
    </row>
    <row r="944" spans="1:7" ht="13.8">
      <c r="A944" s="72"/>
      <c r="B944" s="18"/>
      <c r="C944" s="18"/>
      <c r="D944" s="18"/>
      <c r="E944" s="18"/>
      <c r="F944" s="18"/>
      <c r="G944" s="18"/>
    </row>
    <row r="945" spans="1:7" ht="13.8">
      <c r="A945" s="72"/>
      <c r="B945" s="18"/>
      <c r="C945" s="18"/>
      <c r="D945" s="18"/>
      <c r="E945" s="18"/>
      <c r="F945" s="18"/>
      <c r="G945" s="18"/>
    </row>
    <row r="946" spans="1:7" ht="13.8">
      <c r="A946" s="72"/>
      <c r="B946" s="18"/>
      <c r="C946" s="18"/>
      <c r="D946" s="18"/>
      <c r="E946" s="18"/>
      <c r="F946" s="18"/>
      <c r="G946" s="18"/>
    </row>
    <row r="947" spans="1:7" ht="13.8">
      <c r="A947" s="72"/>
      <c r="B947" s="18"/>
      <c r="C947" s="18"/>
      <c r="D947" s="18"/>
      <c r="E947" s="18"/>
      <c r="F947" s="18"/>
      <c r="G947" s="18"/>
    </row>
    <row r="948" spans="1:7" ht="13.8">
      <c r="A948" s="72"/>
      <c r="B948" s="18"/>
      <c r="C948" s="18"/>
      <c r="D948" s="18"/>
      <c r="E948" s="18"/>
      <c r="F948" s="18"/>
      <c r="G948" s="18"/>
    </row>
    <row r="949" spans="1:7" ht="13.8">
      <c r="A949" s="72"/>
      <c r="B949" s="18"/>
      <c r="C949" s="18"/>
      <c r="D949" s="18"/>
      <c r="E949" s="18"/>
      <c r="F949" s="18"/>
      <c r="G949" s="18"/>
    </row>
    <row r="950" spans="1:7" ht="13.8">
      <c r="A950" s="72"/>
      <c r="B950" s="18"/>
      <c r="C950" s="18"/>
      <c r="D950" s="18"/>
      <c r="E950" s="18"/>
      <c r="F950" s="18"/>
      <c r="G950" s="18"/>
    </row>
    <row r="951" spans="1:7" ht="13.8">
      <c r="A951" s="72"/>
      <c r="B951" s="18"/>
      <c r="C951" s="18"/>
      <c r="D951" s="18"/>
      <c r="E951" s="18"/>
      <c r="F951" s="18"/>
      <c r="G951" s="18"/>
    </row>
    <row r="952" spans="1:7" ht="13.8">
      <c r="A952" s="72"/>
      <c r="B952" s="18"/>
      <c r="C952" s="18"/>
      <c r="D952" s="18"/>
      <c r="E952" s="18"/>
      <c r="F952" s="18"/>
      <c r="G952" s="18"/>
    </row>
    <row r="953" spans="1:7" ht="13.8">
      <c r="A953" s="72"/>
      <c r="B953" s="18"/>
      <c r="C953" s="18"/>
      <c r="D953" s="18"/>
      <c r="E953" s="18"/>
      <c r="F953" s="18"/>
      <c r="G953" s="18"/>
    </row>
    <row r="954" spans="1:7" ht="13.8">
      <c r="A954" s="72"/>
      <c r="B954" s="18"/>
      <c r="C954" s="18"/>
      <c r="D954" s="18"/>
      <c r="E954" s="18"/>
      <c r="F954" s="18"/>
      <c r="G954" s="18"/>
    </row>
    <row r="955" spans="1:7" ht="13.8">
      <c r="A955" s="72"/>
      <c r="B955" s="18"/>
      <c r="C955" s="18"/>
      <c r="D955" s="18"/>
      <c r="E955" s="18"/>
      <c r="F955" s="18"/>
      <c r="G955" s="18"/>
    </row>
    <row r="956" spans="1:7" ht="13.8">
      <c r="A956" s="72"/>
      <c r="B956" s="18"/>
      <c r="C956" s="18"/>
      <c r="D956" s="18"/>
      <c r="E956" s="18"/>
      <c r="F956" s="18"/>
      <c r="G956" s="18"/>
    </row>
    <row r="957" spans="1:7" ht="13.8">
      <c r="A957" s="72"/>
      <c r="B957" s="18"/>
      <c r="C957" s="18"/>
      <c r="D957" s="18"/>
      <c r="E957" s="18"/>
      <c r="F957" s="18"/>
      <c r="G957" s="18"/>
    </row>
    <row r="958" spans="1:7" ht="13.8">
      <c r="A958" s="72"/>
      <c r="B958" s="18"/>
      <c r="C958" s="18"/>
      <c r="D958" s="18"/>
      <c r="E958" s="18"/>
      <c r="F958" s="18"/>
      <c r="G958" s="18"/>
    </row>
    <row r="959" spans="1:7" ht="13.8">
      <c r="A959" s="72"/>
      <c r="B959" s="18"/>
      <c r="C959" s="18"/>
      <c r="D959" s="18"/>
      <c r="E959" s="18"/>
      <c r="F959" s="18"/>
      <c r="G959" s="18"/>
    </row>
    <row r="960" spans="1:7" ht="13.8">
      <c r="A960" s="72"/>
      <c r="B960" s="18"/>
      <c r="C960" s="18"/>
      <c r="D960" s="18"/>
      <c r="E960" s="18"/>
      <c r="F960" s="18"/>
      <c r="G960" s="18"/>
    </row>
    <row r="961" spans="1:7" ht="13.8">
      <c r="A961" s="72"/>
      <c r="B961" s="18"/>
      <c r="C961" s="18"/>
      <c r="D961" s="18"/>
      <c r="E961" s="18"/>
      <c r="F961" s="18"/>
      <c r="G961" s="18"/>
    </row>
    <row r="962" spans="1:7" ht="13.8">
      <c r="A962" s="72"/>
      <c r="B962" s="18"/>
      <c r="C962" s="18"/>
      <c r="D962" s="18"/>
      <c r="E962" s="18"/>
      <c r="F962" s="18"/>
      <c r="G962" s="18"/>
    </row>
    <row r="963" spans="1:7" ht="13.8">
      <c r="A963" s="72"/>
      <c r="B963" s="18"/>
      <c r="C963" s="18"/>
      <c r="D963" s="18"/>
      <c r="E963" s="18"/>
      <c r="F963" s="18"/>
      <c r="G963" s="18"/>
    </row>
    <row r="964" spans="1:7" ht="13.8">
      <c r="A964" s="72"/>
      <c r="B964" s="18"/>
      <c r="C964" s="18"/>
      <c r="D964" s="18"/>
      <c r="E964" s="18"/>
      <c r="F964" s="18"/>
      <c r="G964" s="18"/>
    </row>
    <row r="965" spans="1:7" ht="13.8">
      <c r="A965" s="72"/>
      <c r="B965" s="18"/>
      <c r="C965" s="18"/>
      <c r="D965" s="18"/>
      <c r="E965" s="18"/>
      <c r="F965" s="18"/>
      <c r="G965" s="18"/>
    </row>
    <row r="966" spans="1:7" ht="13.8">
      <c r="A966" s="72"/>
      <c r="B966" s="18"/>
      <c r="C966" s="18"/>
      <c r="D966" s="18"/>
      <c r="E966" s="18"/>
      <c r="F966" s="18"/>
      <c r="G966" s="18"/>
    </row>
    <row r="967" spans="1:7" ht="13.8">
      <c r="A967" s="72"/>
      <c r="B967" s="18"/>
      <c r="C967" s="18"/>
      <c r="D967" s="18"/>
      <c r="E967" s="18"/>
      <c r="F967" s="18"/>
      <c r="G967" s="18"/>
    </row>
    <row r="968" spans="1:7" ht="13.8">
      <c r="A968" s="72"/>
      <c r="B968" s="18"/>
      <c r="C968" s="18"/>
      <c r="D968" s="18"/>
      <c r="E968" s="18"/>
      <c r="F968" s="18"/>
      <c r="G968" s="18"/>
    </row>
    <row r="969" spans="1:7" ht="13.8">
      <c r="A969" s="72"/>
      <c r="B969" s="18"/>
      <c r="C969" s="18"/>
      <c r="D969" s="18"/>
      <c r="E969" s="18"/>
      <c r="F969" s="18"/>
      <c r="G969" s="18"/>
    </row>
    <row r="970" spans="1:7" ht="13.8">
      <c r="A970" s="72"/>
      <c r="B970" s="18"/>
      <c r="C970" s="18"/>
      <c r="D970" s="18"/>
      <c r="E970" s="18"/>
      <c r="F970" s="18"/>
      <c r="G970" s="18"/>
    </row>
    <row r="971" spans="1:7" ht="13.8">
      <c r="A971" s="72"/>
      <c r="B971" s="18"/>
      <c r="C971" s="18"/>
      <c r="D971" s="18"/>
      <c r="E971" s="18"/>
      <c r="F971" s="18"/>
      <c r="G971" s="18"/>
    </row>
    <row r="972" spans="1:7" ht="13.8">
      <c r="A972" s="72"/>
      <c r="B972" s="18"/>
      <c r="C972" s="18"/>
      <c r="D972" s="18"/>
      <c r="E972" s="18"/>
      <c r="F972" s="18"/>
      <c r="G972" s="18"/>
    </row>
    <row r="973" spans="1:7" ht="13.8">
      <c r="A973" s="72"/>
      <c r="B973" s="18"/>
      <c r="C973" s="18"/>
      <c r="D973" s="18"/>
      <c r="E973" s="18"/>
      <c r="F973" s="18"/>
      <c r="G973" s="18"/>
    </row>
    <row r="974" spans="1:7" ht="13.8">
      <c r="A974" s="72"/>
      <c r="B974" s="18"/>
      <c r="C974" s="18"/>
      <c r="D974" s="18"/>
      <c r="E974" s="18"/>
      <c r="F974" s="18"/>
      <c r="G974" s="18"/>
    </row>
    <row r="975" spans="1:7" ht="13.8">
      <c r="A975" s="72"/>
      <c r="B975" s="18"/>
      <c r="C975" s="18"/>
      <c r="D975" s="18"/>
      <c r="E975" s="18"/>
      <c r="F975" s="18"/>
      <c r="G975" s="18"/>
    </row>
    <row r="976" spans="1:7" ht="13.8">
      <c r="A976" s="72"/>
      <c r="B976" s="18"/>
      <c r="C976" s="18"/>
      <c r="D976" s="18"/>
      <c r="E976" s="18"/>
      <c r="F976" s="18"/>
      <c r="G976" s="18"/>
    </row>
    <row r="977" spans="1:7" ht="13.8">
      <c r="A977" s="72"/>
      <c r="B977" s="18"/>
      <c r="C977" s="18"/>
      <c r="D977" s="18"/>
      <c r="E977" s="18"/>
      <c r="F977" s="18"/>
      <c r="G977" s="18"/>
    </row>
    <row r="978" spans="1:7" ht="13.8">
      <c r="A978" s="72"/>
      <c r="B978" s="18"/>
      <c r="C978" s="18"/>
      <c r="D978" s="18"/>
      <c r="E978" s="18"/>
      <c r="F978" s="18"/>
      <c r="G978" s="18"/>
    </row>
    <row r="979" spans="1:7" ht="13.8">
      <c r="A979" s="72"/>
      <c r="B979" s="18"/>
      <c r="C979" s="18"/>
      <c r="D979" s="18"/>
      <c r="E979" s="18"/>
      <c r="F979" s="18"/>
      <c r="G979" s="18"/>
    </row>
    <row r="980" spans="1:7" ht="13.8">
      <c r="A980" s="72"/>
      <c r="B980" s="18"/>
      <c r="C980" s="18"/>
      <c r="D980" s="18"/>
      <c r="E980" s="18"/>
      <c r="F980" s="18"/>
      <c r="G980" s="18"/>
    </row>
    <row r="981" spans="1:7" ht="13.8">
      <c r="A981" s="72"/>
      <c r="B981" s="18"/>
      <c r="C981" s="18"/>
      <c r="D981" s="18"/>
      <c r="E981" s="18"/>
      <c r="F981" s="18"/>
      <c r="G981" s="18"/>
    </row>
    <row r="982" spans="1:7" ht="13.8">
      <c r="A982" s="72"/>
      <c r="B982" s="18"/>
      <c r="C982" s="18"/>
      <c r="D982" s="18"/>
      <c r="E982" s="18"/>
      <c r="F982" s="18"/>
      <c r="G982" s="18"/>
    </row>
    <row r="983" spans="1:7" ht="13.8">
      <c r="A983" s="72"/>
      <c r="B983" s="18"/>
      <c r="C983" s="18"/>
      <c r="D983" s="18"/>
      <c r="E983" s="18"/>
      <c r="F983" s="18"/>
      <c r="G983" s="18"/>
    </row>
    <row r="984" spans="1:7" ht="13.8">
      <c r="A984" s="72"/>
      <c r="B984" s="18"/>
      <c r="C984" s="18"/>
      <c r="D984" s="18"/>
      <c r="E984" s="18"/>
      <c r="F984" s="18"/>
      <c r="G984" s="18"/>
    </row>
    <row r="985" spans="1:7" ht="13.8">
      <c r="A985" s="72"/>
      <c r="B985" s="18"/>
      <c r="C985" s="18"/>
      <c r="D985" s="18"/>
      <c r="E985" s="18"/>
      <c r="F985" s="18"/>
      <c r="G985" s="18"/>
    </row>
    <row r="986" spans="1:7" ht="13.8">
      <c r="A986" s="72"/>
      <c r="B986" s="18"/>
      <c r="C986" s="18"/>
      <c r="D986" s="18"/>
      <c r="E986" s="18"/>
      <c r="F986" s="18"/>
      <c r="G986" s="18"/>
    </row>
    <row r="987" spans="1:7" ht="13.8">
      <c r="A987" s="72"/>
      <c r="B987" s="18"/>
      <c r="C987" s="18"/>
      <c r="D987" s="18"/>
      <c r="E987" s="18"/>
      <c r="F987" s="18"/>
      <c r="G987" s="18"/>
    </row>
    <row r="988" spans="1:7" ht="13.8">
      <c r="A988" s="72"/>
      <c r="B988" s="18"/>
      <c r="C988" s="18"/>
      <c r="D988" s="18"/>
      <c r="E988" s="18"/>
      <c r="F988" s="18"/>
      <c r="G988" s="18"/>
    </row>
    <row r="989" spans="1:7" ht="13.8">
      <c r="A989" s="72"/>
      <c r="B989" s="18"/>
      <c r="C989" s="18"/>
      <c r="D989" s="18"/>
      <c r="E989" s="18"/>
      <c r="F989" s="18"/>
      <c r="G989" s="18"/>
    </row>
    <row r="990" spans="1:7" ht="13.8">
      <c r="A990" s="72"/>
      <c r="B990" s="18"/>
      <c r="C990" s="18"/>
      <c r="D990" s="18"/>
      <c r="E990" s="18"/>
      <c r="F990" s="18"/>
      <c r="G990" s="18"/>
    </row>
  </sheetData>
  <mergeCells count="1">
    <mergeCell ref="A1:F1"/>
  </mergeCells>
  <pageMargins left="0.75" right="0.75" top="0.6" bottom="0.48"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A167-1348-4361-997D-DAE9094250A2}">
  <sheetPr>
    <tabColor theme="4" tint="0.59999389629810485"/>
    <pageSetUpPr fitToPage="1"/>
  </sheetPr>
  <dimension ref="A1:K70"/>
  <sheetViews>
    <sheetView workbookViewId="0"/>
  </sheetViews>
  <sheetFormatPr defaultRowHeight="17.399999999999999" customHeight="1"/>
  <cols>
    <col min="1" max="1" width="38.19921875" bestFit="1" customWidth="1"/>
    <col min="2" max="2" width="11.3984375" bestFit="1" customWidth="1"/>
    <col min="3" max="5" width="10.09765625" bestFit="1" customWidth="1"/>
    <col min="7" max="7" width="43.5" bestFit="1" customWidth="1"/>
    <col min="8" max="9" width="10.8984375" bestFit="1" customWidth="1"/>
    <col min="10" max="11" width="10.09765625" bestFit="1" customWidth="1"/>
  </cols>
  <sheetData>
    <row r="1" spans="1:11" s="59" customFormat="1" ht="17.399999999999999" customHeight="1">
      <c r="A1" s="162" t="s">
        <v>113</v>
      </c>
      <c r="B1" s="162"/>
      <c r="C1" s="162"/>
      <c r="D1" s="162"/>
      <c r="E1" s="162"/>
      <c r="F1" s="162"/>
      <c r="G1" s="162" t="s">
        <v>113</v>
      </c>
      <c r="H1" s="162"/>
      <c r="I1" s="162"/>
      <c r="J1" s="162"/>
      <c r="K1" s="162"/>
    </row>
    <row r="2" spans="1:11" s="59" customFormat="1" ht="17.399999999999999" customHeight="1">
      <c r="A2" s="163"/>
      <c r="B2" s="249" t="s">
        <v>108</v>
      </c>
      <c r="C2" s="249" t="s">
        <v>109</v>
      </c>
      <c r="D2" s="249" t="s">
        <v>110</v>
      </c>
      <c r="E2" s="249" t="s">
        <v>111</v>
      </c>
      <c r="F2" s="162"/>
      <c r="G2" s="163"/>
      <c r="H2" s="249" t="s">
        <v>108</v>
      </c>
      <c r="I2" s="249" t="s">
        <v>109</v>
      </c>
      <c r="J2" s="249" t="s">
        <v>110</v>
      </c>
      <c r="K2" s="249" t="s">
        <v>111</v>
      </c>
    </row>
    <row r="3" spans="1:11" s="59" customFormat="1" ht="17.399999999999999" customHeight="1">
      <c r="A3" s="164" t="s">
        <v>77</v>
      </c>
      <c r="B3" s="249"/>
      <c r="C3" s="249"/>
      <c r="D3" s="249"/>
      <c r="E3" s="249"/>
      <c r="F3" s="162"/>
      <c r="G3" s="164" t="s">
        <v>76</v>
      </c>
      <c r="H3" s="249"/>
      <c r="I3" s="249"/>
      <c r="J3" s="249"/>
      <c r="K3" s="249"/>
    </row>
    <row r="4" spans="1:11" ht="17.399999999999999" customHeight="1">
      <c r="A4" s="77" t="s">
        <v>0</v>
      </c>
      <c r="B4" s="78">
        <v>11313.85</v>
      </c>
      <c r="C4" s="78">
        <v>9871.65</v>
      </c>
      <c r="D4" s="78">
        <v>8634.65</v>
      </c>
      <c r="E4" s="78">
        <v>7547.06</v>
      </c>
      <c r="F4" s="79"/>
      <c r="G4" s="80" t="s">
        <v>67</v>
      </c>
      <c r="H4" s="78">
        <v>1422.91</v>
      </c>
      <c r="I4" s="78">
        <v>1295.45</v>
      </c>
      <c r="J4" s="81">
        <v>899.14</v>
      </c>
      <c r="K4" s="78">
        <v>1076.32</v>
      </c>
    </row>
    <row r="5" spans="1:11" ht="17.399999999999999" customHeight="1">
      <c r="A5" s="77" t="s">
        <v>1</v>
      </c>
      <c r="B5" s="82">
        <v>0.14610000000000001</v>
      </c>
      <c r="C5" s="82">
        <v>0.14330000000000001</v>
      </c>
      <c r="D5" s="82">
        <v>0.14410000000000001</v>
      </c>
      <c r="E5" s="82">
        <v>0.2611</v>
      </c>
      <c r="F5" s="79"/>
      <c r="G5" s="80" t="s">
        <v>99</v>
      </c>
      <c r="H5" s="81">
        <v>211.19</v>
      </c>
      <c r="I5" s="81">
        <v>168.5</v>
      </c>
      <c r="J5" s="81">
        <v>154.62</v>
      </c>
      <c r="K5" s="81">
        <v>193.66</v>
      </c>
    </row>
    <row r="6" spans="1:11" ht="17.399999999999999" customHeight="1">
      <c r="A6" s="77" t="s">
        <v>2</v>
      </c>
      <c r="B6" s="78">
        <v>8296.16</v>
      </c>
      <c r="C6" s="78">
        <v>7285.56</v>
      </c>
      <c r="D6" s="78">
        <v>6572.53</v>
      </c>
      <c r="E6" s="78">
        <v>5840.05</v>
      </c>
      <c r="F6" s="79"/>
      <c r="G6" s="80" t="s">
        <v>66</v>
      </c>
      <c r="H6" s="81">
        <v>48.94</v>
      </c>
      <c r="I6" s="81">
        <v>39.31</v>
      </c>
      <c r="J6" s="81">
        <v>35.67</v>
      </c>
      <c r="K6" s="81">
        <v>32.83</v>
      </c>
    </row>
    <row r="7" spans="1:11" ht="17.399999999999999" customHeight="1">
      <c r="A7" s="77" t="s">
        <v>3</v>
      </c>
      <c r="B7" s="78">
        <v>3017.69</v>
      </c>
      <c r="C7" s="78">
        <v>2586.09</v>
      </c>
      <c r="D7" s="78">
        <v>2062.12</v>
      </c>
      <c r="E7" s="78">
        <v>1707.01</v>
      </c>
      <c r="F7" s="79"/>
      <c r="G7" s="77" t="s">
        <v>65</v>
      </c>
      <c r="H7" s="81" t="s">
        <v>112</v>
      </c>
      <c r="I7" s="81" t="s">
        <v>112</v>
      </c>
      <c r="J7" s="81">
        <v>86</v>
      </c>
      <c r="K7" s="81">
        <v>79</v>
      </c>
    </row>
    <row r="8" spans="1:11" ht="17.399999999999999" customHeight="1">
      <c r="A8" s="77" t="s">
        <v>4</v>
      </c>
      <c r="B8" s="81">
        <v>697.48</v>
      </c>
      <c r="C8" s="81">
        <v>633.58000000000004</v>
      </c>
      <c r="D8" s="81">
        <v>564.19000000000005</v>
      </c>
      <c r="E8" s="81">
        <v>606.85</v>
      </c>
      <c r="F8" s="79"/>
      <c r="G8" s="77" t="s">
        <v>64</v>
      </c>
      <c r="H8" s="78">
        <v>1780.59</v>
      </c>
      <c r="I8" s="78">
        <v>1620.71</v>
      </c>
      <c r="J8" s="78">
        <v>1175.8399999999999</v>
      </c>
      <c r="K8" s="78">
        <v>1381.56</v>
      </c>
    </row>
    <row r="9" spans="1:11" ht="17.399999999999999" customHeight="1">
      <c r="A9" s="77" t="s">
        <v>5</v>
      </c>
      <c r="B9" s="78">
        <v>1916.33</v>
      </c>
      <c r="C9" s="78">
        <v>1557.81</v>
      </c>
      <c r="D9" s="78">
        <v>1160.4000000000001</v>
      </c>
      <c r="E9" s="81">
        <v>804.94</v>
      </c>
      <c r="F9" s="79"/>
      <c r="G9" s="77" t="s">
        <v>123</v>
      </c>
      <c r="H9" s="78">
        <v>2390.13</v>
      </c>
      <c r="I9" s="78">
        <v>2170.04</v>
      </c>
      <c r="J9" s="78">
        <v>1951.15</v>
      </c>
      <c r="K9" s="78">
        <v>1769.28</v>
      </c>
    </row>
    <row r="10" spans="1:11" ht="17.399999999999999" customHeight="1">
      <c r="A10" s="77" t="s">
        <v>6</v>
      </c>
      <c r="B10" s="81">
        <v>93.9</v>
      </c>
      <c r="C10" s="81">
        <v>62.69</v>
      </c>
      <c r="D10" s="81">
        <v>21.13</v>
      </c>
      <c r="E10" s="81">
        <v>7.82</v>
      </c>
      <c r="F10" s="79"/>
      <c r="G10" s="77" t="s">
        <v>62</v>
      </c>
      <c r="H10" s="81">
        <v>868.02</v>
      </c>
      <c r="I10" s="81">
        <v>564.49</v>
      </c>
      <c r="J10" s="81">
        <v>388.06</v>
      </c>
      <c r="K10" s="81">
        <v>274.31</v>
      </c>
    </row>
    <row r="11" spans="1:11" ht="17.399999999999999" customHeight="1">
      <c r="A11" s="77" t="s">
        <v>7</v>
      </c>
      <c r="B11" s="81" t="s">
        <v>112</v>
      </c>
      <c r="C11" s="81" t="s">
        <v>112</v>
      </c>
      <c r="D11" s="81" t="s">
        <v>112</v>
      </c>
      <c r="E11" s="81" t="s">
        <v>112</v>
      </c>
      <c r="F11" s="79"/>
      <c r="G11" s="77" t="s">
        <v>61</v>
      </c>
      <c r="H11" s="81">
        <v>21.94</v>
      </c>
      <c r="I11" s="81">
        <v>21.94</v>
      </c>
      <c r="J11" s="81">
        <v>21.94</v>
      </c>
      <c r="K11" s="81">
        <v>21.94</v>
      </c>
    </row>
    <row r="12" spans="1:11" ht="17.399999999999999" customHeight="1">
      <c r="A12" s="77" t="s">
        <v>8</v>
      </c>
      <c r="B12" s="78">
        <v>2010.23</v>
      </c>
      <c r="C12" s="78">
        <v>1620.51</v>
      </c>
      <c r="D12" s="78">
        <v>1181.53</v>
      </c>
      <c r="E12" s="81">
        <v>812.76</v>
      </c>
      <c r="F12" s="79"/>
      <c r="G12" s="77" t="s">
        <v>60</v>
      </c>
      <c r="H12" s="81">
        <v>143.57</v>
      </c>
      <c r="I12" s="81">
        <v>88.64</v>
      </c>
      <c r="J12" s="81">
        <v>88.12</v>
      </c>
      <c r="K12" s="81">
        <v>87.57</v>
      </c>
    </row>
    <row r="13" spans="1:11" ht="17.399999999999999" customHeight="1">
      <c r="A13" s="77" t="s">
        <v>9</v>
      </c>
      <c r="B13" s="81">
        <v>476.12</v>
      </c>
      <c r="C13" s="81">
        <v>391.77</v>
      </c>
      <c r="D13" s="81">
        <v>282.43</v>
      </c>
      <c r="E13" s="81">
        <v>159.78</v>
      </c>
      <c r="F13" s="79"/>
      <c r="G13" s="77" t="s">
        <v>59</v>
      </c>
      <c r="H13" s="78">
        <v>7423.79</v>
      </c>
      <c r="I13" s="78">
        <v>6423.65</v>
      </c>
      <c r="J13" s="78">
        <v>5751.67</v>
      </c>
      <c r="K13" s="78">
        <v>5271.39</v>
      </c>
    </row>
    <row r="14" spans="1:11" ht="17.399999999999999" customHeight="1">
      <c r="A14" s="77" t="s">
        <v>10</v>
      </c>
      <c r="B14" s="78">
        <v>1534.11</v>
      </c>
      <c r="C14" s="78">
        <v>1228.74</v>
      </c>
      <c r="D14" s="81">
        <v>899.1</v>
      </c>
      <c r="E14" s="81">
        <v>652.98</v>
      </c>
      <c r="F14" s="79"/>
      <c r="G14" s="77" t="s">
        <v>58</v>
      </c>
      <c r="H14" s="78">
        <v>9204.3700000000008</v>
      </c>
      <c r="I14" s="78">
        <v>8044.36</v>
      </c>
      <c r="J14" s="78">
        <v>6927.5</v>
      </c>
      <c r="K14" s="78">
        <v>6652.96</v>
      </c>
    </row>
    <row r="15" spans="1:11" ht="17.399999999999999" customHeight="1">
      <c r="A15" s="77" t="s">
        <v>11</v>
      </c>
      <c r="B15" s="78">
        <v>1534.11</v>
      </c>
      <c r="C15" s="78">
        <v>1228.74</v>
      </c>
      <c r="D15" s="81">
        <v>899.1</v>
      </c>
      <c r="E15" s="81">
        <v>652.98</v>
      </c>
      <c r="F15" s="79"/>
      <c r="G15" s="77" t="s">
        <v>57</v>
      </c>
      <c r="H15" s="81">
        <v>210.69</v>
      </c>
      <c r="I15" s="81">
        <v>197.65</v>
      </c>
      <c r="J15" s="81">
        <v>184.57</v>
      </c>
      <c r="K15" s="81">
        <v>163.16</v>
      </c>
    </row>
    <row r="16" spans="1:11" ht="17.399999999999999" customHeight="1">
      <c r="A16" s="77" t="s">
        <v>12</v>
      </c>
      <c r="B16" s="81">
        <v>1.1200000000000001</v>
      </c>
      <c r="C16" s="81">
        <v>0.89</v>
      </c>
      <c r="D16" s="81">
        <v>0.65</v>
      </c>
      <c r="E16" s="81">
        <v>0.46</v>
      </c>
      <c r="F16" s="79"/>
      <c r="G16" s="77" t="s">
        <v>56</v>
      </c>
      <c r="H16" s="81">
        <v>179.75</v>
      </c>
      <c r="I16" s="81">
        <v>147.69</v>
      </c>
      <c r="J16" s="81">
        <v>147.54</v>
      </c>
      <c r="K16" s="81">
        <v>173.05</v>
      </c>
    </row>
    <row r="17" spans="1:11" ht="17.399999999999999" customHeight="1">
      <c r="A17" s="77" t="s">
        <v>13</v>
      </c>
      <c r="B17" s="81">
        <v>1.1100000000000001</v>
      </c>
      <c r="C17" s="81">
        <v>0.89</v>
      </c>
      <c r="D17" s="81">
        <v>0.64</v>
      </c>
      <c r="E17" s="81">
        <v>0.46</v>
      </c>
      <c r="F17" s="79"/>
      <c r="G17" s="77" t="s">
        <v>55</v>
      </c>
      <c r="H17" s="81" t="s">
        <v>112</v>
      </c>
      <c r="I17" s="81" t="s">
        <v>112</v>
      </c>
      <c r="J17" s="81">
        <v>236</v>
      </c>
      <c r="K17" s="81">
        <v>219</v>
      </c>
    </row>
    <row r="18" spans="1:11" ht="17.399999999999999" customHeight="1">
      <c r="A18" s="77" t="s">
        <v>14</v>
      </c>
      <c r="B18" s="78">
        <v>1368.34</v>
      </c>
      <c r="C18" s="78">
        <v>1377.77</v>
      </c>
      <c r="D18" s="78">
        <v>1392.54</v>
      </c>
      <c r="E18" s="78">
        <v>1406.6</v>
      </c>
      <c r="F18" s="79"/>
      <c r="G18" s="77" t="s">
        <v>54</v>
      </c>
      <c r="H18" s="81" t="s">
        <v>112</v>
      </c>
      <c r="I18" s="81" t="s">
        <v>112</v>
      </c>
      <c r="J18" s="81" t="s">
        <v>112</v>
      </c>
      <c r="K18" s="81" t="s">
        <v>112</v>
      </c>
    </row>
    <row r="19" spans="1:11" ht="17.399999999999999" customHeight="1">
      <c r="A19" s="77" t="s">
        <v>15</v>
      </c>
      <c r="B19" s="78">
        <v>1376.56</v>
      </c>
      <c r="C19" s="78">
        <v>1385.5</v>
      </c>
      <c r="D19" s="78">
        <v>1403.08</v>
      </c>
      <c r="E19" s="78">
        <v>1425.55</v>
      </c>
      <c r="F19" s="79"/>
      <c r="G19" s="77" t="s">
        <v>68</v>
      </c>
      <c r="H19" s="81">
        <v>238.58</v>
      </c>
      <c r="I19" s="81">
        <v>209.68</v>
      </c>
      <c r="J19" s="81">
        <v>183.07</v>
      </c>
      <c r="K19" s="81">
        <v>156.35</v>
      </c>
    </row>
    <row r="20" spans="1:11" ht="17.399999999999999" customHeight="1">
      <c r="A20" s="77" t="s">
        <v>16</v>
      </c>
      <c r="B20" s="82">
        <v>0.26669999999999999</v>
      </c>
      <c r="C20" s="82">
        <v>0.26200000000000001</v>
      </c>
      <c r="D20" s="82">
        <v>0.23880000000000001</v>
      </c>
      <c r="E20" s="82">
        <v>0.22620000000000001</v>
      </c>
      <c r="F20" s="79"/>
      <c r="G20" s="77" t="s">
        <v>53</v>
      </c>
      <c r="H20" s="81" t="s">
        <v>112</v>
      </c>
      <c r="I20" s="81" t="s">
        <v>112</v>
      </c>
      <c r="J20" s="81">
        <v>465</v>
      </c>
      <c r="K20" s="81">
        <v>460</v>
      </c>
    </row>
    <row r="21" spans="1:11" ht="17.399999999999999" customHeight="1">
      <c r="A21" s="77" t="s">
        <v>17</v>
      </c>
      <c r="B21" s="82">
        <v>0.1694</v>
      </c>
      <c r="C21" s="82">
        <v>0.1578</v>
      </c>
      <c r="D21" s="82">
        <v>0.13439999999999999</v>
      </c>
      <c r="E21" s="82">
        <v>0.1067</v>
      </c>
      <c r="F21" s="79"/>
      <c r="G21" s="80" t="s">
        <v>52</v>
      </c>
      <c r="H21" s="78">
        <v>1168.77</v>
      </c>
      <c r="I21" s="78">
        <v>1030.6300000000001</v>
      </c>
      <c r="J21" s="81">
        <v>921.88</v>
      </c>
      <c r="K21" s="81">
        <v>873.68</v>
      </c>
    </row>
    <row r="22" spans="1:11" ht="17.399999999999999" customHeight="1">
      <c r="A22" s="77" t="s">
        <v>18</v>
      </c>
      <c r="B22" s="82">
        <v>0.1777</v>
      </c>
      <c r="C22" s="82">
        <v>0.16420000000000001</v>
      </c>
      <c r="D22" s="82">
        <v>0.1368</v>
      </c>
      <c r="E22" s="82">
        <v>0.1077</v>
      </c>
      <c r="F22" s="79"/>
      <c r="G22" s="80" t="s">
        <v>51</v>
      </c>
      <c r="H22" s="81" t="s">
        <v>112</v>
      </c>
      <c r="I22" s="81" t="s">
        <v>112</v>
      </c>
      <c r="J22" s="78">
        <v>3495</v>
      </c>
      <c r="K22" s="78">
        <v>3302</v>
      </c>
    </row>
    <row r="23" spans="1:11" ht="17.399999999999999" customHeight="1">
      <c r="A23" s="77" t="s">
        <v>19</v>
      </c>
      <c r="B23" s="82">
        <v>0.1356</v>
      </c>
      <c r="C23" s="82">
        <v>0.1245</v>
      </c>
      <c r="D23" s="82">
        <v>0.1041</v>
      </c>
      <c r="E23" s="82">
        <v>8.6499999999999994E-2</v>
      </c>
      <c r="F23" s="79"/>
      <c r="G23" s="77" t="s">
        <v>50</v>
      </c>
      <c r="H23" s="81" t="s">
        <v>112</v>
      </c>
      <c r="I23" s="81" t="s">
        <v>112</v>
      </c>
      <c r="J23" s="81" t="s">
        <v>112</v>
      </c>
      <c r="K23" s="81" t="s">
        <v>112</v>
      </c>
    </row>
    <row r="24" spans="1:11" ht="17.399999999999999" customHeight="1">
      <c r="A24" s="77" t="s">
        <v>20</v>
      </c>
      <c r="B24" s="82">
        <v>0.13539999999999999</v>
      </c>
      <c r="C24" s="82">
        <v>0.1239</v>
      </c>
      <c r="D24" s="82">
        <v>9.7699999999999995E-2</v>
      </c>
      <c r="E24" s="82">
        <v>0.1118</v>
      </c>
      <c r="F24" s="79"/>
      <c r="G24" s="77" t="s">
        <v>49</v>
      </c>
      <c r="H24" s="81">
        <v>46.21</v>
      </c>
      <c r="I24" s="81">
        <v>89.11</v>
      </c>
      <c r="J24" s="81">
        <v>98.62</v>
      </c>
      <c r="K24" s="81">
        <v>141.76</v>
      </c>
    </row>
    <row r="25" spans="1:11" ht="17.399999999999999" customHeight="1">
      <c r="A25" s="77" t="s">
        <v>21</v>
      </c>
      <c r="B25" s="78">
        <v>2251.36</v>
      </c>
      <c r="C25" s="78">
        <v>1877.21</v>
      </c>
      <c r="D25" s="78">
        <v>1447.23</v>
      </c>
      <c r="E25" s="78">
        <v>1059.5999999999999</v>
      </c>
      <c r="F25" s="79"/>
      <c r="G25" s="77" t="s">
        <v>48</v>
      </c>
      <c r="H25" s="81">
        <v>71.069999999999993</v>
      </c>
      <c r="I25" s="81">
        <v>58.87</v>
      </c>
      <c r="J25" s="81">
        <v>43.82</v>
      </c>
      <c r="K25" s="81">
        <v>38.54</v>
      </c>
    </row>
    <row r="26" spans="1:11" ht="17.399999999999999" customHeight="1">
      <c r="A26" s="77" t="s">
        <v>22</v>
      </c>
      <c r="B26" s="78">
        <v>1916.33</v>
      </c>
      <c r="C26" s="78">
        <v>1557.81</v>
      </c>
      <c r="D26" s="78">
        <v>1160.4000000000001</v>
      </c>
      <c r="E26" s="81">
        <v>804.94</v>
      </c>
      <c r="F26" s="79"/>
      <c r="G26" s="77" t="s">
        <v>47</v>
      </c>
      <c r="H26" s="78">
        <v>4380.0600000000004</v>
      </c>
      <c r="I26" s="78">
        <v>3951.53</v>
      </c>
      <c r="J26" s="78">
        <v>3637.6</v>
      </c>
      <c r="K26" s="78">
        <v>3481.9</v>
      </c>
    </row>
    <row r="27" spans="1:11" ht="17.399999999999999" customHeight="1">
      <c r="A27" s="77" t="s">
        <v>23</v>
      </c>
      <c r="B27" s="78">
        <v>1534.11</v>
      </c>
      <c r="C27" s="78">
        <v>1228.74</v>
      </c>
      <c r="D27" s="81">
        <v>899.1</v>
      </c>
      <c r="E27" s="81">
        <v>652.98</v>
      </c>
      <c r="F27" s="79"/>
      <c r="G27" s="80" t="s">
        <v>46</v>
      </c>
      <c r="H27" s="78">
        <v>5548.83</v>
      </c>
      <c r="I27" s="78">
        <v>4982.1499999999996</v>
      </c>
      <c r="J27" s="78">
        <v>4559.4799999999996</v>
      </c>
      <c r="K27" s="78">
        <v>4355.58</v>
      </c>
    </row>
    <row r="28" spans="1:11" ht="17.399999999999999" customHeight="1">
      <c r="A28" s="77" t="s">
        <v>24</v>
      </c>
      <c r="B28" s="78">
        <v>1534.11</v>
      </c>
      <c r="C28" s="78">
        <v>1228.74</v>
      </c>
      <c r="D28" s="81">
        <v>899.1</v>
      </c>
      <c r="E28" s="81">
        <v>652.98</v>
      </c>
      <c r="F28" s="79"/>
      <c r="G28" s="77" t="s">
        <v>45</v>
      </c>
      <c r="H28" s="78">
        <v>2078.0100000000002</v>
      </c>
      <c r="I28" s="78">
        <v>1937.79</v>
      </c>
      <c r="J28" s="78">
        <v>1829.3</v>
      </c>
      <c r="K28" s="78">
        <v>1729.31</v>
      </c>
    </row>
    <row r="29" spans="1:11" ht="17.399999999999999" customHeight="1">
      <c r="A29" s="77" t="s">
        <v>25</v>
      </c>
      <c r="B29" s="81">
        <v>1.1200000000000001</v>
      </c>
      <c r="C29" s="81">
        <v>0.89</v>
      </c>
      <c r="D29" s="81">
        <v>0.65</v>
      </c>
      <c r="E29" s="81">
        <v>0.46</v>
      </c>
      <c r="F29" s="79"/>
      <c r="G29" s="77" t="s">
        <v>44</v>
      </c>
      <c r="H29" s="81">
        <v>13.59</v>
      </c>
      <c r="I29" s="81">
        <v>18.739999999999998</v>
      </c>
      <c r="J29" s="81">
        <v>0.37</v>
      </c>
      <c r="K29" s="81">
        <v>0.37</v>
      </c>
    </row>
    <row r="30" spans="1:11" ht="17.399999999999999" customHeight="1">
      <c r="A30" s="77" t="s">
        <v>26</v>
      </c>
      <c r="B30" s="81">
        <v>1.1200000000000001</v>
      </c>
      <c r="C30" s="81">
        <v>0.89</v>
      </c>
      <c r="D30" s="81">
        <v>0.65</v>
      </c>
      <c r="E30" s="81">
        <v>0.46</v>
      </c>
      <c r="F30" s="79"/>
      <c r="G30" s="77" t="s">
        <v>43</v>
      </c>
      <c r="H30" s="78">
        <v>1574.23</v>
      </c>
      <c r="I30" s="78">
        <v>6056.98</v>
      </c>
      <c r="J30" s="78">
        <v>4828.25</v>
      </c>
      <c r="K30" s="78">
        <v>3929.15</v>
      </c>
    </row>
    <row r="31" spans="1:11" ht="17.399999999999999" customHeight="1">
      <c r="A31" s="77" t="s">
        <v>27</v>
      </c>
      <c r="B31" s="81">
        <v>1.1100000000000001</v>
      </c>
      <c r="C31" s="81">
        <v>0.89</v>
      </c>
      <c r="D31" s="81">
        <v>0.64</v>
      </c>
      <c r="E31" s="81">
        <v>0.46</v>
      </c>
      <c r="F31" s="79"/>
      <c r="G31" s="77" t="s">
        <v>42</v>
      </c>
      <c r="H31" s="81" t="s">
        <v>112</v>
      </c>
      <c r="I31" s="78">
        <v>4944.66</v>
      </c>
      <c r="J31" s="78">
        <v>4282.01</v>
      </c>
      <c r="K31" s="78">
        <v>3356.1</v>
      </c>
    </row>
    <row r="32" spans="1:11" ht="17.399999999999999" customHeight="1">
      <c r="A32" s="77" t="s">
        <v>28</v>
      </c>
      <c r="B32" s="78">
        <v>1376.56</v>
      </c>
      <c r="C32" s="78">
        <v>1385.5</v>
      </c>
      <c r="D32" s="78">
        <v>1403.1</v>
      </c>
      <c r="E32" s="78">
        <v>1425.55</v>
      </c>
      <c r="F32" s="79"/>
      <c r="G32" s="80" t="s">
        <v>41</v>
      </c>
      <c r="H32" s="78">
        <v>3655.55</v>
      </c>
      <c r="I32" s="78">
        <v>3062.21</v>
      </c>
      <c r="J32" s="78">
        <v>2368.02</v>
      </c>
      <c r="K32" s="78">
        <v>2297.37</v>
      </c>
    </row>
    <row r="33" spans="1:11" ht="17.399999999999999" customHeight="1">
      <c r="A33" s="77" t="s">
        <v>29</v>
      </c>
      <c r="B33" s="81">
        <v>1.1100000000000001</v>
      </c>
      <c r="C33" s="81">
        <v>0.89</v>
      </c>
      <c r="D33" s="81">
        <v>0.64</v>
      </c>
      <c r="E33" s="81">
        <v>0.46</v>
      </c>
      <c r="F33" s="79"/>
      <c r="G33" s="77" t="s">
        <v>40</v>
      </c>
      <c r="H33" s="78">
        <v>3655.55</v>
      </c>
      <c r="I33" s="78">
        <v>3062.21</v>
      </c>
      <c r="J33" s="78">
        <v>2368.02</v>
      </c>
      <c r="K33" s="78">
        <v>2297.37</v>
      </c>
    </row>
    <row r="34" spans="1:11" ht="17.399999999999999" customHeight="1">
      <c r="A34" s="77" t="s">
        <v>30</v>
      </c>
      <c r="B34" s="82">
        <v>0.19900000000000001</v>
      </c>
      <c r="C34" s="82">
        <v>0.19020000000000001</v>
      </c>
      <c r="D34" s="82">
        <v>0.1676</v>
      </c>
      <c r="E34" s="82">
        <v>0.1404</v>
      </c>
      <c r="F34" s="79"/>
      <c r="G34" s="77" t="s">
        <v>39</v>
      </c>
      <c r="H34" s="78">
        <v>9204.3700000000008</v>
      </c>
      <c r="I34" s="78">
        <v>8044.36</v>
      </c>
      <c r="J34" s="78">
        <v>6927.5</v>
      </c>
      <c r="K34" s="78">
        <v>6652.96</v>
      </c>
    </row>
    <row r="35" spans="1:11" ht="17.399999999999999" customHeight="1">
      <c r="A35" s="77" t="s">
        <v>31</v>
      </c>
      <c r="B35" s="82">
        <v>0.18609999999999999</v>
      </c>
      <c r="C35" s="82">
        <v>0.1807</v>
      </c>
      <c r="D35" s="82">
        <v>0.1532</v>
      </c>
      <c r="E35" s="82">
        <v>0.1699</v>
      </c>
      <c r="F35" s="79"/>
      <c r="G35" s="77" t="s">
        <v>38</v>
      </c>
      <c r="H35" s="78">
        <v>1358.75</v>
      </c>
      <c r="I35" s="78">
        <v>1371.3</v>
      </c>
      <c r="J35" s="78">
        <v>1381.35</v>
      </c>
      <c r="K35" s="78">
        <v>1404</v>
      </c>
    </row>
    <row r="36" spans="1:11" ht="17.399999999999999" customHeight="1">
      <c r="A36" s="80" t="s">
        <v>67</v>
      </c>
      <c r="B36" s="78">
        <v>1422.91</v>
      </c>
      <c r="C36" s="78">
        <v>1295.45</v>
      </c>
      <c r="D36" s="81">
        <v>899.14</v>
      </c>
      <c r="E36" s="78">
        <v>1076.32</v>
      </c>
      <c r="F36" s="79"/>
      <c r="G36" s="77" t="s">
        <v>37</v>
      </c>
      <c r="H36" s="78">
        <v>3633.61</v>
      </c>
      <c r="I36" s="78">
        <v>3040.27</v>
      </c>
      <c r="J36" s="78">
        <v>2346.08</v>
      </c>
      <c r="K36" s="78">
        <v>2275.4299999999998</v>
      </c>
    </row>
    <row r="37" spans="1:11" ht="17.399999999999999" customHeight="1">
      <c r="A37" s="80" t="s">
        <v>99</v>
      </c>
      <c r="B37" s="81">
        <v>211.19</v>
      </c>
      <c r="C37" s="81">
        <v>168.5</v>
      </c>
      <c r="D37" s="81">
        <v>154.62</v>
      </c>
      <c r="E37" s="81">
        <v>193.66</v>
      </c>
      <c r="F37" s="79"/>
      <c r="G37" s="77" t="s">
        <v>36</v>
      </c>
      <c r="H37" s="78">
        <v>-1422.91</v>
      </c>
      <c r="I37" s="78">
        <v>-1295.45</v>
      </c>
      <c r="J37" s="78">
        <v>2831.86</v>
      </c>
      <c r="K37" s="78">
        <v>2444.6799999999998</v>
      </c>
    </row>
    <row r="38" spans="1:11" ht="17.399999999999999" customHeight="1">
      <c r="A38" s="80" t="s">
        <v>66</v>
      </c>
      <c r="B38" s="81">
        <v>48.94</v>
      </c>
      <c r="C38" s="81">
        <v>39.31</v>
      </c>
      <c r="D38" s="81">
        <v>35.67</v>
      </c>
      <c r="E38" s="81">
        <v>32.83</v>
      </c>
      <c r="F38" s="79"/>
      <c r="G38" s="77" t="s">
        <v>35</v>
      </c>
      <c r="H38" s="81" t="s">
        <v>112</v>
      </c>
      <c r="I38" s="81" t="s">
        <v>112</v>
      </c>
      <c r="J38" s="78">
        <v>3731</v>
      </c>
      <c r="K38" s="78">
        <v>3521</v>
      </c>
    </row>
    <row r="39" spans="1:11" ht="17.399999999999999" customHeight="1">
      <c r="A39" s="77" t="s">
        <v>65</v>
      </c>
      <c r="B39" s="81" t="s">
        <v>112</v>
      </c>
      <c r="C39" s="81" t="s">
        <v>112</v>
      </c>
      <c r="D39" s="81">
        <v>86</v>
      </c>
      <c r="E39" s="81">
        <v>79</v>
      </c>
      <c r="F39" s="79"/>
      <c r="G39" s="79"/>
      <c r="H39" s="79"/>
      <c r="I39" s="79"/>
      <c r="J39" s="79"/>
      <c r="K39" s="79"/>
    </row>
    <row r="40" spans="1:11" ht="17.399999999999999" customHeight="1">
      <c r="A40" s="77" t="s">
        <v>64</v>
      </c>
      <c r="B40" s="78">
        <v>1780.59</v>
      </c>
      <c r="C40" s="78">
        <v>1620.71</v>
      </c>
      <c r="D40" s="78">
        <v>1175.8399999999999</v>
      </c>
      <c r="E40" s="78">
        <v>1381.56</v>
      </c>
      <c r="F40" s="79"/>
      <c r="G40" s="79"/>
      <c r="H40" s="79"/>
      <c r="I40" s="79"/>
      <c r="J40" s="79"/>
      <c r="K40" s="79"/>
    </row>
    <row r="41" spans="1:11" ht="17.399999999999999" customHeight="1">
      <c r="A41" s="77" t="s">
        <v>123</v>
      </c>
      <c r="B41" s="78">
        <v>2390.13</v>
      </c>
      <c r="C41" s="78">
        <v>2170.04</v>
      </c>
      <c r="D41" s="78">
        <v>1951.15</v>
      </c>
      <c r="E41" s="78">
        <v>1769.28</v>
      </c>
      <c r="F41" s="79"/>
      <c r="G41" s="79"/>
      <c r="H41" s="79"/>
      <c r="I41" s="79"/>
      <c r="J41" s="79"/>
      <c r="K41" s="79"/>
    </row>
    <row r="42" spans="1:11" ht="17.399999999999999" customHeight="1">
      <c r="A42" s="77" t="s">
        <v>62</v>
      </c>
      <c r="B42" s="81">
        <v>868.02</v>
      </c>
      <c r="C42" s="81">
        <v>564.49</v>
      </c>
      <c r="D42" s="81">
        <v>388.06</v>
      </c>
      <c r="E42" s="81">
        <v>274.31</v>
      </c>
      <c r="F42" s="79"/>
      <c r="G42" s="79"/>
      <c r="H42" s="79"/>
      <c r="I42" s="79"/>
      <c r="J42" s="79"/>
      <c r="K42" s="79"/>
    </row>
    <row r="43" spans="1:11" ht="17.399999999999999" customHeight="1">
      <c r="A43" s="77" t="s">
        <v>61</v>
      </c>
      <c r="B43" s="81">
        <v>21.94</v>
      </c>
      <c r="C43" s="81">
        <v>21.94</v>
      </c>
      <c r="D43" s="81">
        <v>21.94</v>
      </c>
      <c r="E43" s="81">
        <v>21.94</v>
      </c>
      <c r="F43" s="79"/>
      <c r="G43" s="79"/>
      <c r="H43" s="79"/>
      <c r="I43" s="79"/>
      <c r="J43" s="79"/>
      <c r="K43" s="79"/>
    </row>
    <row r="44" spans="1:11" ht="17.399999999999999" customHeight="1">
      <c r="A44" s="77" t="s">
        <v>60</v>
      </c>
      <c r="B44" s="81">
        <v>143.57</v>
      </c>
      <c r="C44" s="81">
        <v>88.64</v>
      </c>
      <c r="D44" s="81">
        <v>88.12</v>
      </c>
      <c r="E44" s="81">
        <v>87.57</v>
      </c>
      <c r="F44" s="79"/>
      <c r="G44" s="79"/>
      <c r="H44" s="79"/>
      <c r="I44" s="79"/>
      <c r="J44" s="79"/>
      <c r="K44" s="79"/>
    </row>
    <row r="45" spans="1:11" ht="17.399999999999999" customHeight="1">
      <c r="A45" s="77" t="s">
        <v>59</v>
      </c>
      <c r="B45" s="78">
        <v>7423.79</v>
      </c>
      <c r="C45" s="78">
        <v>6423.65</v>
      </c>
      <c r="D45" s="78">
        <v>5751.67</v>
      </c>
      <c r="E45" s="78">
        <v>5271.39</v>
      </c>
      <c r="F45" s="79"/>
      <c r="G45" s="79"/>
      <c r="H45" s="79"/>
      <c r="I45" s="79"/>
      <c r="J45" s="79"/>
      <c r="K45" s="79"/>
    </row>
    <row r="46" spans="1:11" ht="17.399999999999999" customHeight="1">
      <c r="A46" s="77" t="s">
        <v>58</v>
      </c>
      <c r="B46" s="78">
        <v>9204.3700000000008</v>
      </c>
      <c r="C46" s="78">
        <v>8044.36</v>
      </c>
      <c r="D46" s="78">
        <v>6927.5</v>
      </c>
      <c r="E46" s="78">
        <v>6652.96</v>
      </c>
      <c r="F46" s="79"/>
      <c r="G46" s="79"/>
      <c r="H46" s="79"/>
      <c r="I46" s="79"/>
      <c r="J46" s="79"/>
      <c r="K46" s="79"/>
    </row>
    <row r="47" spans="1:11" ht="17.399999999999999" customHeight="1">
      <c r="A47" s="77" t="s">
        <v>57</v>
      </c>
      <c r="B47" s="81">
        <v>210.69</v>
      </c>
      <c r="C47" s="81">
        <v>197.65</v>
      </c>
      <c r="D47" s="81">
        <v>184.57</v>
      </c>
      <c r="E47" s="81">
        <v>163.16</v>
      </c>
      <c r="F47" s="79"/>
      <c r="G47" s="79"/>
      <c r="H47" s="79"/>
      <c r="I47" s="79"/>
      <c r="J47" s="79"/>
      <c r="K47" s="79"/>
    </row>
    <row r="48" spans="1:11" ht="17.399999999999999" customHeight="1">
      <c r="A48" s="77" t="s">
        <v>56</v>
      </c>
      <c r="B48" s="81">
        <v>179.75</v>
      </c>
      <c r="C48" s="81">
        <v>147.69</v>
      </c>
      <c r="D48" s="81">
        <v>147.54</v>
      </c>
      <c r="E48" s="81">
        <v>173.05</v>
      </c>
      <c r="F48" s="79"/>
      <c r="G48" s="79"/>
      <c r="H48" s="79"/>
      <c r="I48" s="79"/>
      <c r="J48" s="79"/>
      <c r="K48" s="79"/>
    </row>
    <row r="49" spans="1:11" ht="17.399999999999999" customHeight="1">
      <c r="A49" s="77" t="s">
        <v>55</v>
      </c>
      <c r="B49" s="81" t="s">
        <v>112</v>
      </c>
      <c r="C49" s="81" t="s">
        <v>112</v>
      </c>
      <c r="D49" s="81">
        <v>236</v>
      </c>
      <c r="E49" s="81">
        <v>219</v>
      </c>
      <c r="F49" s="79"/>
      <c r="G49" s="79"/>
      <c r="H49" s="79"/>
      <c r="I49" s="79"/>
      <c r="J49" s="79"/>
      <c r="K49" s="79"/>
    </row>
    <row r="50" spans="1:11" ht="17.399999999999999" customHeight="1">
      <c r="A50" s="77" t="s">
        <v>54</v>
      </c>
      <c r="B50" s="81" t="s">
        <v>112</v>
      </c>
      <c r="C50" s="81" t="s">
        <v>112</v>
      </c>
      <c r="D50" s="81" t="s">
        <v>112</v>
      </c>
      <c r="E50" s="81" t="s">
        <v>112</v>
      </c>
      <c r="F50" s="79"/>
      <c r="G50" s="79"/>
      <c r="H50" s="79"/>
      <c r="I50" s="79"/>
      <c r="J50" s="79"/>
      <c r="K50" s="79"/>
    </row>
    <row r="51" spans="1:11" ht="17.399999999999999" customHeight="1">
      <c r="A51" s="77" t="s">
        <v>68</v>
      </c>
      <c r="B51" s="81">
        <v>238.58</v>
      </c>
      <c r="C51" s="81">
        <v>209.68</v>
      </c>
      <c r="D51" s="81">
        <v>183.07</v>
      </c>
      <c r="E51" s="81">
        <v>156.35</v>
      </c>
      <c r="F51" s="79"/>
      <c r="G51" s="79"/>
      <c r="H51" s="79"/>
      <c r="I51" s="79"/>
      <c r="J51" s="79"/>
      <c r="K51" s="79"/>
    </row>
    <row r="52" spans="1:11" ht="17.399999999999999" customHeight="1">
      <c r="A52" s="77" t="s">
        <v>53</v>
      </c>
      <c r="B52" s="81" t="s">
        <v>112</v>
      </c>
      <c r="C52" s="81" t="s">
        <v>112</v>
      </c>
      <c r="D52" s="81">
        <v>465</v>
      </c>
      <c r="E52" s="81">
        <v>460</v>
      </c>
      <c r="F52" s="79"/>
      <c r="G52" s="79"/>
      <c r="H52" s="79"/>
      <c r="I52" s="79"/>
      <c r="J52" s="79"/>
      <c r="K52" s="79"/>
    </row>
    <row r="53" spans="1:11" ht="17.399999999999999" customHeight="1">
      <c r="A53" s="80" t="s">
        <v>52</v>
      </c>
      <c r="B53" s="78">
        <v>1168.77</v>
      </c>
      <c r="C53" s="78">
        <v>1030.6300000000001</v>
      </c>
      <c r="D53" s="81">
        <v>921.88</v>
      </c>
      <c r="E53" s="81">
        <v>873.68</v>
      </c>
      <c r="F53" s="79"/>
      <c r="G53" s="79"/>
      <c r="H53" s="79"/>
      <c r="I53" s="79"/>
      <c r="J53" s="79"/>
      <c r="K53" s="79"/>
    </row>
    <row r="54" spans="1:11" ht="17.399999999999999" customHeight="1">
      <c r="A54" s="80" t="s">
        <v>51</v>
      </c>
      <c r="B54" s="81" t="s">
        <v>112</v>
      </c>
      <c r="C54" s="81" t="s">
        <v>112</v>
      </c>
      <c r="D54" s="78">
        <v>3495</v>
      </c>
      <c r="E54" s="78">
        <v>3302</v>
      </c>
      <c r="F54" s="79"/>
      <c r="G54" s="79"/>
      <c r="H54" s="79"/>
      <c r="I54" s="79"/>
      <c r="J54" s="79"/>
      <c r="K54" s="79"/>
    </row>
    <row r="55" spans="1:11" ht="17.399999999999999" customHeight="1">
      <c r="A55" s="77" t="s">
        <v>50</v>
      </c>
      <c r="B55" s="81" t="s">
        <v>112</v>
      </c>
      <c r="C55" s="81" t="s">
        <v>112</v>
      </c>
      <c r="D55" s="81" t="s">
        <v>112</v>
      </c>
      <c r="E55" s="81" t="s">
        <v>112</v>
      </c>
      <c r="F55" s="79"/>
      <c r="G55" s="79"/>
      <c r="H55" s="79"/>
      <c r="I55" s="79"/>
      <c r="J55" s="79"/>
      <c r="K55" s="79"/>
    </row>
    <row r="56" spans="1:11" ht="17.399999999999999" customHeight="1">
      <c r="A56" s="77" t="s">
        <v>49</v>
      </c>
      <c r="B56" s="81">
        <v>46.21</v>
      </c>
      <c r="C56" s="81">
        <v>89.11</v>
      </c>
      <c r="D56" s="81">
        <v>98.62</v>
      </c>
      <c r="E56" s="81">
        <v>141.76</v>
      </c>
      <c r="F56" s="79"/>
      <c r="G56" s="79"/>
      <c r="H56" s="79"/>
      <c r="I56" s="79"/>
      <c r="J56" s="79"/>
      <c r="K56" s="79"/>
    </row>
    <row r="57" spans="1:11" ht="17.399999999999999" customHeight="1">
      <c r="A57" s="77" t="s">
        <v>48</v>
      </c>
      <c r="B57" s="81">
        <v>71.069999999999993</v>
      </c>
      <c r="C57" s="81">
        <v>58.87</v>
      </c>
      <c r="D57" s="81">
        <v>43.82</v>
      </c>
      <c r="E57" s="81">
        <v>38.54</v>
      </c>
      <c r="F57" s="79"/>
      <c r="G57" s="79"/>
      <c r="H57" s="79"/>
      <c r="I57" s="79"/>
      <c r="J57" s="79"/>
      <c r="K57" s="79"/>
    </row>
    <row r="58" spans="1:11" ht="17.399999999999999" customHeight="1">
      <c r="A58" s="77" t="s">
        <v>47</v>
      </c>
      <c r="B58" s="78">
        <v>4380.0600000000004</v>
      </c>
      <c r="C58" s="78">
        <v>3951.53</v>
      </c>
      <c r="D58" s="78">
        <v>3637.6</v>
      </c>
      <c r="E58" s="78">
        <v>3481.9</v>
      </c>
      <c r="F58" s="79"/>
      <c r="G58" s="79"/>
      <c r="H58" s="79"/>
      <c r="I58" s="79"/>
      <c r="J58" s="79"/>
      <c r="K58" s="79"/>
    </row>
    <row r="59" spans="1:11" ht="17.399999999999999" customHeight="1">
      <c r="A59" s="80" t="s">
        <v>46</v>
      </c>
      <c r="B59" s="78">
        <v>5548.83</v>
      </c>
      <c r="C59" s="78">
        <v>4982.1499999999996</v>
      </c>
      <c r="D59" s="78">
        <v>4559.4799999999996</v>
      </c>
      <c r="E59" s="78">
        <v>4355.58</v>
      </c>
      <c r="F59" s="79"/>
      <c r="G59" s="79"/>
      <c r="H59" s="79"/>
      <c r="I59" s="79"/>
      <c r="J59" s="79"/>
      <c r="K59" s="79"/>
    </row>
    <row r="60" spans="1:11" ht="17.399999999999999" customHeight="1">
      <c r="A60" s="77" t="s">
        <v>45</v>
      </c>
      <c r="B60" s="78">
        <v>2078.0100000000002</v>
      </c>
      <c r="C60" s="78">
        <v>1937.79</v>
      </c>
      <c r="D60" s="78">
        <v>1829.3</v>
      </c>
      <c r="E60" s="78">
        <v>1729.31</v>
      </c>
      <c r="F60" s="79"/>
      <c r="G60" s="79"/>
      <c r="H60" s="79"/>
      <c r="I60" s="79"/>
      <c r="J60" s="79"/>
      <c r="K60" s="79"/>
    </row>
    <row r="61" spans="1:11" ht="17.399999999999999" customHeight="1">
      <c r="A61" s="77" t="s">
        <v>44</v>
      </c>
      <c r="B61" s="81">
        <v>13.59</v>
      </c>
      <c r="C61" s="81">
        <v>18.739999999999998</v>
      </c>
      <c r="D61" s="81">
        <v>0.37</v>
      </c>
      <c r="E61" s="81">
        <v>0.37</v>
      </c>
      <c r="F61" s="79"/>
      <c r="G61" s="79"/>
      <c r="H61" s="79"/>
      <c r="I61" s="79"/>
      <c r="J61" s="79"/>
      <c r="K61" s="79"/>
    </row>
    <row r="62" spans="1:11" ht="17.399999999999999" customHeight="1">
      <c r="A62" s="77" t="s">
        <v>43</v>
      </c>
      <c r="B62" s="78">
        <v>1574.23</v>
      </c>
      <c r="C62" s="78">
        <v>6056.98</v>
      </c>
      <c r="D62" s="78">
        <v>4828.25</v>
      </c>
      <c r="E62" s="78">
        <v>3929.15</v>
      </c>
      <c r="F62" s="79"/>
      <c r="G62" s="79"/>
      <c r="H62" s="79"/>
      <c r="I62" s="79"/>
      <c r="J62" s="79"/>
      <c r="K62" s="79"/>
    </row>
    <row r="63" spans="1:11" ht="17.399999999999999" customHeight="1">
      <c r="A63" s="77" t="s">
        <v>42</v>
      </c>
      <c r="B63" s="81" t="s">
        <v>112</v>
      </c>
      <c r="C63" s="78">
        <v>4944.66</v>
      </c>
      <c r="D63" s="78">
        <v>4282.01</v>
      </c>
      <c r="E63" s="78">
        <v>3356.1</v>
      </c>
      <c r="F63" s="79"/>
      <c r="G63" s="79"/>
      <c r="H63" s="79"/>
      <c r="I63" s="79"/>
      <c r="J63" s="79"/>
      <c r="K63" s="79"/>
    </row>
    <row r="64" spans="1:11" ht="17.399999999999999" customHeight="1">
      <c r="A64" s="80" t="s">
        <v>41</v>
      </c>
      <c r="B64" s="78">
        <v>3655.55</v>
      </c>
      <c r="C64" s="78">
        <v>3062.21</v>
      </c>
      <c r="D64" s="78">
        <v>2368.02</v>
      </c>
      <c r="E64" s="78">
        <v>2297.37</v>
      </c>
      <c r="F64" s="79"/>
      <c r="G64" s="79"/>
      <c r="H64" s="79"/>
      <c r="I64" s="79"/>
      <c r="J64" s="79"/>
      <c r="K64" s="79"/>
    </row>
    <row r="65" spans="1:11" ht="17.399999999999999" customHeight="1">
      <c r="A65" s="77" t="s">
        <v>40</v>
      </c>
      <c r="B65" s="78">
        <v>3655.55</v>
      </c>
      <c r="C65" s="78">
        <v>3062.21</v>
      </c>
      <c r="D65" s="78">
        <v>2368.02</v>
      </c>
      <c r="E65" s="78">
        <v>2297.37</v>
      </c>
      <c r="F65" s="79"/>
      <c r="G65" s="79"/>
      <c r="H65" s="79"/>
      <c r="I65" s="79"/>
      <c r="J65" s="79"/>
      <c r="K65" s="79"/>
    </row>
    <row r="66" spans="1:11" ht="17.399999999999999" customHeight="1">
      <c r="A66" s="77" t="s">
        <v>39</v>
      </c>
      <c r="B66" s="78">
        <v>9204.3700000000008</v>
      </c>
      <c r="C66" s="78">
        <v>8044.36</v>
      </c>
      <c r="D66" s="78">
        <v>6927.5</v>
      </c>
      <c r="E66" s="78">
        <v>6652.96</v>
      </c>
      <c r="F66" s="79"/>
      <c r="G66" s="79"/>
      <c r="H66" s="79"/>
      <c r="I66" s="79"/>
      <c r="J66" s="79"/>
      <c r="K66" s="79"/>
    </row>
    <row r="67" spans="1:11" ht="17.399999999999999" customHeight="1">
      <c r="A67" s="77" t="s">
        <v>38</v>
      </c>
      <c r="B67" s="78">
        <v>1358.75</v>
      </c>
      <c r="C67" s="78">
        <v>1371.3</v>
      </c>
      <c r="D67" s="78">
        <v>1381.35</v>
      </c>
      <c r="E67" s="78">
        <v>1404</v>
      </c>
      <c r="F67" s="79"/>
      <c r="G67" s="79"/>
      <c r="H67" s="79"/>
      <c r="I67" s="79"/>
      <c r="J67" s="79"/>
      <c r="K67" s="79"/>
    </row>
    <row r="68" spans="1:11" ht="17.399999999999999" customHeight="1">
      <c r="A68" s="77" t="s">
        <v>37</v>
      </c>
      <c r="B68" s="78">
        <v>3633.61</v>
      </c>
      <c r="C68" s="78">
        <v>3040.27</v>
      </c>
      <c r="D68" s="78">
        <v>2346.08</v>
      </c>
      <c r="E68" s="78">
        <v>2275.4299999999998</v>
      </c>
      <c r="F68" s="79"/>
      <c r="G68" s="79"/>
      <c r="H68" s="79"/>
      <c r="I68" s="79"/>
      <c r="J68" s="79"/>
      <c r="K68" s="79"/>
    </row>
    <row r="69" spans="1:11" ht="17.399999999999999" customHeight="1">
      <c r="A69" s="77" t="s">
        <v>36</v>
      </c>
      <c r="B69" s="78">
        <v>-1422.91</v>
      </c>
      <c r="C69" s="78">
        <v>-1295.45</v>
      </c>
      <c r="D69" s="78">
        <v>2831.86</v>
      </c>
      <c r="E69" s="78">
        <v>2444.6799999999998</v>
      </c>
      <c r="F69" s="79"/>
      <c r="G69" s="79"/>
      <c r="H69" s="79"/>
      <c r="I69" s="79"/>
      <c r="J69" s="79"/>
      <c r="K69" s="79"/>
    </row>
    <row r="70" spans="1:11" ht="17.399999999999999" customHeight="1">
      <c r="A70" s="77" t="s">
        <v>35</v>
      </c>
      <c r="B70" s="81" t="s">
        <v>112</v>
      </c>
      <c r="C70" s="81" t="s">
        <v>112</v>
      </c>
      <c r="D70" s="78">
        <v>3731</v>
      </c>
      <c r="E70" s="78">
        <v>3521</v>
      </c>
      <c r="F70" s="79"/>
      <c r="G70" s="79"/>
      <c r="H70" s="79"/>
      <c r="I70" s="79"/>
      <c r="J70" s="79"/>
      <c r="K70" s="79"/>
    </row>
  </sheetData>
  <mergeCells count="8">
    <mergeCell ref="H2:H3"/>
    <mergeCell ref="I2:I3"/>
    <mergeCell ref="J2:J3"/>
    <mergeCell ref="K2:K3"/>
    <mergeCell ref="B2:B3"/>
    <mergeCell ref="C2:C3"/>
    <mergeCell ref="D2:D3"/>
    <mergeCell ref="E2:E3"/>
  </mergeCells>
  <pageMargins left="0.7" right="0.7" top="0.75" bottom="0.75" header="0.3" footer="0.3"/>
  <pageSetup scale="46"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ED212-D439-4945-B484-B0B665023220}">
  <sheetPr>
    <tabColor theme="4" tint="0.59999389629810485"/>
    <pageSetUpPr fitToPage="1"/>
  </sheetPr>
  <dimension ref="A1:X992"/>
  <sheetViews>
    <sheetView workbookViewId="0"/>
  </sheetViews>
  <sheetFormatPr defaultColWidth="13" defaultRowHeight="13.2"/>
  <cols>
    <col min="1" max="1" width="33.59765625" style="14" bestFit="1" customWidth="1"/>
    <col min="2" max="2" width="4.5" style="14" customWidth="1"/>
    <col min="3" max="4" width="9.09765625" style="14" bestFit="1" customWidth="1"/>
    <col min="5" max="5" width="11" style="14" customWidth="1"/>
    <col min="6" max="6" width="9.09765625" style="14" bestFit="1" customWidth="1"/>
    <col min="7" max="7" width="12.8984375" style="14" customWidth="1"/>
    <col min="8" max="8" width="9.09765625" style="14" bestFit="1" customWidth="1"/>
    <col min="9" max="9" width="12.8984375" style="14" customWidth="1"/>
    <col min="10" max="10" width="8.19921875" style="14" customWidth="1"/>
    <col min="11" max="14" width="8.8984375" style="14" bestFit="1" customWidth="1"/>
    <col min="15" max="24" width="7.8984375" style="14" customWidth="1"/>
    <col min="25" max="16384" width="13" style="14"/>
  </cols>
  <sheetData>
    <row r="1" spans="1:24" ht="15" thickBot="1">
      <c r="A1" s="165" t="s">
        <v>78</v>
      </c>
      <c r="B1" s="166"/>
      <c r="C1" s="167" t="s">
        <v>105</v>
      </c>
      <c r="D1" s="167" t="s">
        <v>105</v>
      </c>
      <c r="E1" s="250" t="s">
        <v>117</v>
      </c>
      <c r="F1" s="167" t="s">
        <v>105</v>
      </c>
      <c r="G1" s="250" t="s">
        <v>114</v>
      </c>
      <c r="H1" s="167" t="s">
        <v>105</v>
      </c>
      <c r="I1" s="253" t="s">
        <v>116</v>
      </c>
      <c r="J1" s="24"/>
      <c r="K1" s="24"/>
      <c r="L1" s="24"/>
      <c r="M1" s="24"/>
      <c r="N1" s="24"/>
      <c r="O1" s="24"/>
      <c r="P1" s="24"/>
      <c r="Q1" s="24"/>
      <c r="R1" s="24"/>
      <c r="S1" s="24"/>
      <c r="T1" s="24"/>
      <c r="U1" s="24"/>
      <c r="V1" s="24"/>
      <c r="W1" s="24"/>
      <c r="X1" s="24"/>
    </row>
    <row r="2" spans="1:24" ht="14.4" thickBot="1">
      <c r="A2" s="168" t="s">
        <v>98</v>
      </c>
      <c r="B2" s="178"/>
      <c r="C2" s="169">
        <v>2024</v>
      </c>
      <c r="D2" s="169">
        <v>2023</v>
      </c>
      <c r="E2" s="251"/>
      <c r="F2" s="169">
        <v>2022</v>
      </c>
      <c r="G2" s="252"/>
      <c r="H2" s="169">
        <v>2021</v>
      </c>
      <c r="I2" s="254"/>
      <c r="J2" s="24"/>
      <c r="K2" s="24"/>
      <c r="L2" s="24"/>
      <c r="M2" s="24"/>
      <c r="N2" s="24"/>
      <c r="O2" s="24"/>
      <c r="P2" s="24"/>
      <c r="Q2" s="24"/>
      <c r="R2" s="24"/>
      <c r="S2" s="24"/>
      <c r="T2" s="24"/>
      <c r="U2" s="24"/>
      <c r="V2" s="24"/>
      <c r="W2" s="24"/>
      <c r="X2" s="24"/>
    </row>
    <row r="3" spans="1:24" ht="14.4">
      <c r="A3" s="118" t="s">
        <v>120</v>
      </c>
      <c r="B3" s="126"/>
      <c r="C3" s="25">
        <v>60.09</v>
      </c>
      <c r="D3" s="25">
        <v>45.74</v>
      </c>
      <c r="E3" s="26">
        <f>+(C3-D3)/D3</f>
        <v>0.31372977700043725</v>
      </c>
      <c r="F3" s="25">
        <v>27.75</v>
      </c>
      <c r="G3" s="26">
        <f>+(D3-F3)/F3</f>
        <v>0.64828828828828833</v>
      </c>
      <c r="H3" s="25">
        <v>34.94</v>
      </c>
      <c r="I3" s="26">
        <f>(F3-H3)/H3</f>
        <v>-0.20578133943903831</v>
      </c>
      <c r="J3" s="27"/>
      <c r="K3" s="24"/>
      <c r="L3" s="24"/>
      <c r="M3" s="24"/>
      <c r="N3" s="24"/>
      <c r="O3" s="24"/>
      <c r="P3" s="24"/>
      <c r="Q3" s="24"/>
      <c r="R3" s="24"/>
      <c r="S3" s="24"/>
      <c r="T3" s="24"/>
      <c r="U3" s="24"/>
      <c r="V3" s="24"/>
      <c r="W3" s="24"/>
      <c r="X3" s="24"/>
    </row>
    <row r="4" spans="1:24" ht="14.4">
      <c r="A4" s="119" t="s">
        <v>0</v>
      </c>
      <c r="B4" s="127"/>
      <c r="C4" s="74">
        <f>_xlfn.XLOOKUP(A4,'C24-21'!$A$4:$A$70,'C24-21'!$B$4:$B$70,"LOOK",0)</f>
        <v>11313.85</v>
      </c>
      <c r="D4" s="74">
        <f>_xlfn.XLOOKUP(A4,'C24-21'!$A$4:$A$70,'C24-21'!$C$4:$C$70,"LOOK",0)</f>
        <v>9871.65</v>
      </c>
      <c r="E4" s="26">
        <f t="shared" ref="E4" si="0">+(C4-D4)/D4</f>
        <v>0.14609513100646809</v>
      </c>
      <c r="F4" s="74">
        <f>_xlfn.XLOOKUP(A4,'C24-21'!$A$4:$A$70,'C24-21'!$D$4:$D$70,"LOOK",0)</f>
        <v>8634.65</v>
      </c>
      <c r="G4" s="26">
        <f t="shared" ref="G4:G18" si="1">+(D4-F4)/F4</f>
        <v>0.1432600047483106</v>
      </c>
      <c r="H4" s="74">
        <f>_xlfn.XLOOKUP(A4,'C24-21'!$A$4:$A$70,'C24-21'!$E$4:$E$70,"LOOK")</f>
        <v>7547.06</v>
      </c>
      <c r="I4" s="26">
        <f t="shared" ref="I4:I19" si="2">(F4-H4)/H4</f>
        <v>0.14410777176807912</v>
      </c>
      <c r="J4" s="24"/>
      <c r="K4" s="24"/>
      <c r="L4" s="24"/>
      <c r="M4" s="24"/>
      <c r="N4" s="24"/>
      <c r="O4" s="24"/>
      <c r="P4" s="24"/>
      <c r="Q4" s="24"/>
      <c r="R4" s="24"/>
      <c r="S4" s="24"/>
      <c r="T4" s="24"/>
      <c r="U4" s="24"/>
      <c r="V4" s="24"/>
      <c r="W4" s="24"/>
      <c r="X4" s="24"/>
    </row>
    <row r="5" spans="1:24" ht="14.4">
      <c r="A5" s="119" t="s">
        <v>2</v>
      </c>
      <c r="B5" s="127"/>
      <c r="C5" s="74">
        <f>_xlfn.XLOOKUP(A5,'C24-21'!$A$4:$A$70,'C24-21'!$B$4:$B$70,"LOOK",0)</f>
        <v>8296.16</v>
      </c>
      <c r="D5" s="74">
        <f>_xlfn.XLOOKUP(A5,'C24-21'!$A$4:$A$70,'C24-21'!$C$4:$C$70,"LOOK",0)</f>
        <v>7285.56</v>
      </c>
      <c r="E5" s="26">
        <f t="shared" ref="E5:E19" si="3">+(C5-D5)/D5</f>
        <v>0.13871274136785633</v>
      </c>
      <c r="F5" s="74">
        <f>_xlfn.XLOOKUP(A5,'C24-21'!$A$4:$A$70,'C24-21'!$D$4:$D$70,"LOOK",0)</f>
        <v>6572.53</v>
      </c>
      <c r="G5" s="26">
        <f t="shared" si="1"/>
        <v>0.10848638195641568</v>
      </c>
      <c r="H5" s="74">
        <f>_xlfn.XLOOKUP(A5,'C24-21'!$A$4:$A$70,'C24-21'!$E$4:$E$70,"LOOK")</f>
        <v>5840.05</v>
      </c>
      <c r="I5" s="26">
        <f t="shared" si="2"/>
        <v>0.12542358370219425</v>
      </c>
      <c r="J5" s="24"/>
      <c r="K5" s="24"/>
      <c r="L5" s="24"/>
      <c r="M5" s="24"/>
      <c r="N5" s="24"/>
      <c r="O5" s="24"/>
      <c r="P5" s="24"/>
      <c r="Q5" s="24"/>
      <c r="R5" s="24"/>
      <c r="S5" s="24"/>
      <c r="T5" s="24"/>
      <c r="U5" s="24"/>
      <c r="V5" s="24"/>
      <c r="W5" s="24"/>
      <c r="X5" s="24"/>
    </row>
    <row r="6" spans="1:24" ht="14.4">
      <c r="A6" s="120" t="s">
        <v>3</v>
      </c>
      <c r="B6" s="127"/>
      <c r="C6" s="74">
        <f>_xlfn.XLOOKUP(A6,'C24-21'!$A$4:$A$70,'C24-21'!$B$4:$B$70,"LOOK",0)</f>
        <v>3017.69</v>
      </c>
      <c r="D6" s="74">
        <f>_xlfn.XLOOKUP(A6,'C24-21'!$A$4:$A$70,'C24-21'!$C$4:$C$70,"LOOK",0)</f>
        <v>2586.09</v>
      </c>
      <c r="E6" s="26">
        <f t="shared" si="3"/>
        <v>0.16689287689136878</v>
      </c>
      <c r="F6" s="74">
        <f>_xlfn.XLOOKUP(A6,'C24-21'!$A$4:$A$70,'C24-21'!$D$4:$D$70,"LOOK",0)</f>
        <v>2062.12</v>
      </c>
      <c r="G6" s="26">
        <f t="shared" si="1"/>
        <v>0.25409287529338753</v>
      </c>
      <c r="H6" s="74">
        <f>_xlfn.XLOOKUP(A6,'C24-21'!$A$4:$A$70,'C24-21'!$E$4:$E$70,"LOOK")</f>
        <v>1707.01</v>
      </c>
      <c r="I6" s="26">
        <f t="shared" si="2"/>
        <v>0.20803041575620523</v>
      </c>
      <c r="J6" s="24"/>
      <c r="K6" s="24"/>
      <c r="L6" s="24"/>
      <c r="M6" s="24"/>
      <c r="N6" s="24"/>
      <c r="O6" s="24"/>
      <c r="P6" s="24"/>
      <c r="Q6" s="24"/>
      <c r="R6" s="24"/>
      <c r="S6" s="24"/>
      <c r="T6" s="24"/>
      <c r="U6" s="24"/>
      <c r="V6" s="24"/>
      <c r="W6" s="24"/>
      <c r="X6" s="24"/>
    </row>
    <row r="7" spans="1:24" ht="14.4">
      <c r="A7" s="119" t="s">
        <v>4</v>
      </c>
      <c r="B7" s="127"/>
      <c r="C7" s="74">
        <f>_xlfn.XLOOKUP(A7,'C24-21'!$A$4:$A$70,'C24-21'!$B$4:$B$70,"LOOK",0)</f>
        <v>697.48</v>
      </c>
      <c r="D7" s="74">
        <f>_xlfn.XLOOKUP(A7,'C24-21'!$A$4:$A$70,'C24-21'!$C$4:$C$70,"LOOK",0)</f>
        <v>633.58000000000004</v>
      </c>
      <c r="E7" s="26">
        <f t="shared" si="3"/>
        <v>0.1008554562959689</v>
      </c>
      <c r="F7" s="74">
        <f>_xlfn.XLOOKUP(A7,'C24-21'!$A$4:$A$70,'C24-21'!$D$4:$D$70,"LOOK",0)</f>
        <v>564.19000000000005</v>
      </c>
      <c r="G7" s="26">
        <f t="shared" si="1"/>
        <v>0.1229904819298463</v>
      </c>
      <c r="H7" s="74">
        <f>_xlfn.XLOOKUP(A7,'C24-21'!$A$4:$A$70,'C24-21'!$E$4:$E$70,"LOOK")</f>
        <v>606.85</v>
      </c>
      <c r="I7" s="26">
        <f t="shared" si="2"/>
        <v>-7.0297437587542172E-2</v>
      </c>
      <c r="J7" s="24"/>
      <c r="K7" s="24"/>
      <c r="L7" s="24"/>
      <c r="M7" s="24"/>
      <c r="N7" s="24"/>
      <c r="O7" s="24"/>
      <c r="P7" s="24"/>
      <c r="Q7" s="24"/>
      <c r="R7" s="24"/>
      <c r="S7" s="24"/>
      <c r="T7" s="24"/>
      <c r="U7" s="24"/>
      <c r="V7" s="24"/>
      <c r="W7" s="24"/>
      <c r="X7" s="24"/>
    </row>
    <row r="8" spans="1:24" ht="14.4">
      <c r="A8" s="119" t="s">
        <v>5</v>
      </c>
      <c r="B8" s="127"/>
      <c r="C8" s="74">
        <f>_xlfn.XLOOKUP(A8,'C24-21'!$A$4:$A$70,'C24-21'!$B$4:$B$70,"LOOK",0)</f>
        <v>1916.33</v>
      </c>
      <c r="D8" s="74">
        <f>_xlfn.XLOOKUP(A8,'C24-21'!$A$4:$A$70,'C24-21'!$C$4:$C$70,"LOOK",0)</f>
        <v>1557.81</v>
      </c>
      <c r="E8" s="26">
        <f t="shared" si="3"/>
        <v>0.23014359902683895</v>
      </c>
      <c r="F8" s="74">
        <f>_xlfn.XLOOKUP(A8,'C24-21'!$A$4:$A$70,'C24-21'!$D$4:$D$70,"LOOK",0)</f>
        <v>1160.4000000000001</v>
      </c>
      <c r="G8" s="26">
        <f t="shared" si="1"/>
        <v>0.34247673216132352</v>
      </c>
      <c r="H8" s="74">
        <f>_xlfn.XLOOKUP(A8,'C24-21'!$A$4:$A$70,'C24-21'!$E$4:$E$70,"LOOK")</f>
        <v>804.94</v>
      </c>
      <c r="I8" s="26">
        <f t="shared" si="2"/>
        <v>0.4415981315377544</v>
      </c>
      <c r="J8" s="24"/>
      <c r="K8" s="24"/>
      <c r="L8" s="24"/>
      <c r="M8" s="24"/>
      <c r="N8" s="24"/>
      <c r="O8" s="24"/>
      <c r="P8" s="24"/>
      <c r="Q8" s="24"/>
      <c r="R8" s="24"/>
      <c r="S8" s="24"/>
      <c r="T8" s="24"/>
      <c r="U8" s="24"/>
      <c r="V8" s="24"/>
      <c r="W8" s="24"/>
      <c r="X8" s="24"/>
    </row>
    <row r="9" spans="1:24" ht="14.4">
      <c r="A9" t="s">
        <v>11</v>
      </c>
      <c r="B9" s="127"/>
      <c r="C9" s="74">
        <f>_xlfn.XLOOKUP(A9,'C24-21'!$A$4:$A$70,'C24-21'!$B$4:$B$70,"LOOK",0)</f>
        <v>1534.11</v>
      </c>
      <c r="D9" s="74">
        <f>_xlfn.XLOOKUP(A9,'C24-21'!$A$4:$A$70,'C24-21'!$C$4:$C$70,"LOOK",0)</f>
        <v>1228.74</v>
      </c>
      <c r="E9" s="26">
        <f t="shared" si="3"/>
        <v>0.24852287709360799</v>
      </c>
      <c r="F9" s="74">
        <f>_xlfn.XLOOKUP(A9,'C24-21'!$A$4:$A$70,'C24-21'!$D$4:$D$70,"LOOK",0)</f>
        <v>899.1</v>
      </c>
      <c r="G9" s="26">
        <f t="shared" si="1"/>
        <v>0.3666332999666333</v>
      </c>
      <c r="H9" s="74">
        <f>_xlfn.XLOOKUP(A9,'C24-21'!$A$4:$A$70,'C24-21'!$E$4:$E$70,"LOOK")</f>
        <v>652.98</v>
      </c>
      <c r="I9" s="26">
        <f t="shared" si="2"/>
        <v>0.37691812919231832</v>
      </c>
      <c r="J9" s="24"/>
      <c r="K9" s="24"/>
      <c r="L9" s="24"/>
      <c r="M9" s="24"/>
      <c r="N9" s="24"/>
      <c r="O9" s="24"/>
      <c r="P9" s="24"/>
      <c r="Q9" s="24"/>
      <c r="R9" s="24"/>
      <c r="S9" s="24"/>
      <c r="T9" s="24"/>
      <c r="U9" s="24"/>
      <c r="V9" s="24"/>
      <c r="W9" s="24"/>
      <c r="X9" s="24"/>
    </row>
    <row r="10" spans="1:24" ht="14.4">
      <c r="A10" s="119" t="s">
        <v>67</v>
      </c>
      <c r="B10" s="127"/>
      <c r="C10" s="74">
        <f>_xlfn.XLOOKUP(A10,'C24-21'!$A$4:$A$70,'C24-21'!$B$4:$B$70,"LOOK",0)</f>
        <v>1422.91</v>
      </c>
      <c r="D10" s="74">
        <f>_xlfn.XLOOKUP(A10,'C24-21'!$A$4:$A$70,'C24-21'!$C$4:$C$70,"LOOK",0)</f>
        <v>1295.45</v>
      </c>
      <c r="E10" s="26">
        <f t="shared" si="3"/>
        <v>9.8390520668493603E-2</v>
      </c>
      <c r="F10" s="74">
        <f>_xlfn.XLOOKUP(A10,'C24-21'!$A$4:$A$70,'C24-21'!$D$4:$D$70,"LOOK",0)</f>
        <v>899.14</v>
      </c>
      <c r="G10" s="26">
        <f t="shared" si="1"/>
        <v>0.4407656204817938</v>
      </c>
      <c r="H10" s="74">
        <f>_xlfn.XLOOKUP(A10,'C24-21'!$A$4:$A$70,'C24-21'!$E$4:$E$70,"LOOK")</f>
        <v>1076.32</v>
      </c>
      <c r="I10" s="26">
        <f t="shared" si="2"/>
        <v>-0.16461647093801096</v>
      </c>
      <c r="J10" s="24"/>
      <c r="K10" s="24"/>
      <c r="L10" s="24"/>
      <c r="M10" s="24"/>
      <c r="N10" s="24"/>
      <c r="O10" s="24"/>
      <c r="P10" s="24"/>
      <c r="Q10" s="24"/>
      <c r="R10" s="24"/>
      <c r="S10" s="24"/>
      <c r="T10" s="24"/>
      <c r="U10" s="24"/>
      <c r="V10" s="24"/>
      <c r="W10" s="24"/>
      <c r="X10" s="24"/>
    </row>
    <row r="11" spans="1:24" ht="14.4">
      <c r="A11" s="119" t="s">
        <v>99</v>
      </c>
      <c r="B11" s="127"/>
      <c r="C11" s="74">
        <f>_xlfn.XLOOKUP(A11,'C24-21'!$A$4:$A$70,'C24-21'!$B$4:$B$70,"LOOK",0)</f>
        <v>211.19</v>
      </c>
      <c r="D11" s="74">
        <f>_xlfn.XLOOKUP(A11,'C24-21'!$A$4:$A$70,'C24-21'!$C$4:$C$70,"LOOK",0)</f>
        <v>168.5</v>
      </c>
      <c r="E11" s="26">
        <f t="shared" si="3"/>
        <v>0.25335311572700298</v>
      </c>
      <c r="F11" s="74">
        <f>_xlfn.XLOOKUP(A11,'C24-21'!$A$4:$A$70,'C24-21'!$D$4:$D$70,"LOOK",0)</f>
        <v>154.62</v>
      </c>
      <c r="G11" s="26">
        <f t="shared" si="1"/>
        <v>8.9768464622946548E-2</v>
      </c>
      <c r="H11" s="74">
        <f>_xlfn.XLOOKUP(A11,'C24-21'!$A$4:$A$70,'C24-21'!$E$4:$E$70,"LOOK")</f>
        <v>193.66</v>
      </c>
      <c r="I11" s="26">
        <f t="shared" si="2"/>
        <v>-0.20159041619332849</v>
      </c>
      <c r="J11" s="24"/>
      <c r="K11" s="24"/>
      <c r="L11" s="24"/>
      <c r="M11" s="24"/>
      <c r="N11" s="24"/>
      <c r="O11" s="24"/>
      <c r="P11" s="24"/>
      <c r="Q11" s="24"/>
      <c r="R11" s="24"/>
      <c r="S11" s="24"/>
      <c r="T11" s="24"/>
      <c r="U11" s="24"/>
      <c r="V11" s="24"/>
      <c r="W11" s="24"/>
      <c r="X11" s="24"/>
    </row>
    <row r="12" spans="1:24" ht="14.4">
      <c r="A12" s="120" t="s">
        <v>66</v>
      </c>
      <c r="B12" s="127"/>
      <c r="C12" s="74">
        <f>_xlfn.XLOOKUP(A12,'C24-21'!$A$4:$A$70,'C24-21'!$B$4:$B$70,"LOOK",0)</f>
        <v>48.94</v>
      </c>
      <c r="D12" s="74">
        <f>_xlfn.XLOOKUP(A12,'C24-21'!$A$4:$A$70,'C24-21'!$C$4:$C$70,"LOOK",0)</f>
        <v>39.31</v>
      </c>
      <c r="E12" s="26">
        <f t="shared" si="3"/>
        <v>0.24497583312134305</v>
      </c>
      <c r="F12" s="74">
        <f>_xlfn.XLOOKUP(A12,'C24-21'!$A$4:$A$70,'C24-21'!$D$4:$D$70,"LOOK",0)</f>
        <v>35.67</v>
      </c>
      <c r="G12" s="26">
        <f t="shared" si="1"/>
        <v>0.10204653770675638</v>
      </c>
      <c r="H12" s="74">
        <f>_xlfn.XLOOKUP(A12,'C24-21'!$A$4:$A$70,'C24-21'!$E$4:$E$70,"LOOK")</f>
        <v>32.83</v>
      </c>
      <c r="I12" s="26">
        <f t="shared" si="2"/>
        <v>8.6506244288760387E-2</v>
      </c>
      <c r="J12" s="24"/>
      <c r="K12" s="24"/>
      <c r="L12" s="24"/>
      <c r="M12" s="24"/>
      <c r="N12" s="24"/>
      <c r="O12" s="24"/>
      <c r="P12" s="24"/>
      <c r="Q12" s="24"/>
      <c r="R12" s="24"/>
      <c r="S12" s="24"/>
      <c r="T12" s="24"/>
      <c r="U12" s="24"/>
      <c r="V12" s="24"/>
      <c r="W12" s="24"/>
      <c r="X12" s="24"/>
    </row>
    <row r="13" spans="1:24" ht="14.4">
      <c r="A13" s="119" t="s">
        <v>64</v>
      </c>
      <c r="B13" s="127"/>
      <c r="C13" s="74">
        <f>_xlfn.XLOOKUP(A13,'C24-21'!$A$4:$A$70,'C24-21'!$B$4:$B$70,"LOOK",0)</f>
        <v>1780.59</v>
      </c>
      <c r="D13" s="74">
        <f>_xlfn.XLOOKUP(A13,'C24-21'!$A$4:$A$70,'C24-21'!$C$4:$C$70,"LOOK",0)</f>
        <v>1620.71</v>
      </c>
      <c r="E13" s="26">
        <f t="shared" si="3"/>
        <v>9.8648123353345066E-2</v>
      </c>
      <c r="F13" s="74">
        <f>_xlfn.XLOOKUP(A13,'C24-21'!$A$4:$A$70,'C24-21'!$D$4:$D$70,"LOOK",0)</f>
        <v>1175.8399999999999</v>
      </c>
      <c r="G13" s="26">
        <f t="shared" si="1"/>
        <v>0.37834229146822712</v>
      </c>
      <c r="H13" s="74">
        <f>_xlfn.XLOOKUP(A13,'C24-21'!$A$4:$A$70,'C24-21'!$E$4:$E$70,"LOOK")</f>
        <v>1381.56</v>
      </c>
      <c r="I13" s="26">
        <f t="shared" si="2"/>
        <v>-0.14890413735197894</v>
      </c>
      <c r="J13" s="24"/>
      <c r="K13" s="24"/>
      <c r="L13" s="24"/>
      <c r="M13" s="24"/>
      <c r="N13" s="24"/>
      <c r="O13" s="24"/>
      <c r="P13" s="24"/>
      <c r="Q13" s="24"/>
      <c r="R13" s="24"/>
      <c r="S13" s="24"/>
      <c r="T13" s="24"/>
      <c r="U13" s="24"/>
      <c r="V13" s="24"/>
      <c r="W13" s="24"/>
      <c r="X13" s="24"/>
    </row>
    <row r="14" spans="1:24" ht="14.4">
      <c r="A14" s="119" t="s">
        <v>58</v>
      </c>
      <c r="B14" s="127"/>
      <c r="C14" s="74">
        <f>_xlfn.XLOOKUP(A14,'C24-21'!$A$4:$A$70,'C24-21'!$B$4:$B$70,"LOOK",0)</f>
        <v>9204.3700000000008</v>
      </c>
      <c r="D14" s="74">
        <f>_xlfn.XLOOKUP(A14,'C24-21'!$A$4:$A$70,'C24-21'!$C$4:$C$70,"LOOK",0)</f>
        <v>8044.36</v>
      </c>
      <c r="E14" s="26">
        <f t="shared" si="3"/>
        <v>0.14420165184054431</v>
      </c>
      <c r="F14" s="74">
        <f>_xlfn.XLOOKUP(A14,'C24-21'!$A$4:$A$70,'C24-21'!$D$4:$D$70,"LOOK",0)</f>
        <v>6927.5</v>
      </c>
      <c r="G14" s="26">
        <f t="shared" si="1"/>
        <v>0.161221219776254</v>
      </c>
      <c r="H14" s="74">
        <f>_xlfn.XLOOKUP(A14,'C24-21'!$A$4:$A$70,'C24-21'!$E$4:$E$70,"LOOK")</f>
        <v>6652.96</v>
      </c>
      <c r="I14" s="26">
        <f t="shared" si="2"/>
        <v>4.1265842572328702E-2</v>
      </c>
      <c r="J14" s="24"/>
      <c r="K14" s="24"/>
      <c r="L14" s="24"/>
      <c r="M14" s="24"/>
      <c r="N14" s="24"/>
      <c r="O14" s="24"/>
      <c r="P14" s="24"/>
      <c r="Q14" s="24"/>
      <c r="R14" s="24"/>
      <c r="S14" s="24"/>
      <c r="T14" s="24"/>
      <c r="U14" s="24"/>
      <c r="V14" s="24"/>
      <c r="W14" s="24"/>
      <c r="X14" s="24"/>
    </row>
    <row r="15" spans="1:24" ht="14.4">
      <c r="A15" s="119" t="s">
        <v>52</v>
      </c>
      <c r="B15" s="127"/>
      <c r="C15" s="74">
        <f>_xlfn.XLOOKUP(A15,'C24-21'!$A$4:$A$70,'C24-21'!$B$4:$B$70,"LOOK",0)</f>
        <v>1168.77</v>
      </c>
      <c r="D15" s="74">
        <f>_xlfn.XLOOKUP(A15,'C24-21'!$A$4:$A$70,'C24-21'!$C$4:$C$70,"LOOK",0)</f>
        <v>1030.6300000000001</v>
      </c>
      <c r="E15" s="26">
        <f t="shared" si="3"/>
        <v>0.13403452257357137</v>
      </c>
      <c r="F15" s="74">
        <f>_xlfn.XLOOKUP(A15,'C24-21'!$A$4:$A$70,'C24-21'!$D$4:$D$70,"LOOK",0)</f>
        <v>921.88</v>
      </c>
      <c r="G15" s="26">
        <f t="shared" si="1"/>
        <v>0.11796546188224076</v>
      </c>
      <c r="H15" s="74">
        <f>_xlfn.XLOOKUP(A15,'C24-21'!$A$4:$A$70,'C24-21'!$E$4:$E$70,"LOOK")</f>
        <v>873.68</v>
      </c>
      <c r="I15" s="26">
        <f t="shared" si="2"/>
        <v>5.5168940573207634E-2</v>
      </c>
      <c r="J15" s="24"/>
      <c r="K15" s="24"/>
      <c r="L15" s="24"/>
      <c r="M15" s="24"/>
      <c r="N15" s="24"/>
      <c r="O15" s="24"/>
      <c r="P15" s="24"/>
      <c r="Q15" s="24"/>
      <c r="R15" s="24"/>
      <c r="S15" s="24"/>
      <c r="T15" s="24"/>
      <c r="U15" s="24"/>
      <c r="V15" s="24"/>
      <c r="W15" s="24"/>
      <c r="X15" s="24"/>
    </row>
    <row r="16" spans="1:24" ht="14.4">
      <c r="A16" s="119" t="s">
        <v>51</v>
      </c>
      <c r="B16" s="127"/>
      <c r="C16" s="74">
        <v>10</v>
      </c>
      <c r="D16" s="74">
        <v>10</v>
      </c>
      <c r="E16" s="26">
        <f t="shared" si="3"/>
        <v>0</v>
      </c>
      <c r="F16" s="74">
        <f>_xlfn.XLOOKUP(A16,'C24-21'!$A$4:$A$70,'C24-21'!$D$4:$D$70,"LOOK",0)</f>
        <v>3495</v>
      </c>
      <c r="G16" s="26">
        <f t="shared" si="1"/>
        <v>-0.99713876967095849</v>
      </c>
      <c r="H16" s="74">
        <f>_xlfn.XLOOKUP(A16,'C24-21'!$A$4:$A$70,'C24-21'!$E$4:$E$70,"LOOK")</f>
        <v>3302</v>
      </c>
      <c r="I16" s="26">
        <f t="shared" si="2"/>
        <v>5.8449424591156873E-2</v>
      </c>
      <c r="J16" s="24"/>
      <c r="K16" s="24"/>
      <c r="L16" s="24"/>
      <c r="M16" s="24"/>
      <c r="N16" s="24"/>
      <c r="O16" s="24"/>
      <c r="P16" s="24"/>
      <c r="Q16" s="24"/>
      <c r="R16" s="24"/>
      <c r="S16" s="24"/>
      <c r="T16" s="24"/>
      <c r="U16" s="24"/>
      <c r="V16" s="24"/>
      <c r="W16" s="24"/>
      <c r="X16" s="24"/>
    </row>
    <row r="17" spans="1:24" ht="14.4">
      <c r="A17" s="119" t="s">
        <v>46</v>
      </c>
      <c r="B17" s="127"/>
      <c r="C17" s="74">
        <f>_xlfn.XLOOKUP(A17,'C24-21'!$A$4:$A$70,'C24-21'!$B$4:$B$70,"LOOK",0)</f>
        <v>5548.83</v>
      </c>
      <c r="D17" s="74">
        <f>_xlfn.XLOOKUP(A17,'C24-21'!$A$4:$A$70,'C24-21'!$C$4:$C$70,"LOOK",0)</f>
        <v>4982.1499999999996</v>
      </c>
      <c r="E17" s="26">
        <f t="shared" si="3"/>
        <v>0.11374205915116974</v>
      </c>
      <c r="F17" s="74">
        <f>_xlfn.XLOOKUP(A17,'C24-21'!$A$4:$A$70,'C24-21'!$D$4:$D$70,"LOOK",0)</f>
        <v>4559.4799999999996</v>
      </c>
      <c r="G17" s="26">
        <f t="shared" si="1"/>
        <v>9.2701360681481243E-2</v>
      </c>
      <c r="H17" s="74">
        <f>_xlfn.XLOOKUP(A17,'C24-21'!$A$4:$A$70,'C24-21'!$E$4:$E$70,"LOOK")</f>
        <v>4355.58</v>
      </c>
      <c r="I17" s="26">
        <f t="shared" si="2"/>
        <v>4.6813512781305737E-2</v>
      </c>
      <c r="J17" s="24"/>
      <c r="K17" s="24"/>
      <c r="L17" s="24"/>
      <c r="M17" s="24"/>
      <c r="N17" s="24"/>
      <c r="O17" s="24"/>
      <c r="P17" s="24"/>
      <c r="Q17" s="24"/>
      <c r="R17" s="24"/>
      <c r="S17" s="24"/>
      <c r="T17" s="24"/>
      <c r="U17" s="24"/>
      <c r="V17" s="24"/>
      <c r="W17" s="24"/>
      <c r="X17" s="24"/>
    </row>
    <row r="18" spans="1:24" ht="14.4">
      <c r="A18" s="119" t="s">
        <v>41</v>
      </c>
      <c r="B18" s="127"/>
      <c r="C18" s="74">
        <f>_xlfn.XLOOKUP(A18,'C24-21'!$A$4:$A$70,'C24-21'!$B$4:$B$70,"LOOK",0)</f>
        <v>3655.55</v>
      </c>
      <c r="D18" s="74">
        <f>_xlfn.XLOOKUP(A18,'C24-21'!$A$4:$A$70,'C24-21'!$C$4:$C$70,"LOOK",0)</f>
        <v>3062.21</v>
      </c>
      <c r="E18" s="26">
        <f t="shared" si="3"/>
        <v>0.19376202154653016</v>
      </c>
      <c r="F18" s="74">
        <f>_xlfn.XLOOKUP(A18,'C24-21'!$A$4:$A$70,'C24-21'!$D$4:$D$70,"LOOK",0)</f>
        <v>2368.02</v>
      </c>
      <c r="G18" s="26">
        <f t="shared" si="1"/>
        <v>0.29315208486414812</v>
      </c>
      <c r="H18" s="74">
        <f>_xlfn.XLOOKUP(A18,'C24-21'!$A$4:$A$70,'C24-21'!$E$4:$E$70,"LOOK")</f>
        <v>2297.37</v>
      </c>
      <c r="I18" s="26">
        <f t="shared" si="2"/>
        <v>3.0752556183810224E-2</v>
      </c>
      <c r="J18" s="24"/>
      <c r="K18" s="24"/>
      <c r="L18" s="24"/>
      <c r="M18" s="24"/>
      <c r="N18" s="24"/>
      <c r="O18" s="24"/>
      <c r="P18" s="24"/>
      <c r="Q18" s="24"/>
      <c r="R18" s="24"/>
      <c r="S18" s="24"/>
      <c r="T18" s="24"/>
      <c r="U18" s="24"/>
      <c r="V18" s="24"/>
      <c r="W18" s="24"/>
      <c r="X18" s="24"/>
    </row>
    <row r="19" spans="1:24" ht="14.4" thickBot="1">
      <c r="A19" s="75" t="s">
        <v>14</v>
      </c>
      <c r="B19" s="128"/>
      <c r="C19" s="74">
        <f>_xlfn.XLOOKUP(A19,'C24-21'!$A$4:$A$70,'C24-21'!$B$4:$B$70,"LOOK",0)</f>
        <v>1368.34</v>
      </c>
      <c r="D19" s="74">
        <f>_xlfn.XLOOKUP(A19,'C24-21'!$A$4:$A$70,'C24-21'!$C$4:$C$70,"LOOK",0)</f>
        <v>1377.77</v>
      </c>
      <c r="E19" s="30">
        <f t="shared" si="3"/>
        <v>-6.8443934764148328E-3</v>
      </c>
      <c r="F19" s="74">
        <f>_xlfn.XLOOKUP(A19,'C24-21'!$A$4:$A$70,'C24-21'!$D$4:$D$70,"LOOK",0)</f>
        <v>1392.54</v>
      </c>
      <c r="G19" s="30">
        <f>+(D19-F19)/F19</f>
        <v>-1.0606517586568416E-2</v>
      </c>
      <c r="H19" s="74">
        <f>_xlfn.XLOOKUP(A19,'C24-21'!$A$4:$A$70,'C24-21'!$E$4:$E$70,"LOOK")</f>
        <v>1406.6</v>
      </c>
      <c r="I19" s="26">
        <f t="shared" si="2"/>
        <v>-9.9957343949949855E-3</v>
      </c>
      <c r="J19" s="24"/>
      <c r="K19" s="24"/>
      <c r="L19" s="24"/>
      <c r="M19" s="24"/>
      <c r="N19" s="24"/>
      <c r="O19" s="24"/>
      <c r="P19" s="24"/>
      <c r="Q19" s="24"/>
      <c r="R19" s="24"/>
      <c r="S19" s="24"/>
      <c r="T19" s="24"/>
      <c r="U19" s="24"/>
      <c r="V19" s="24"/>
      <c r="W19" s="24"/>
      <c r="X19" s="24"/>
    </row>
    <row r="20" spans="1:24" ht="15" thickBot="1">
      <c r="A20" s="170" t="s">
        <v>81</v>
      </c>
      <c r="B20" s="171"/>
      <c r="C20" s="172" t="s">
        <v>105</v>
      </c>
      <c r="D20" s="167" t="s">
        <v>105</v>
      </c>
      <c r="E20" s="250" t="s">
        <v>117</v>
      </c>
      <c r="F20" s="167" t="s">
        <v>105</v>
      </c>
      <c r="G20" s="250" t="s">
        <v>114</v>
      </c>
      <c r="H20" s="167" t="s">
        <v>105</v>
      </c>
      <c r="I20" s="253" t="s">
        <v>116</v>
      </c>
      <c r="J20" s="24"/>
      <c r="K20" s="24"/>
      <c r="L20" s="24"/>
      <c r="M20" s="24"/>
      <c r="N20" s="24"/>
      <c r="O20" s="24"/>
      <c r="P20" s="24"/>
      <c r="Q20" s="24"/>
      <c r="R20" s="24"/>
      <c r="S20" s="24"/>
      <c r="T20" s="24"/>
      <c r="U20" s="24"/>
      <c r="V20" s="24"/>
      <c r="W20" s="24"/>
      <c r="X20" s="24"/>
    </row>
    <row r="21" spans="1:24" ht="15" thickBot="1">
      <c r="A21" s="173" t="s">
        <v>82</v>
      </c>
      <c r="B21" s="179"/>
      <c r="C21" s="174">
        <v>2024</v>
      </c>
      <c r="D21" s="169">
        <v>2023</v>
      </c>
      <c r="E21" s="251"/>
      <c r="F21" s="169">
        <v>2022</v>
      </c>
      <c r="G21" s="251"/>
      <c r="H21" s="169">
        <v>2021</v>
      </c>
      <c r="I21" s="255"/>
      <c r="J21" s="24"/>
      <c r="K21" s="24"/>
      <c r="L21" s="24"/>
      <c r="M21" s="24"/>
      <c r="N21" s="24"/>
      <c r="O21" s="24"/>
      <c r="P21" s="24"/>
      <c r="Q21" s="24"/>
      <c r="R21" s="24"/>
      <c r="S21" s="24"/>
      <c r="T21" s="24"/>
      <c r="U21" s="24"/>
      <c r="V21" s="24"/>
      <c r="W21" s="24"/>
      <c r="X21" s="24"/>
    </row>
    <row r="22" spans="1:24" ht="14.4">
      <c r="A22" s="33" t="s">
        <v>83</v>
      </c>
      <c r="B22" s="126"/>
      <c r="C22" s="28">
        <f>C13/C15</f>
        <v>1.5234733951076773</v>
      </c>
      <c r="D22" s="28">
        <f>D13/D15</f>
        <v>1.5725430076749172</v>
      </c>
      <c r="E22" s="26">
        <f>(C22-D22)/D22</f>
        <v>-3.1203987635156451E-2</v>
      </c>
      <c r="F22" s="28">
        <f>F13/F15</f>
        <v>1.2754805397665638</v>
      </c>
      <c r="G22" s="26">
        <f>(D22-F22)/F22</f>
        <v>0.23290239140984556</v>
      </c>
      <c r="H22" s="28">
        <f>H13/H15</f>
        <v>1.5813112352348686</v>
      </c>
      <c r="I22" s="26">
        <f>(F22-H22)/H22</f>
        <v>-0.19340322679923311</v>
      </c>
      <c r="J22" s="24"/>
      <c r="K22" s="24"/>
      <c r="L22" s="24"/>
      <c r="M22" s="24"/>
      <c r="N22" s="24"/>
      <c r="O22" s="24"/>
      <c r="P22" s="24"/>
      <c r="Q22" s="24"/>
      <c r="R22" s="24"/>
      <c r="S22" s="24"/>
      <c r="T22" s="24"/>
      <c r="U22" s="24"/>
      <c r="V22" s="24"/>
      <c r="W22" s="24"/>
      <c r="X22" s="24"/>
    </row>
    <row r="23" spans="1:24" ht="14.4">
      <c r="A23" s="34" t="s">
        <v>84</v>
      </c>
      <c r="B23" s="127"/>
      <c r="C23" s="176">
        <f>(C13-C12)/C15</f>
        <v>1.481600314860922</v>
      </c>
      <c r="D23" s="28">
        <f>(D13-D12)/D15</f>
        <v>1.5344012885322569</v>
      </c>
      <c r="E23" s="26">
        <f t="shared" ref="E23:E44" si="4">(C23-D23)/D23</f>
        <v>-3.4411450293972329E-2</v>
      </c>
      <c r="F23" s="28">
        <f>(F13-F12)/F15</f>
        <v>1.2367878682691889</v>
      </c>
      <c r="G23" s="26">
        <f t="shared" ref="G23:G44" si="5">(D23-F23)/F23</f>
        <v>0.24063416847673347</v>
      </c>
      <c r="H23" s="28">
        <f>(H13-H12)/H15</f>
        <v>1.5437345481183042</v>
      </c>
      <c r="I23" s="26">
        <f t="shared" ref="I23:I44" si="6">(F23-H23)/H23</f>
        <v>-0.19883384758296704</v>
      </c>
      <c r="J23" s="24"/>
      <c r="K23" s="24"/>
      <c r="L23" s="24"/>
      <c r="M23" s="24"/>
      <c r="N23" s="24"/>
      <c r="O23" s="24"/>
      <c r="P23" s="24"/>
      <c r="Q23" s="24"/>
      <c r="R23" s="24"/>
      <c r="S23" s="24"/>
      <c r="T23" s="24"/>
      <c r="U23" s="24"/>
      <c r="V23" s="24"/>
      <c r="W23" s="24"/>
      <c r="X23" s="24"/>
    </row>
    <row r="24" spans="1:24" ht="15" thickBot="1">
      <c r="A24" s="39" t="s">
        <v>85</v>
      </c>
      <c r="B24" s="217"/>
      <c r="C24" s="37">
        <f>C13-C15</f>
        <v>611.81999999999994</v>
      </c>
      <c r="D24" s="83">
        <f>D13-D15</f>
        <v>590.07999999999993</v>
      </c>
      <c r="E24" s="30">
        <f t="shared" si="4"/>
        <v>3.6842462039045572E-2</v>
      </c>
      <c r="F24" s="83">
        <f>F13-F15</f>
        <v>253.95999999999992</v>
      </c>
      <c r="G24" s="30">
        <f t="shared" si="5"/>
        <v>1.3235155142542137</v>
      </c>
      <c r="H24" s="83">
        <f>H13-H15</f>
        <v>507.88</v>
      </c>
      <c r="I24" s="30">
        <f t="shared" si="6"/>
        <v>-0.499960620619044</v>
      </c>
      <c r="J24" s="24"/>
      <c r="K24" s="24"/>
      <c r="L24" s="24"/>
      <c r="M24" s="24"/>
      <c r="N24" s="24"/>
      <c r="O24" s="24"/>
      <c r="P24" s="24"/>
      <c r="Q24" s="24"/>
      <c r="R24" s="24"/>
      <c r="S24" s="24"/>
      <c r="T24" s="24"/>
      <c r="U24" s="24"/>
      <c r="V24" s="24"/>
      <c r="W24" s="24"/>
      <c r="X24" s="24"/>
    </row>
    <row r="25" spans="1:24" ht="15" thickBot="1">
      <c r="A25" s="31" t="s">
        <v>86</v>
      </c>
      <c r="B25" s="181"/>
      <c r="C25" s="218"/>
      <c r="D25" s="32"/>
      <c r="E25" s="32"/>
      <c r="F25" s="32"/>
      <c r="G25" s="32"/>
      <c r="H25" s="32"/>
      <c r="I25" s="86"/>
      <c r="J25" s="24"/>
      <c r="K25" s="24"/>
      <c r="L25" s="24"/>
      <c r="M25" s="24"/>
      <c r="N25" s="24"/>
      <c r="O25" s="24"/>
      <c r="P25" s="24"/>
      <c r="Q25" s="24"/>
      <c r="R25" s="24"/>
      <c r="S25" s="24"/>
      <c r="T25" s="24"/>
      <c r="U25" s="24"/>
      <c r="V25" s="24"/>
      <c r="W25" s="24"/>
      <c r="X25" s="24"/>
    </row>
    <row r="26" spans="1:24" ht="14.4">
      <c r="A26" s="118" t="s">
        <v>87</v>
      </c>
      <c r="B26" s="177"/>
      <c r="C26" s="131">
        <f>C4/C11</f>
        <v>53.571902078696908</v>
      </c>
      <c r="D26" s="84">
        <f>D4/D11</f>
        <v>58.585459940652818</v>
      </c>
      <c r="E26" s="85">
        <f t="shared" si="4"/>
        <v>-8.5576828568635521E-2</v>
      </c>
      <c r="F26" s="84">
        <f>F4/F11</f>
        <v>55.844328030009052</v>
      </c>
      <c r="G26" s="85">
        <f t="shared" si="5"/>
        <v>4.908523403076432E-2</v>
      </c>
      <c r="H26" s="84">
        <f>H4/H11</f>
        <v>38.970670246824334</v>
      </c>
      <c r="I26" s="85">
        <f t="shared" si="6"/>
        <v>0.43298351494377313</v>
      </c>
      <c r="J26" s="24"/>
      <c r="K26" s="24"/>
      <c r="L26" s="24"/>
      <c r="M26" s="24"/>
      <c r="N26" s="24"/>
      <c r="O26" s="24"/>
      <c r="P26" s="24"/>
      <c r="Q26" s="24"/>
      <c r="R26" s="24"/>
      <c r="S26" s="24"/>
      <c r="T26" s="24"/>
      <c r="U26" s="24"/>
      <c r="V26" s="24"/>
      <c r="W26" s="24"/>
      <c r="X26" s="24"/>
    </row>
    <row r="27" spans="1:24" ht="14.4">
      <c r="A27" s="120" t="s">
        <v>88</v>
      </c>
      <c r="B27" s="127"/>
      <c r="C27" s="132">
        <f>C4/C12</f>
        <v>231.17797302819781</v>
      </c>
      <c r="D27" s="38">
        <f>D4/D12</f>
        <v>251.12312388705161</v>
      </c>
      <c r="E27" s="36">
        <f t="shared" si="4"/>
        <v>-7.9423792401629181E-2</v>
      </c>
      <c r="F27" s="38">
        <f>F4/F12</f>
        <v>242.07036725539666</v>
      </c>
      <c r="G27" s="36">
        <f t="shared" si="5"/>
        <v>3.7397211126233475E-2</v>
      </c>
      <c r="H27" s="38">
        <f>H4/H12</f>
        <v>229.88303381053916</v>
      </c>
      <c r="I27" s="36">
        <f t="shared" si="6"/>
        <v>5.3015367175386408E-2</v>
      </c>
      <c r="J27" s="24"/>
      <c r="K27" s="24"/>
      <c r="L27" s="24"/>
      <c r="M27" s="24"/>
      <c r="N27" s="24"/>
      <c r="O27" s="24"/>
      <c r="P27" s="24"/>
      <c r="Q27" s="24"/>
      <c r="R27" s="24"/>
      <c r="S27" s="24"/>
      <c r="T27" s="24"/>
      <c r="U27" s="24"/>
      <c r="V27" s="24"/>
      <c r="W27" s="24"/>
      <c r="X27" s="24"/>
    </row>
    <row r="28" spans="1:24" ht="15" thickBot="1">
      <c r="A28" s="129" t="s">
        <v>89</v>
      </c>
      <c r="B28" s="180"/>
      <c r="C28" s="134">
        <f>C4/C14</f>
        <v>1.2291824426875495</v>
      </c>
      <c r="D28" s="87">
        <f>D4/D14</f>
        <v>1.2271516938575597</v>
      </c>
      <c r="E28" s="88">
        <f t="shared" si="4"/>
        <v>1.65484743259906E-3</v>
      </c>
      <c r="F28" s="87">
        <f>F4/F14</f>
        <v>1.2464308913749549</v>
      </c>
      <c r="G28" s="88">
        <f t="shared" si="5"/>
        <v>-1.5467522227508343E-2</v>
      </c>
      <c r="H28" s="87">
        <f>H4/H14</f>
        <v>1.1343913085303385</v>
      </c>
      <c r="I28" s="88">
        <f t="shared" si="6"/>
        <v>9.8766256407384956E-2</v>
      </c>
      <c r="J28" s="24"/>
      <c r="K28" s="24"/>
      <c r="L28" s="24"/>
      <c r="M28" s="24"/>
      <c r="N28" s="24"/>
      <c r="O28" s="24"/>
      <c r="P28" s="24"/>
      <c r="Q28" s="24"/>
      <c r="R28" s="24"/>
      <c r="S28" s="24"/>
      <c r="T28" s="24"/>
      <c r="U28" s="24"/>
      <c r="V28" s="24"/>
      <c r="W28" s="24"/>
      <c r="X28" s="24"/>
    </row>
    <row r="29" spans="1:24" ht="15" thickBot="1">
      <c r="A29" s="31" t="s">
        <v>90</v>
      </c>
      <c r="B29" s="181"/>
      <c r="C29" s="32"/>
      <c r="D29" s="32"/>
      <c r="E29" s="32"/>
      <c r="F29" s="32"/>
      <c r="G29" s="32"/>
      <c r="H29" s="32"/>
      <c r="I29" s="86"/>
      <c r="J29" s="24"/>
      <c r="K29" s="24"/>
      <c r="L29" s="24"/>
      <c r="M29" s="24"/>
      <c r="N29" s="24"/>
      <c r="O29" s="24"/>
      <c r="P29" s="24"/>
      <c r="Q29" s="24"/>
      <c r="R29" s="24"/>
      <c r="S29" s="24"/>
      <c r="T29" s="24"/>
      <c r="U29" s="24"/>
      <c r="V29" s="24"/>
      <c r="W29" s="24"/>
      <c r="X29" s="24"/>
    </row>
    <row r="30" spans="1:24" ht="14.4">
      <c r="A30" s="118" t="s">
        <v>121</v>
      </c>
      <c r="B30" s="177"/>
      <c r="C30" s="131">
        <f>C16/C18</f>
        <v>2.7355664674262423E-3</v>
      </c>
      <c r="D30" s="84">
        <f>D16/D18</f>
        <v>3.2656153562296512E-3</v>
      </c>
      <c r="E30" s="85">
        <f t="shared" si="4"/>
        <v>-0.16231210077826866</v>
      </c>
      <c r="F30" s="84">
        <f>F16/F18</f>
        <v>1.4759165885423264</v>
      </c>
      <c r="G30" s="85">
        <f t="shared" si="5"/>
        <v>-0.99778739843323072</v>
      </c>
      <c r="H30" s="84">
        <f>H16/H18</f>
        <v>1.437295690289331</v>
      </c>
      <c r="I30" s="85">
        <f t="shared" si="6"/>
        <v>2.6870530896270159E-2</v>
      </c>
      <c r="J30" s="24"/>
      <c r="K30" s="24"/>
      <c r="L30" s="24"/>
      <c r="M30" s="24"/>
      <c r="N30" s="24"/>
      <c r="O30" s="24"/>
      <c r="P30" s="24"/>
      <c r="Q30" s="24"/>
      <c r="R30" s="24"/>
      <c r="S30" s="24"/>
      <c r="T30" s="24"/>
      <c r="U30" s="24"/>
      <c r="V30" s="24"/>
      <c r="W30" s="24"/>
      <c r="X30" s="24"/>
    </row>
    <row r="31" spans="1:24" ht="15" thickBot="1">
      <c r="A31" s="129" t="s">
        <v>100</v>
      </c>
      <c r="B31" s="180"/>
      <c r="C31" s="134">
        <f>C14/C18</f>
        <v>2.5179165925784082</v>
      </c>
      <c r="D31" s="87">
        <f>D14/D18</f>
        <v>2.6269785547039555</v>
      </c>
      <c r="E31" s="88">
        <f t="shared" si="4"/>
        <v>-4.1516121983659636E-2</v>
      </c>
      <c r="F31" s="87">
        <f>F14/F18</f>
        <v>2.9254398189204482</v>
      </c>
      <c r="G31" s="88">
        <f t="shared" si="5"/>
        <v>-0.10202269836015002</v>
      </c>
      <c r="H31" s="87">
        <f>H14/H18</f>
        <v>2.8959027061378881</v>
      </c>
      <c r="I31" s="88">
        <f t="shared" si="6"/>
        <v>1.0199621941702656E-2</v>
      </c>
      <c r="J31" s="24"/>
      <c r="K31" s="24"/>
      <c r="L31" s="24"/>
      <c r="M31" s="24"/>
      <c r="N31" s="24"/>
      <c r="O31" s="24"/>
      <c r="P31" s="24"/>
      <c r="Q31" s="24"/>
      <c r="R31" s="24"/>
      <c r="S31" s="24"/>
      <c r="T31" s="24"/>
      <c r="U31" s="24"/>
      <c r="V31" s="24"/>
      <c r="W31" s="24"/>
      <c r="X31" s="24"/>
    </row>
    <row r="32" spans="1:24" ht="15" thickBot="1">
      <c r="A32" s="31" t="s">
        <v>91</v>
      </c>
      <c r="B32" s="181"/>
      <c r="C32" s="32"/>
      <c r="D32" s="32"/>
      <c r="E32" s="32"/>
      <c r="F32" s="32"/>
      <c r="G32" s="32"/>
      <c r="H32" s="32"/>
      <c r="I32" s="86"/>
      <c r="J32" s="24"/>
      <c r="K32" s="24"/>
      <c r="L32" s="24"/>
      <c r="M32" s="24"/>
      <c r="N32" s="24"/>
      <c r="O32" s="24"/>
      <c r="P32" s="24"/>
      <c r="Q32" s="24"/>
      <c r="R32" s="24"/>
      <c r="S32" s="24"/>
      <c r="T32" s="24"/>
      <c r="U32" s="24"/>
      <c r="V32" s="24"/>
      <c r="W32" s="24"/>
      <c r="X32" s="24"/>
    </row>
    <row r="33" spans="1:24" ht="17.399999999999999">
      <c r="A33" s="118" t="s">
        <v>19</v>
      </c>
      <c r="B33" s="177"/>
      <c r="C33" s="135">
        <v>0.1356</v>
      </c>
      <c r="D33" s="85">
        <v>0.1245</v>
      </c>
      <c r="E33" s="85">
        <f t="shared" si="4"/>
        <v>8.9156626506024086E-2</v>
      </c>
      <c r="F33" s="85">
        <v>0.23880000000000001</v>
      </c>
      <c r="G33" s="85">
        <f t="shared" si="5"/>
        <v>-0.47864321608040206</v>
      </c>
      <c r="H33" s="85">
        <v>0.22620000000000001</v>
      </c>
      <c r="I33" s="85">
        <f t="shared" si="6"/>
        <v>5.5702917771883284E-2</v>
      </c>
      <c r="J33" s="42"/>
      <c r="K33" s="45"/>
      <c r="L33" s="45"/>
      <c r="M33" s="45"/>
      <c r="N33" s="45"/>
      <c r="O33" s="24"/>
      <c r="P33" s="24"/>
      <c r="Q33" s="24"/>
      <c r="R33" s="24"/>
      <c r="S33" s="24"/>
      <c r="T33" s="24"/>
      <c r="U33" s="24"/>
      <c r="V33" s="24"/>
      <c r="W33" s="24"/>
      <c r="X33" s="24"/>
    </row>
    <row r="34" spans="1:24" ht="17.399999999999999">
      <c r="A34" s="120" t="s">
        <v>92</v>
      </c>
      <c r="B34" s="127"/>
      <c r="C34" s="136">
        <v>0.26669999999999999</v>
      </c>
      <c r="D34" s="36">
        <v>0.26200000000000001</v>
      </c>
      <c r="E34" s="36">
        <f t="shared" si="4"/>
        <v>1.7938931297709855E-2</v>
      </c>
      <c r="F34" s="36">
        <v>0.1041</v>
      </c>
      <c r="G34" s="36">
        <f t="shared" si="5"/>
        <v>1.5168107588856869</v>
      </c>
      <c r="H34" s="36">
        <v>8.6499999999999994E-2</v>
      </c>
      <c r="I34" s="36">
        <f t="shared" si="6"/>
        <v>0.20346820809248561</v>
      </c>
      <c r="J34" s="42"/>
      <c r="K34" s="45"/>
      <c r="L34" s="45"/>
      <c r="M34" s="45"/>
      <c r="N34" s="45"/>
      <c r="O34" s="24"/>
      <c r="P34" s="24"/>
      <c r="Q34" s="24"/>
      <c r="R34" s="24"/>
      <c r="S34" s="24"/>
      <c r="T34" s="24"/>
      <c r="U34" s="24"/>
      <c r="V34" s="24"/>
      <c r="W34" s="24"/>
      <c r="X34" s="24"/>
    </row>
    <row r="35" spans="1:24" ht="14.4">
      <c r="A35" s="120" t="s">
        <v>101</v>
      </c>
      <c r="B35" s="127"/>
      <c r="C35" s="137">
        <f>C33*C28</f>
        <v>0.16667713922843172</v>
      </c>
      <c r="D35" s="35">
        <f>D33*D28</f>
        <v>0.15278038588526618</v>
      </c>
      <c r="E35" s="36">
        <f t="shared" si="4"/>
        <v>9.0959014553095907E-2</v>
      </c>
      <c r="F35" s="35">
        <f>F33*F28</f>
        <v>0.29764769686033926</v>
      </c>
      <c r="G35" s="36">
        <f t="shared" si="5"/>
        <v>-0.48670731372414072</v>
      </c>
      <c r="H35" s="35">
        <f>H33*H28</f>
        <v>0.25659931398956259</v>
      </c>
      <c r="I35" s="36">
        <f t="shared" si="6"/>
        <v>0.1599707428385656</v>
      </c>
      <c r="J35" s="24"/>
      <c r="K35" s="24"/>
      <c r="L35" s="24"/>
      <c r="M35" s="24"/>
      <c r="N35" s="24"/>
      <c r="O35" s="24"/>
      <c r="P35" s="24"/>
      <c r="Q35" s="24"/>
      <c r="R35" s="24"/>
      <c r="S35" s="24"/>
      <c r="T35" s="24"/>
      <c r="U35" s="24"/>
      <c r="V35" s="24"/>
      <c r="W35" s="24"/>
      <c r="X35" s="24"/>
    </row>
    <row r="36" spans="1:24" ht="15" thickBot="1">
      <c r="A36" s="129" t="s">
        <v>102</v>
      </c>
      <c r="B36" s="180"/>
      <c r="C36" s="138">
        <f>C35*C31</f>
        <v>0.41967913446676974</v>
      </c>
      <c r="D36" s="89">
        <f>D35*D31</f>
        <v>0.40135079729998918</v>
      </c>
      <c r="E36" s="88">
        <f t="shared" si="4"/>
        <v>4.5666627025736463E-2</v>
      </c>
      <c r="F36" s="89">
        <f>F35*F31</f>
        <v>0.87075042440519934</v>
      </c>
      <c r="G36" s="88">
        <f t="shared" si="5"/>
        <v>-0.53907481862653384</v>
      </c>
      <c r="H36" s="89">
        <f>H35*H31</f>
        <v>0.74308664777549993</v>
      </c>
      <c r="I36" s="88">
        <f t="shared" si="6"/>
        <v>0.171802005878955</v>
      </c>
      <c r="J36" s="24"/>
      <c r="K36" s="24"/>
      <c r="L36" s="24"/>
      <c r="M36" s="24"/>
      <c r="N36" s="24"/>
      <c r="O36" s="24"/>
      <c r="P36" s="24"/>
      <c r="Q36" s="24"/>
      <c r="R36" s="24"/>
      <c r="S36" s="24"/>
      <c r="T36" s="24"/>
      <c r="U36" s="24"/>
      <c r="V36" s="24"/>
      <c r="W36" s="24"/>
      <c r="X36" s="24"/>
    </row>
    <row r="37" spans="1:24" ht="15" thickBot="1">
      <c r="A37" s="31" t="s">
        <v>93</v>
      </c>
      <c r="B37" s="181"/>
      <c r="C37" s="32"/>
      <c r="D37" s="32"/>
      <c r="E37" s="32"/>
      <c r="F37" s="32"/>
      <c r="G37" s="32"/>
      <c r="H37" s="32"/>
      <c r="I37" s="86"/>
      <c r="J37" s="24"/>
      <c r="K37" s="24"/>
      <c r="L37" s="24"/>
      <c r="M37" s="24"/>
      <c r="N37" s="24"/>
      <c r="O37" s="24"/>
      <c r="P37" s="24"/>
      <c r="Q37" s="24"/>
      <c r="R37" s="24"/>
      <c r="S37" s="24"/>
      <c r="T37" s="24"/>
      <c r="U37" s="24"/>
      <c r="V37" s="24"/>
      <c r="W37" s="24"/>
      <c r="X37" s="24"/>
    </row>
    <row r="38" spans="1:24" ht="14.4">
      <c r="A38" s="118" t="s">
        <v>129</v>
      </c>
      <c r="B38" s="177"/>
      <c r="C38" s="139">
        <f>C9/C19</f>
        <v>1.1211467910022364</v>
      </c>
      <c r="D38" s="90">
        <f>D9/D19</f>
        <v>0.8918324538928849</v>
      </c>
      <c r="E38" s="85">
        <f t="shared" si="4"/>
        <v>0.25712714995780322</v>
      </c>
      <c r="F38" s="90">
        <f>F9/F19</f>
        <v>0.64565470291697191</v>
      </c>
      <c r="G38" s="85">
        <f t="shared" si="5"/>
        <v>0.38128391207206969</v>
      </c>
      <c r="H38" s="90">
        <f>H9/H19</f>
        <v>0.46422579269159681</v>
      </c>
      <c r="I38" s="85">
        <f t="shared" si="6"/>
        <v>0.39082040050692607</v>
      </c>
      <c r="J38" s="24"/>
      <c r="K38" s="24"/>
      <c r="L38" s="24"/>
      <c r="M38" s="24"/>
      <c r="N38" s="24"/>
      <c r="O38" s="24"/>
      <c r="P38" s="24"/>
      <c r="Q38" s="24"/>
      <c r="R38" s="24"/>
      <c r="S38" s="24"/>
      <c r="T38" s="24"/>
      <c r="U38" s="24"/>
      <c r="V38" s="24"/>
      <c r="W38" s="24"/>
      <c r="X38" s="24"/>
    </row>
    <row r="39" spans="1:24" ht="14.4">
      <c r="A39" s="120" t="s">
        <v>94</v>
      </c>
      <c r="B39" s="127"/>
      <c r="C39" s="132">
        <f>C3/C38</f>
        <v>53.596906740716115</v>
      </c>
      <c r="D39" s="38">
        <f>D3/D38</f>
        <v>51.287660367530968</v>
      </c>
      <c r="E39" s="36">
        <f t="shared" si="4"/>
        <v>4.5025379528660994E-2</v>
      </c>
      <c r="F39" s="38">
        <f>F3/F38</f>
        <v>42.979629629629628</v>
      </c>
      <c r="G39" s="36">
        <f t="shared" si="5"/>
        <v>0.19330158983440579</v>
      </c>
      <c r="H39" s="38">
        <f>H3/H38</f>
        <v>75.265098471622395</v>
      </c>
      <c r="I39" s="36">
        <f t="shared" si="6"/>
        <v>-0.42895670765867039</v>
      </c>
      <c r="J39" s="24"/>
      <c r="K39" s="24"/>
      <c r="L39" s="24"/>
      <c r="M39" s="24"/>
      <c r="N39" s="24"/>
      <c r="O39" s="24"/>
      <c r="P39" s="24"/>
      <c r="Q39" s="24"/>
      <c r="R39" s="24"/>
      <c r="S39" s="24"/>
      <c r="T39" s="24"/>
      <c r="U39" s="24"/>
      <c r="V39" s="24"/>
      <c r="W39" s="24"/>
      <c r="X39" s="24"/>
    </row>
    <row r="40" spans="1:24" ht="14.4">
      <c r="A40" s="120" t="s">
        <v>95</v>
      </c>
      <c r="B40" s="127"/>
      <c r="C40" s="140">
        <f>C18/C19</f>
        <v>2.6715216978236405</v>
      </c>
      <c r="D40" s="37">
        <f>D18/D19</f>
        <v>2.2225843210405221</v>
      </c>
      <c r="E40" s="36">
        <f t="shared" si="4"/>
        <v>0.20198890657743165</v>
      </c>
      <c r="F40" s="37">
        <f>F18/F19</f>
        <v>1.7005041147830584</v>
      </c>
      <c r="G40" s="36">
        <f t="shared" si="5"/>
        <v>0.30701496204498629</v>
      </c>
      <c r="H40" s="37">
        <f>H18/H19</f>
        <v>1.633278828380492</v>
      </c>
      <c r="I40" s="36">
        <f t="shared" si="6"/>
        <v>4.1159712129021413E-2</v>
      </c>
      <c r="J40" s="24"/>
      <c r="K40" s="24"/>
      <c r="L40" s="24"/>
      <c r="M40" s="24"/>
      <c r="N40" s="24"/>
      <c r="O40" s="24"/>
      <c r="P40" s="24"/>
      <c r="Q40" s="24"/>
      <c r="R40" s="24"/>
      <c r="S40" s="24"/>
      <c r="T40" s="24"/>
      <c r="U40" s="24"/>
      <c r="V40" s="24"/>
      <c r="W40" s="24"/>
      <c r="X40" s="24"/>
    </row>
    <row r="41" spans="1:24" ht="14.4">
      <c r="A41" s="130" t="s">
        <v>119</v>
      </c>
      <c r="B41" s="127"/>
      <c r="C41" s="140">
        <f>C3*C19</f>
        <v>82223.550600000002</v>
      </c>
      <c r="D41" s="37">
        <f>D3*D19</f>
        <v>63019.199800000002</v>
      </c>
      <c r="E41" s="36">
        <f t="shared" si="4"/>
        <v>0.30473809348496361</v>
      </c>
      <c r="F41" s="37">
        <f>F3*F19</f>
        <v>38642.985000000001</v>
      </c>
      <c r="G41" s="36">
        <f t="shared" si="5"/>
        <v>0.63080568957082384</v>
      </c>
      <c r="H41" s="37">
        <f>H3*H19</f>
        <v>49146.603999999992</v>
      </c>
      <c r="I41" s="36">
        <f t="shared" si="6"/>
        <v>-0.21372013822155431</v>
      </c>
      <c r="J41" s="24"/>
      <c r="K41" s="24"/>
      <c r="L41" s="24"/>
      <c r="M41" s="24"/>
      <c r="N41" s="24"/>
      <c r="O41" s="24"/>
      <c r="P41" s="24"/>
      <c r="Q41" s="24"/>
      <c r="R41" s="24"/>
      <c r="S41" s="24"/>
      <c r="T41" s="24"/>
      <c r="U41" s="24"/>
      <c r="V41" s="24"/>
      <c r="W41" s="24"/>
      <c r="X41" s="24"/>
    </row>
    <row r="42" spans="1:24" ht="14.4">
      <c r="A42" s="120" t="s">
        <v>96</v>
      </c>
      <c r="B42" s="127"/>
      <c r="C42" s="140">
        <f>C10/C19</f>
        <v>1.0398804390721605</v>
      </c>
      <c r="D42" s="37">
        <f>D10/D19</f>
        <v>0.94025127561203981</v>
      </c>
      <c r="E42" s="36">
        <f t="shared" si="4"/>
        <v>0.10596014708437264</v>
      </c>
      <c r="F42" s="37">
        <f>F10/F19</f>
        <v>0.64568342740603502</v>
      </c>
      <c r="G42" s="36">
        <f t="shared" si="5"/>
        <v>0.45621094750627256</v>
      </c>
      <c r="H42" s="37">
        <f>H10/H19</f>
        <v>0.7651926631593915</v>
      </c>
      <c r="I42" s="36">
        <f t="shared" si="6"/>
        <v>-0.15618188922501786</v>
      </c>
      <c r="J42" s="24"/>
      <c r="K42" s="24"/>
      <c r="L42" s="24"/>
      <c r="M42" s="24"/>
      <c r="N42" s="24"/>
      <c r="O42" s="24"/>
      <c r="P42" s="24"/>
      <c r="Q42" s="24"/>
      <c r="R42" s="24"/>
      <c r="S42" s="24"/>
      <c r="T42" s="24"/>
      <c r="U42" s="24"/>
      <c r="V42" s="24"/>
      <c r="W42" s="24"/>
      <c r="X42" s="24"/>
    </row>
    <row r="43" spans="1:24" ht="14.4">
      <c r="A43" s="120" t="s">
        <v>97</v>
      </c>
      <c r="B43" s="127"/>
      <c r="C43" s="140">
        <f>C4/C19</f>
        <v>8.2683031994972023</v>
      </c>
      <c r="D43" s="37">
        <f>D4/D19</f>
        <v>7.1649477053499497</v>
      </c>
      <c r="E43" s="36">
        <f t="shared" si="4"/>
        <v>0.15399351670402214</v>
      </c>
      <c r="F43" s="37">
        <f>F4/F19</f>
        <v>6.2006477372283744</v>
      </c>
      <c r="G43" s="36">
        <f t="shared" si="5"/>
        <v>0.1555160055830889</v>
      </c>
      <c r="H43" s="37">
        <f>H4/H19</f>
        <v>5.3654628181430404</v>
      </c>
      <c r="I43" s="36">
        <f t="shared" si="6"/>
        <v>0.15565943654687131</v>
      </c>
      <c r="J43" s="24"/>
      <c r="K43" s="24"/>
      <c r="L43" s="24"/>
      <c r="M43" s="24"/>
      <c r="N43" s="24"/>
      <c r="O43" s="24"/>
      <c r="P43" s="24"/>
      <c r="Q43" s="24"/>
      <c r="R43" s="24"/>
      <c r="S43" s="24"/>
      <c r="T43" s="24"/>
      <c r="U43" s="24"/>
      <c r="V43" s="24"/>
      <c r="W43" s="24"/>
      <c r="X43" s="24"/>
    </row>
    <row r="44" spans="1:24" ht="15" thickBot="1">
      <c r="A44" s="129" t="s">
        <v>103</v>
      </c>
      <c r="B44" s="128"/>
      <c r="C44" s="134">
        <f>C3/C40</f>
        <v>22.492798785408489</v>
      </c>
      <c r="D44" s="87">
        <f>D3/D40</f>
        <v>20.579646660418458</v>
      </c>
      <c r="E44" s="88">
        <f t="shared" si="4"/>
        <v>9.2963312565986E-2</v>
      </c>
      <c r="F44" s="87">
        <f>F3/F40</f>
        <v>16.318690298223832</v>
      </c>
      <c r="G44" s="88">
        <f t="shared" si="5"/>
        <v>0.26110896673236089</v>
      </c>
      <c r="H44" s="87">
        <f>H3/H40</f>
        <v>21.3925506122218</v>
      </c>
      <c r="I44" s="88">
        <f t="shared" si="6"/>
        <v>-0.23717883883837659</v>
      </c>
      <c r="J44" s="24"/>
      <c r="K44" s="24"/>
      <c r="L44" s="24"/>
      <c r="M44" s="24"/>
      <c r="N44" s="24"/>
      <c r="O44" s="24"/>
      <c r="P44" s="24"/>
      <c r="Q44" s="24"/>
      <c r="R44" s="24"/>
      <c r="S44" s="24"/>
      <c r="T44" s="24"/>
      <c r="U44" s="24"/>
      <c r="V44" s="24"/>
      <c r="W44" s="24"/>
      <c r="X44" s="24"/>
    </row>
    <row r="45" spans="1:24" ht="15" thickBot="1">
      <c r="A45" s="101"/>
      <c r="B45" s="175"/>
      <c r="C45" s="102"/>
      <c r="D45" s="102"/>
      <c r="E45" s="102"/>
      <c r="F45" s="102"/>
      <c r="G45" s="102"/>
      <c r="H45" s="102"/>
      <c r="I45" s="103"/>
      <c r="J45" s="24"/>
      <c r="K45" s="24"/>
      <c r="L45" s="24"/>
      <c r="M45" s="24"/>
      <c r="N45" s="24"/>
      <c r="O45" s="24"/>
      <c r="P45" s="24"/>
      <c r="Q45" s="24"/>
      <c r="R45" s="24"/>
      <c r="S45" s="24"/>
      <c r="T45" s="24"/>
      <c r="U45" s="24"/>
      <c r="V45" s="24"/>
      <c r="W45" s="24"/>
      <c r="X45" s="24"/>
    </row>
    <row r="46" spans="1:24" ht="13.8">
      <c r="A46" s="24"/>
      <c r="B46" s="24"/>
      <c r="C46" s="24"/>
      <c r="D46" s="24"/>
      <c r="E46" s="24"/>
      <c r="F46" s="24"/>
      <c r="G46" s="24"/>
      <c r="H46" s="24"/>
      <c r="I46" s="24"/>
      <c r="J46" s="24"/>
      <c r="K46" s="24"/>
      <c r="L46" s="24"/>
      <c r="M46" s="24"/>
      <c r="N46" s="24"/>
      <c r="O46" s="24"/>
      <c r="P46" s="24"/>
      <c r="Q46" s="24"/>
      <c r="R46" s="24"/>
      <c r="S46" s="24"/>
      <c r="T46" s="24"/>
      <c r="U46" s="24"/>
      <c r="V46" s="24"/>
      <c r="W46" s="24"/>
      <c r="X46" s="24"/>
    </row>
    <row r="47" spans="1:24" ht="13.8">
      <c r="A47" s="24"/>
      <c r="B47" s="24"/>
      <c r="C47" s="24"/>
      <c r="D47" s="24"/>
      <c r="E47" s="24"/>
      <c r="F47" s="24"/>
      <c r="G47" s="24"/>
      <c r="H47" s="24"/>
      <c r="I47" s="24"/>
      <c r="J47" s="24"/>
      <c r="K47" s="24"/>
      <c r="L47" s="24"/>
      <c r="M47" s="24"/>
      <c r="N47" s="24"/>
      <c r="O47" s="24"/>
      <c r="P47" s="24"/>
      <c r="Q47" s="24"/>
      <c r="R47" s="24"/>
      <c r="S47" s="24"/>
      <c r="T47" s="24"/>
      <c r="U47" s="24"/>
      <c r="V47" s="24"/>
      <c r="W47" s="24"/>
      <c r="X47" s="24"/>
    </row>
    <row r="48" spans="1:24" ht="13.8">
      <c r="A48" s="24"/>
      <c r="B48" s="24"/>
      <c r="C48" s="24"/>
      <c r="D48" s="24"/>
      <c r="E48" s="24"/>
      <c r="F48" s="24"/>
      <c r="G48" s="24"/>
      <c r="H48" s="24"/>
      <c r="I48" s="24"/>
      <c r="J48" s="24"/>
      <c r="K48" s="24"/>
      <c r="L48" s="24"/>
      <c r="M48" s="24"/>
      <c r="N48" s="24"/>
      <c r="O48" s="24"/>
      <c r="P48" s="24"/>
      <c r="Q48" s="24"/>
      <c r="R48" s="24"/>
      <c r="S48" s="24"/>
      <c r="T48" s="24"/>
      <c r="U48" s="24"/>
      <c r="V48" s="24"/>
      <c r="W48" s="24"/>
      <c r="X48" s="24"/>
    </row>
    <row r="49" spans="1:24" ht="13.8">
      <c r="A49" s="24"/>
      <c r="B49" s="29"/>
      <c r="C49" s="24"/>
      <c r="D49" s="24"/>
      <c r="E49" s="24"/>
      <c r="F49" s="24"/>
      <c r="G49" s="24"/>
      <c r="H49" s="24"/>
      <c r="I49" s="24"/>
      <c r="J49" s="24"/>
      <c r="K49" s="24"/>
      <c r="L49" s="24"/>
      <c r="M49" s="24"/>
      <c r="N49" s="24"/>
      <c r="O49" s="24"/>
      <c r="P49" s="24"/>
      <c r="Q49" s="24"/>
      <c r="R49" s="24"/>
      <c r="S49" s="24"/>
      <c r="T49" s="24"/>
      <c r="U49" s="24"/>
      <c r="V49" s="24"/>
      <c r="W49" s="24"/>
      <c r="X49" s="24"/>
    </row>
    <row r="50" spans="1:24" ht="13.8">
      <c r="A50" s="24"/>
      <c r="B50" s="24"/>
      <c r="C50" s="24"/>
      <c r="D50" s="24"/>
      <c r="E50" s="24"/>
      <c r="F50" s="24"/>
      <c r="G50" s="24"/>
      <c r="H50" s="24"/>
      <c r="I50" s="24"/>
      <c r="J50" s="24"/>
      <c r="K50" s="24"/>
      <c r="L50" s="24"/>
      <c r="M50" s="24"/>
      <c r="N50" s="24"/>
      <c r="O50" s="24"/>
      <c r="P50" s="24"/>
      <c r="Q50" s="24"/>
      <c r="R50" s="24"/>
      <c r="S50" s="24"/>
      <c r="T50" s="24"/>
      <c r="U50" s="24"/>
      <c r="V50" s="24"/>
      <c r="W50" s="24"/>
      <c r="X50" s="24"/>
    </row>
    <row r="51" spans="1:24" ht="13.8">
      <c r="A51" s="24"/>
      <c r="B51" s="24"/>
      <c r="C51" s="24"/>
      <c r="D51" s="24"/>
      <c r="E51" s="24"/>
      <c r="F51" s="24"/>
      <c r="G51" s="24"/>
      <c r="H51" s="24"/>
      <c r="I51" s="24"/>
      <c r="J51" s="24"/>
      <c r="K51" s="24"/>
      <c r="L51" s="24"/>
      <c r="M51" s="24"/>
      <c r="N51" s="24"/>
      <c r="O51" s="24"/>
      <c r="P51" s="24"/>
      <c r="Q51" s="24"/>
      <c r="R51" s="24"/>
      <c r="S51" s="24"/>
      <c r="T51" s="24"/>
      <c r="U51" s="24"/>
      <c r="V51" s="24"/>
      <c r="W51" s="24"/>
      <c r="X51" s="24"/>
    </row>
    <row r="52" spans="1:24" ht="13.8">
      <c r="A52" s="24"/>
      <c r="B52" s="24"/>
      <c r="C52" s="24"/>
      <c r="D52" s="24"/>
      <c r="E52" s="24"/>
      <c r="F52" s="24"/>
      <c r="G52" s="24"/>
      <c r="H52" s="24"/>
      <c r="I52" s="24"/>
      <c r="J52" s="24"/>
      <c r="K52" s="24"/>
      <c r="L52" s="24"/>
      <c r="M52" s="24"/>
      <c r="N52" s="24"/>
      <c r="O52" s="24"/>
      <c r="P52" s="24"/>
      <c r="Q52" s="24"/>
      <c r="R52" s="24"/>
      <c r="S52" s="24"/>
      <c r="T52" s="24"/>
      <c r="U52" s="24"/>
      <c r="V52" s="24"/>
      <c r="W52" s="24"/>
      <c r="X52" s="24"/>
    </row>
    <row r="53" spans="1:24" ht="13.8">
      <c r="A53" s="24"/>
      <c r="B53" s="24"/>
      <c r="C53" s="24"/>
      <c r="D53" s="24"/>
      <c r="E53" s="24"/>
      <c r="F53" s="24"/>
      <c r="G53" s="24"/>
      <c r="H53" s="24"/>
      <c r="I53" s="24"/>
      <c r="J53" s="24"/>
      <c r="K53" s="24"/>
      <c r="L53" s="24"/>
      <c r="M53" s="24"/>
      <c r="N53" s="24"/>
      <c r="O53" s="24"/>
      <c r="P53" s="24"/>
      <c r="Q53" s="24"/>
      <c r="R53" s="24"/>
      <c r="S53" s="24"/>
      <c r="T53" s="24"/>
      <c r="U53" s="24"/>
      <c r="V53" s="24"/>
      <c r="W53" s="24"/>
      <c r="X53" s="24"/>
    </row>
    <row r="54" spans="1:24" ht="13.8">
      <c r="A54" s="24"/>
      <c r="B54" s="24"/>
      <c r="C54" s="24"/>
      <c r="D54" s="24"/>
      <c r="E54" s="24"/>
      <c r="F54" s="24"/>
      <c r="G54" s="24"/>
      <c r="H54" s="24"/>
      <c r="I54" s="24"/>
      <c r="J54" s="24"/>
      <c r="K54" s="24"/>
      <c r="L54" s="24"/>
      <c r="M54" s="24"/>
      <c r="N54" s="24"/>
      <c r="O54" s="24"/>
      <c r="P54" s="24"/>
      <c r="Q54" s="24"/>
      <c r="R54" s="24"/>
      <c r="S54" s="24"/>
      <c r="T54" s="24"/>
      <c r="U54" s="24"/>
      <c r="V54" s="24"/>
      <c r="W54" s="24"/>
      <c r="X54" s="24"/>
    </row>
    <row r="55" spans="1:24" ht="13.8">
      <c r="A55" s="24"/>
      <c r="B55" s="24"/>
      <c r="C55" s="24"/>
      <c r="D55" s="24"/>
      <c r="E55" s="24"/>
      <c r="F55" s="24"/>
      <c r="G55" s="24"/>
      <c r="H55" s="24"/>
      <c r="I55" s="24"/>
      <c r="J55" s="24"/>
      <c r="K55" s="24"/>
      <c r="L55" s="24"/>
      <c r="M55" s="24"/>
      <c r="N55" s="24"/>
      <c r="O55" s="24"/>
      <c r="P55" s="24"/>
      <c r="Q55" s="24"/>
      <c r="R55" s="24"/>
      <c r="S55" s="24"/>
      <c r="T55" s="24"/>
      <c r="U55" s="24"/>
      <c r="V55" s="24"/>
      <c r="W55" s="24"/>
      <c r="X55" s="24"/>
    </row>
    <row r="56" spans="1:24" ht="13.8">
      <c r="A56" s="24"/>
      <c r="B56" s="24"/>
      <c r="C56" s="24"/>
      <c r="D56" s="24"/>
      <c r="E56" s="24"/>
      <c r="F56" s="24"/>
      <c r="G56" s="24"/>
      <c r="H56" s="24"/>
      <c r="I56" s="24"/>
      <c r="J56" s="24"/>
      <c r="K56" s="24"/>
      <c r="L56" s="24"/>
      <c r="M56" s="24"/>
      <c r="N56" s="24"/>
      <c r="O56" s="24"/>
      <c r="P56" s="24"/>
      <c r="Q56" s="24"/>
      <c r="R56" s="24"/>
      <c r="S56" s="24"/>
      <c r="T56" s="24"/>
      <c r="U56" s="24"/>
      <c r="V56" s="24"/>
      <c r="W56" s="24"/>
      <c r="X56" s="24"/>
    </row>
    <row r="57" spans="1:24" ht="13.8">
      <c r="A57" s="24"/>
      <c r="B57" s="24"/>
      <c r="C57" s="24"/>
      <c r="D57" s="24"/>
      <c r="E57" s="24"/>
      <c r="F57" s="24"/>
      <c r="G57" s="24"/>
      <c r="H57" s="24"/>
      <c r="I57" s="24"/>
      <c r="J57" s="24"/>
      <c r="K57" s="24"/>
      <c r="L57" s="24"/>
      <c r="M57" s="24"/>
      <c r="N57" s="24"/>
      <c r="O57" s="24"/>
      <c r="P57" s="24"/>
      <c r="Q57" s="24"/>
      <c r="R57" s="24"/>
      <c r="S57" s="24"/>
      <c r="T57" s="24"/>
      <c r="U57" s="24"/>
      <c r="V57" s="24"/>
      <c r="W57" s="24"/>
      <c r="X57" s="24"/>
    </row>
    <row r="58" spans="1:24" ht="13.8">
      <c r="A58" s="24"/>
      <c r="B58" s="24"/>
      <c r="C58" s="24"/>
      <c r="D58" s="24"/>
      <c r="E58" s="24"/>
      <c r="F58" s="24"/>
      <c r="G58" s="24"/>
      <c r="H58" s="24"/>
      <c r="I58" s="24"/>
      <c r="J58" s="24"/>
      <c r="K58" s="24"/>
      <c r="L58" s="24"/>
      <c r="M58" s="24"/>
      <c r="N58" s="24"/>
      <c r="O58" s="24"/>
      <c r="P58" s="24"/>
      <c r="Q58" s="24"/>
      <c r="R58" s="24"/>
      <c r="S58" s="24"/>
      <c r="T58" s="24"/>
      <c r="U58" s="24"/>
      <c r="V58" s="24"/>
      <c r="W58" s="24"/>
      <c r="X58" s="24"/>
    </row>
    <row r="59" spans="1:24" ht="13.8">
      <c r="A59" s="24"/>
      <c r="B59" s="24"/>
      <c r="C59" s="24"/>
      <c r="D59" s="24"/>
      <c r="E59" s="24"/>
      <c r="F59" s="24"/>
      <c r="G59" s="24"/>
      <c r="H59" s="24"/>
      <c r="I59" s="24"/>
      <c r="J59" s="24"/>
      <c r="K59" s="24"/>
      <c r="L59" s="24"/>
      <c r="M59" s="24"/>
      <c r="N59" s="24"/>
      <c r="O59" s="24"/>
      <c r="P59" s="24"/>
      <c r="Q59" s="24"/>
      <c r="R59" s="24"/>
      <c r="S59" s="24"/>
      <c r="T59" s="24"/>
      <c r="U59" s="24"/>
      <c r="V59" s="24"/>
      <c r="W59" s="24"/>
      <c r="X59" s="24"/>
    </row>
    <row r="60" spans="1:24" ht="13.8">
      <c r="A60" s="24"/>
      <c r="B60" s="24"/>
      <c r="C60" s="24"/>
      <c r="D60" s="24"/>
      <c r="E60" s="24"/>
      <c r="F60" s="24"/>
      <c r="G60" s="24"/>
      <c r="H60" s="24"/>
      <c r="I60" s="24"/>
      <c r="J60" s="24"/>
      <c r="K60" s="24"/>
      <c r="L60" s="24"/>
      <c r="M60" s="24"/>
      <c r="N60" s="24"/>
      <c r="O60" s="24"/>
      <c r="P60" s="24"/>
      <c r="Q60" s="24"/>
      <c r="R60" s="24"/>
      <c r="S60" s="24"/>
      <c r="T60" s="24"/>
      <c r="U60" s="24"/>
      <c r="V60" s="24"/>
      <c r="W60" s="24"/>
      <c r="X60" s="24"/>
    </row>
    <row r="61" spans="1:24" ht="13.8">
      <c r="A61" s="24"/>
      <c r="B61" s="24"/>
      <c r="C61" s="24"/>
      <c r="D61" s="24"/>
      <c r="E61" s="24"/>
      <c r="F61" s="24"/>
      <c r="G61" s="24"/>
      <c r="H61" s="24"/>
      <c r="I61" s="24"/>
      <c r="J61" s="24"/>
      <c r="K61" s="24"/>
      <c r="L61" s="24"/>
      <c r="M61" s="24"/>
      <c r="N61" s="24"/>
      <c r="O61" s="24"/>
      <c r="P61" s="24"/>
      <c r="Q61" s="24"/>
      <c r="R61" s="24"/>
      <c r="S61" s="24"/>
      <c r="T61" s="24"/>
      <c r="U61" s="24"/>
      <c r="V61" s="24"/>
      <c r="W61" s="24"/>
      <c r="X61" s="24"/>
    </row>
    <row r="62" spans="1:24" ht="13.8">
      <c r="A62" s="24"/>
      <c r="B62" s="24"/>
      <c r="C62" s="24"/>
      <c r="D62" s="24"/>
      <c r="E62" s="24"/>
      <c r="F62" s="24"/>
      <c r="G62" s="24"/>
      <c r="H62" s="24"/>
      <c r="I62" s="24"/>
      <c r="J62" s="24"/>
      <c r="K62" s="24"/>
      <c r="L62" s="24"/>
      <c r="M62" s="24"/>
      <c r="N62" s="24"/>
      <c r="O62" s="24"/>
      <c r="P62" s="24"/>
      <c r="Q62" s="24"/>
      <c r="R62" s="24"/>
      <c r="S62" s="24"/>
      <c r="T62" s="24"/>
      <c r="U62" s="24"/>
      <c r="V62" s="24"/>
      <c r="W62" s="24"/>
      <c r="X62" s="24"/>
    </row>
    <row r="63" spans="1:24" ht="13.8">
      <c r="A63" s="24"/>
      <c r="B63" s="24"/>
      <c r="C63" s="24"/>
      <c r="D63" s="24"/>
      <c r="E63" s="24"/>
      <c r="F63" s="24"/>
      <c r="G63" s="24"/>
      <c r="H63" s="24"/>
      <c r="I63" s="24"/>
      <c r="J63" s="24"/>
      <c r="K63" s="24"/>
      <c r="L63" s="24"/>
      <c r="M63" s="24"/>
      <c r="N63" s="24"/>
      <c r="O63" s="24"/>
      <c r="P63" s="24"/>
      <c r="Q63" s="24"/>
      <c r="R63" s="24"/>
      <c r="S63" s="24"/>
      <c r="T63" s="24"/>
      <c r="U63" s="24"/>
      <c r="V63" s="24"/>
      <c r="W63" s="24"/>
      <c r="X63" s="24"/>
    </row>
    <row r="64" spans="1:24" ht="13.8">
      <c r="A64" s="24"/>
      <c r="B64" s="24"/>
      <c r="C64" s="24"/>
      <c r="D64" s="24"/>
      <c r="E64" s="24"/>
      <c r="F64" s="24"/>
      <c r="G64" s="24"/>
      <c r="H64" s="24"/>
      <c r="I64" s="24"/>
      <c r="J64" s="24"/>
      <c r="K64" s="24"/>
      <c r="L64" s="24"/>
      <c r="M64" s="24"/>
      <c r="N64" s="24"/>
      <c r="O64" s="24"/>
      <c r="P64" s="24"/>
      <c r="Q64" s="24"/>
      <c r="R64" s="24"/>
      <c r="S64" s="24"/>
      <c r="T64" s="24"/>
      <c r="U64" s="24"/>
      <c r="V64" s="24"/>
      <c r="W64" s="24"/>
      <c r="X64" s="24"/>
    </row>
    <row r="65" spans="1:24" ht="13.8">
      <c r="A65" s="24"/>
      <c r="B65" s="24"/>
      <c r="C65" s="24"/>
      <c r="D65" s="24"/>
      <c r="E65" s="24"/>
      <c r="F65" s="24"/>
      <c r="G65" s="24"/>
      <c r="H65" s="24"/>
      <c r="I65" s="24"/>
      <c r="J65" s="24"/>
      <c r="K65" s="24"/>
      <c r="L65" s="24"/>
      <c r="M65" s="24"/>
      <c r="N65" s="24"/>
      <c r="O65" s="24"/>
      <c r="P65" s="24"/>
      <c r="Q65" s="24"/>
      <c r="R65" s="24"/>
      <c r="S65" s="24"/>
      <c r="T65" s="24"/>
      <c r="U65" s="24"/>
      <c r="V65" s="24"/>
      <c r="W65" s="24"/>
      <c r="X65" s="24"/>
    </row>
    <row r="66" spans="1:24" ht="13.8">
      <c r="A66" s="24"/>
      <c r="B66" s="24"/>
      <c r="C66" s="24"/>
      <c r="D66" s="24"/>
      <c r="E66" s="24"/>
      <c r="F66" s="24"/>
      <c r="G66" s="24"/>
      <c r="H66" s="24"/>
      <c r="I66" s="24"/>
      <c r="J66" s="24"/>
      <c r="K66" s="24"/>
      <c r="L66" s="24"/>
      <c r="M66" s="24"/>
      <c r="N66" s="24"/>
      <c r="O66" s="24"/>
      <c r="P66" s="24"/>
      <c r="Q66" s="24"/>
      <c r="R66" s="24"/>
      <c r="S66" s="24"/>
      <c r="T66" s="24"/>
      <c r="U66" s="24"/>
      <c r="V66" s="24"/>
      <c r="W66" s="24"/>
      <c r="X66" s="24"/>
    </row>
    <row r="67" spans="1:24" ht="13.8">
      <c r="A67" s="24"/>
      <c r="B67" s="24"/>
      <c r="C67" s="24"/>
      <c r="D67" s="24"/>
      <c r="E67" s="24"/>
      <c r="F67" s="24"/>
      <c r="G67" s="24"/>
      <c r="H67" s="24"/>
      <c r="I67" s="24"/>
      <c r="J67" s="24"/>
      <c r="K67" s="24"/>
      <c r="L67" s="24"/>
      <c r="M67" s="24"/>
      <c r="N67" s="24"/>
      <c r="O67" s="24"/>
      <c r="P67" s="24"/>
      <c r="Q67" s="24"/>
      <c r="R67" s="24"/>
      <c r="S67" s="24"/>
      <c r="T67" s="24"/>
      <c r="U67" s="24"/>
      <c r="V67" s="24"/>
      <c r="W67" s="24"/>
      <c r="X67" s="24"/>
    </row>
    <row r="68" spans="1:24" ht="13.8">
      <c r="A68" s="24"/>
      <c r="B68" s="24"/>
      <c r="C68" s="24"/>
      <c r="D68" s="24"/>
      <c r="E68" s="24"/>
      <c r="F68" s="24"/>
      <c r="G68" s="24"/>
      <c r="H68" s="24"/>
      <c r="I68" s="24"/>
      <c r="J68" s="24"/>
      <c r="K68" s="24"/>
      <c r="L68" s="24"/>
      <c r="M68" s="24"/>
      <c r="N68" s="24"/>
      <c r="O68" s="24"/>
      <c r="P68" s="24"/>
      <c r="Q68" s="24"/>
      <c r="R68" s="24"/>
      <c r="S68" s="24"/>
      <c r="T68" s="24"/>
      <c r="U68" s="24"/>
      <c r="V68" s="24"/>
      <c r="W68" s="24"/>
      <c r="X68" s="24"/>
    </row>
    <row r="69" spans="1:24" ht="13.8">
      <c r="A69" s="24"/>
      <c r="B69" s="24"/>
      <c r="C69" s="24"/>
      <c r="D69" s="24"/>
      <c r="E69" s="24"/>
      <c r="F69" s="24"/>
      <c r="G69" s="24"/>
      <c r="H69" s="24"/>
      <c r="I69" s="24"/>
      <c r="J69" s="24"/>
      <c r="K69" s="24"/>
      <c r="L69" s="24"/>
      <c r="M69" s="24"/>
      <c r="N69" s="24"/>
      <c r="O69" s="24"/>
      <c r="P69" s="24"/>
      <c r="Q69" s="24"/>
      <c r="R69" s="24"/>
      <c r="S69" s="24"/>
      <c r="T69" s="24"/>
      <c r="U69" s="24"/>
      <c r="V69" s="24"/>
      <c r="W69" s="24"/>
      <c r="X69" s="24"/>
    </row>
    <row r="70" spans="1:24" ht="13.8">
      <c r="A70" s="24"/>
      <c r="B70" s="24"/>
      <c r="C70" s="24"/>
      <c r="D70" s="24"/>
      <c r="E70" s="24"/>
      <c r="F70" s="24"/>
      <c r="G70" s="24"/>
      <c r="H70" s="24"/>
      <c r="I70" s="24"/>
      <c r="J70" s="24"/>
      <c r="K70" s="24"/>
      <c r="L70" s="24"/>
      <c r="M70" s="24"/>
      <c r="N70" s="24"/>
      <c r="O70" s="24"/>
      <c r="P70" s="24"/>
      <c r="Q70" s="24"/>
      <c r="R70" s="24"/>
      <c r="S70" s="24"/>
      <c r="T70" s="24"/>
      <c r="U70" s="24"/>
      <c r="V70" s="24"/>
      <c r="W70" s="24"/>
      <c r="X70" s="24"/>
    </row>
    <row r="71" spans="1:24" ht="13.8">
      <c r="A71" s="24"/>
      <c r="B71" s="24"/>
      <c r="C71" s="24"/>
      <c r="D71" s="24"/>
      <c r="E71" s="24"/>
      <c r="F71" s="24"/>
      <c r="G71" s="24"/>
      <c r="H71" s="24"/>
      <c r="I71" s="24"/>
      <c r="J71" s="24"/>
      <c r="K71" s="24"/>
      <c r="L71" s="24"/>
      <c r="M71" s="24"/>
      <c r="N71" s="24"/>
      <c r="O71" s="24"/>
      <c r="P71" s="24"/>
      <c r="Q71" s="24"/>
      <c r="R71" s="24"/>
      <c r="S71" s="24"/>
      <c r="T71" s="24"/>
      <c r="U71" s="24"/>
      <c r="V71" s="24"/>
      <c r="W71" s="24"/>
      <c r="X71" s="24"/>
    </row>
    <row r="72" spans="1:24" ht="13.8">
      <c r="A72" s="24"/>
      <c r="B72" s="24"/>
      <c r="C72" s="24"/>
      <c r="D72" s="24"/>
      <c r="E72" s="24"/>
      <c r="F72" s="24"/>
      <c r="G72" s="24"/>
      <c r="H72" s="24"/>
      <c r="I72" s="24"/>
      <c r="J72" s="24"/>
      <c r="K72" s="24"/>
      <c r="L72" s="24"/>
      <c r="M72" s="24"/>
      <c r="N72" s="24"/>
      <c r="O72" s="24"/>
      <c r="P72" s="24"/>
      <c r="Q72" s="24"/>
      <c r="R72" s="24"/>
      <c r="S72" s="24"/>
      <c r="T72" s="24"/>
      <c r="U72" s="24"/>
      <c r="V72" s="24"/>
      <c r="W72" s="24"/>
      <c r="X72" s="24"/>
    </row>
    <row r="73" spans="1:24" ht="13.8">
      <c r="A73" s="24"/>
      <c r="B73" s="24"/>
      <c r="C73" s="24"/>
      <c r="D73" s="24"/>
      <c r="E73" s="24"/>
      <c r="F73" s="24"/>
      <c r="G73" s="24"/>
      <c r="H73" s="24"/>
      <c r="I73" s="24"/>
      <c r="J73" s="24"/>
      <c r="K73" s="24"/>
      <c r="L73" s="24"/>
      <c r="M73" s="24"/>
      <c r="N73" s="24"/>
      <c r="O73" s="24"/>
      <c r="P73" s="24"/>
      <c r="Q73" s="24"/>
      <c r="R73" s="24"/>
      <c r="S73" s="24"/>
      <c r="T73" s="24"/>
      <c r="U73" s="24"/>
      <c r="V73" s="24"/>
      <c r="W73" s="24"/>
      <c r="X73" s="24"/>
    </row>
    <row r="74" spans="1:24" ht="13.8">
      <c r="A74" s="24"/>
      <c r="B74" s="24"/>
      <c r="C74" s="24"/>
      <c r="D74" s="24"/>
      <c r="E74" s="24"/>
      <c r="F74" s="24"/>
      <c r="G74" s="24"/>
      <c r="H74" s="24"/>
      <c r="I74" s="24"/>
      <c r="J74" s="24"/>
      <c r="K74" s="24"/>
      <c r="L74" s="24"/>
      <c r="M74" s="24"/>
      <c r="N74" s="24"/>
      <c r="O74" s="24"/>
      <c r="P74" s="24"/>
      <c r="Q74" s="24"/>
      <c r="R74" s="24"/>
      <c r="S74" s="24"/>
      <c r="T74" s="24"/>
      <c r="U74" s="24"/>
      <c r="V74" s="24"/>
      <c r="W74" s="24"/>
      <c r="X74" s="24"/>
    </row>
    <row r="75" spans="1:24" ht="13.8">
      <c r="A75" s="24"/>
      <c r="B75" s="24"/>
      <c r="C75" s="24"/>
      <c r="D75" s="24"/>
      <c r="E75" s="24"/>
      <c r="F75" s="24"/>
      <c r="G75" s="24"/>
      <c r="H75" s="24"/>
      <c r="I75" s="24"/>
      <c r="J75" s="24"/>
      <c r="K75" s="24"/>
      <c r="L75" s="24"/>
      <c r="M75" s="24"/>
      <c r="N75" s="24"/>
      <c r="O75" s="24"/>
      <c r="P75" s="24"/>
      <c r="Q75" s="24"/>
      <c r="R75" s="24"/>
      <c r="S75" s="24"/>
      <c r="T75" s="24"/>
      <c r="U75" s="24"/>
      <c r="V75" s="24"/>
      <c r="W75" s="24"/>
      <c r="X75" s="24"/>
    </row>
    <row r="76" spans="1:24" ht="13.8">
      <c r="A76" s="24"/>
      <c r="B76" s="24"/>
      <c r="C76" s="24"/>
      <c r="D76" s="24"/>
      <c r="E76" s="24"/>
      <c r="F76" s="24"/>
      <c r="G76" s="24"/>
      <c r="H76" s="24"/>
      <c r="I76" s="24"/>
      <c r="J76" s="24"/>
      <c r="K76" s="24"/>
      <c r="L76" s="24"/>
      <c r="M76" s="24"/>
      <c r="N76" s="24"/>
      <c r="O76" s="24"/>
      <c r="P76" s="24"/>
      <c r="Q76" s="24"/>
      <c r="R76" s="24"/>
      <c r="S76" s="24"/>
      <c r="T76" s="24"/>
      <c r="U76" s="24"/>
      <c r="V76" s="24"/>
      <c r="W76" s="24"/>
      <c r="X76" s="24"/>
    </row>
    <row r="77" spans="1:24" ht="13.8">
      <c r="A77" s="24"/>
      <c r="B77" s="24"/>
      <c r="C77" s="24"/>
      <c r="D77" s="24"/>
      <c r="E77" s="24"/>
      <c r="F77" s="24"/>
      <c r="G77" s="24"/>
      <c r="H77" s="24"/>
      <c r="I77" s="24"/>
      <c r="J77" s="24"/>
      <c r="K77" s="24"/>
      <c r="L77" s="24"/>
      <c r="M77" s="24"/>
      <c r="N77" s="24"/>
      <c r="O77" s="24"/>
      <c r="P77" s="24"/>
      <c r="Q77" s="24"/>
      <c r="R77" s="24"/>
      <c r="S77" s="24"/>
      <c r="T77" s="24"/>
      <c r="U77" s="24"/>
      <c r="V77" s="24"/>
      <c r="W77" s="24"/>
      <c r="X77" s="24"/>
    </row>
    <row r="78" spans="1:24" ht="13.8">
      <c r="A78" s="24"/>
      <c r="B78" s="24"/>
      <c r="C78" s="24"/>
      <c r="D78" s="24"/>
      <c r="E78" s="24"/>
      <c r="F78" s="24"/>
      <c r="G78" s="24"/>
      <c r="H78" s="24"/>
      <c r="I78" s="24"/>
      <c r="J78" s="24"/>
      <c r="K78" s="24"/>
      <c r="L78" s="24"/>
      <c r="M78" s="24"/>
      <c r="N78" s="24"/>
      <c r="O78" s="24"/>
      <c r="P78" s="24"/>
      <c r="Q78" s="24"/>
      <c r="R78" s="24"/>
      <c r="S78" s="24"/>
      <c r="T78" s="24"/>
      <c r="U78" s="24"/>
      <c r="V78" s="24"/>
      <c r="W78" s="24"/>
      <c r="X78" s="24"/>
    </row>
    <row r="79" spans="1:24" ht="13.8">
      <c r="A79" s="24"/>
      <c r="B79" s="24"/>
      <c r="C79" s="24"/>
      <c r="D79" s="24"/>
      <c r="E79" s="24"/>
      <c r="F79" s="24"/>
      <c r="G79" s="24"/>
      <c r="H79" s="24"/>
      <c r="I79" s="24"/>
      <c r="J79" s="24"/>
      <c r="K79" s="24"/>
      <c r="L79" s="24"/>
      <c r="M79" s="24"/>
      <c r="N79" s="24"/>
      <c r="O79" s="24"/>
      <c r="P79" s="24"/>
      <c r="Q79" s="24"/>
      <c r="R79" s="24"/>
      <c r="S79" s="24"/>
      <c r="T79" s="24"/>
      <c r="U79" s="24"/>
      <c r="V79" s="24"/>
      <c r="W79" s="24"/>
      <c r="X79" s="24"/>
    </row>
    <row r="80" spans="1:24" ht="13.8">
      <c r="A80" s="24"/>
      <c r="B80" s="24"/>
      <c r="C80" s="24"/>
      <c r="D80" s="24"/>
      <c r="E80" s="24"/>
      <c r="F80" s="24"/>
      <c r="G80" s="24"/>
      <c r="H80" s="24"/>
      <c r="I80" s="24"/>
      <c r="J80" s="24"/>
      <c r="K80" s="24"/>
      <c r="L80" s="24"/>
      <c r="M80" s="24"/>
      <c r="N80" s="24"/>
      <c r="O80" s="24"/>
      <c r="P80" s="24"/>
      <c r="Q80" s="24"/>
      <c r="R80" s="24"/>
      <c r="S80" s="24"/>
      <c r="T80" s="24"/>
      <c r="U80" s="24"/>
      <c r="V80" s="24"/>
      <c r="W80" s="24"/>
      <c r="X80" s="24"/>
    </row>
    <row r="81" spans="1:24" ht="13.8">
      <c r="A81" s="24"/>
      <c r="B81" s="24"/>
      <c r="C81" s="24"/>
      <c r="D81" s="24"/>
      <c r="E81" s="24"/>
      <c r="F81" s="24"/>
      <c r="G81" s="24"/>
      <c r="H81" s="24"/>
      <c r="I81" s="24"/>
      <c r="J81" s="24"/>
      <c r="K81" s="24"/>
      <c r="L81" s="24"/>
      <c r="M81" s="24"/>
      <c r="N81" s="24"/>
      <c r="O81" s="24"/>
      <c r="P81" s="24"/>
      <c r="Q81" s="24"/>
      <c r="R81" s="24"/>
      <c r="S81" s="24"/>
      <c r="T81" s="24"/>
      <c r="U81" s="24"/>
      <c r="V81" s="24"/>
      <c r="W81" s="24"/>
      <c r="X81" s="24"/>
    </row>
    <row r="82" spans="1:24" ht="13.8">
      <c r="A82" s="24"/>
      <c r="B82" s="24"/>
      <c r="C82" s="24"/>
      <c r="D82" s="24"/>
      <c r="E82" s="24"/>
      <c r="F82" s="24"/>
      <c r="G82" s="24"/>
      <c r="H82" s="24"/>
      <c r="I82" s="24"/>
      <c r="J82" s="24"/>
      <c r="K82" s="24"/>
      <c r="L82" s="24"/>
      <c r="M82" s="24"/>
      <c r="N82" s="24"/>
      <c r="O82" s="24"/>
      <c r="P82" s="24"/>
      <c r="Q82" s="24"/>
      <c r="R82" s="24"/>
      <c r="S82" s="24"/>
      <c r="T82" s="24"/>
      <c r="U82" s="24"/>
      <c r="V82" s="24"/>
      <c r="W82" s="24"/>
      <c r="X82" s="24"/>
    </row>
    <row r="83" spans="1:24" ht="13.8">
      <c r="A83" s="24"/>
      <c r="B83" s="24"/>
      <c r="C83" s="24"/>
      <c r="D83" s="24"/>
      <c r="E83" s="24"/>
      <c r="F83" s="24"/>
      <c r="G83" s="24"/>
      <c r="H83" s="24"/>
      <c r="I83" s="24"/>
      <c r="J83" s="24"/>
      <c r="K83" s="24"/>
      <c r="L83" s="24"/>
      <c r="M83" s="24"/>
      <c r="N83" s="24"/>
      <c r="O83" s="24"/>
      <c r="P83" s="24"/>
      <c r="Q83" s="24"/>
      <c r="R83" s="24"/>
      <c r="S83" s="24"/>
      <c r="T83" s="24"/>
      <c r="U83" s="24"/>
      <c r="V83" s="24"/>
      <c r="W83" s="24"/>
      <c r="X83" s="24"/>
    </row>
    <row r="84" spans="1:24" ht="13.8">
      <c r="A84" s="24"/>
      <c r="B84" s="24"/>
      <c r="C84" s="24"/>
      <c r="D84" s="24"/>
      <c r="E84" s="24"/>
      <c r="F84" s="24"/>
      <c r="G84" s="24"/>
      <c r="H84" s="24"/>
      <c r="I84" s="24"/>
      <c r="J84" s="24"/>
      <c r="K84" s="24"/>
      <c r="L84" s="24"/>
      <c r="M84" s="24"/>
      <c r="N84" s="24"/>
      <c r="O84" s="24"/>
      <c r="P84" s="24"/>
      <c r="Q84" s="24"/>
      <c r="R84" s="24"/>
      <c r="S84" s="24"/>
      <c r="T84" s="24"/>
      <c r="U84" s="24"/>
      <c r="V84" s="24"/>
      <c r="W84" s="24"/>
      <c r="X84" s="24"/>
    </row>
    <row r="85" spans="1:24" ht="13.8">
      <c r="A85" s="24"/>
      <c r="B85" s="24"/>
      <c r="C85" s="24"/>
      <c r="D85" s="24"/>
      <c r="E85" s="24"/>
      <c r="F85" s="24"/>
      <c r="G85" s="24"/>
      <c r="H85" s="24"/>
      <c r="I85" s="24"/>
      <c r="J85" s="24"/>
      <c r="K85" s="24"/>
      <c r="L85" s="24"/>
      <c r="M85" s="24"/>
      <c r="N85" s="24"/>
      <c r="O85" s="24"/>
      <c r="P85" s="24"/>
      <c r="Q85" s="24"/>
      <c r="R85" s="24"/>
      <c r="S85" s="24"/>
      <c r="T85" s="24"/>
      <c r="U85" s="24"/>
      <c r="V85" s="24"/>
      <c r="W85" s="24"/>
      <c r="X85" s="24"/>
    </row>
    <row r="86" spans="1:24" ht="13.8">
      <c r="A86" s="24"/>
      <c r="B86" s="24"/>
      <c r="C86" s="24"/>
      <c r="D86" s="24"/>
      <c r="E86" s="24"/>
      <c r="F86" s="24"/>
      <c r="G86" s="24"/>
      <c r="H86" s="24"/>
      <c r="I86" s="24"/>
      <c r="J86" s="24"/>
      <c r="K86" s="24"/>
      <c r="L86" s="24"/>
      <c r="M86" s="24"/>
      <c r="N86" s="24"/>
      <c r="O86" s="24"/>
      <c r="P86" s="24"/>
      <c r="Q86" s="24"/>
      <c r="R86" s="24"/>
      <c r="S86" s="24"/>
      <c r="T86" s="24"/>
      <c r="U86" s="24"/>
      <c r="V86" s="24"/>
      <c r="W86" s="24"/>
      <c r="X86" s="24"/>
    </row>
    <row r="87" spans="1:24" ht="13.8">
      <c r="A87" s="24"/>
      <c r="B87" s="24"/>
      <c r="C87" s="24"/>
      <c r="D87" s="24"/>
      <c r="E87" s="24"/>
      <c r="F87" s="24"/>
      <c r="G87" s="24"/>
      <c r="H87" s="24"/>
      <c r="I87" s="24"/>
      <c r="J87" s="24"/>
      <c r="K87" s="24"/>
      <c r="L87" s="24"/>
      <c r="M87" s="24"/>
      <c r="N87" s="24"/>
      <c r="O87" s="24"/>
      <c r="P87" s="24"/>
      <c r="Q87" s="24"/>
      <c r="R87" s="24"/>
      <c r="S87" s="24"/>
      <c r="T87" s="24"/>
      <c r="U87" s="24"/>
      <c r="V87" s="24"/>
      <c r="W87" s="24"/>
      <c r="X87" s="24"/>
    </row>
    <row r="88" spans="1:24" ht="13.8">
      <c r="A88" s="24"/>
      <c r="B88" s="24"/>
      <c r="C88" s="24"/>
      <c r="D88" s="24"/>
      <c r="E88" s="24"/>
      <c r="F88" s="24"/>
      <c r="G88" s="24"/>
      <c r="H88" s="24"/>
      <c r="I88" s="24"/>
      <c r="J88" s="24"/>
      <c r="K88" s="24"/>
      <c r="L88" s="24"/>
      <c r="M88" s="24"/>
      <c r="N88" s="24"/>
      <c r="O88" s="24"/>
      <c r="P88" s="24"/>
      <c r="Q88" s="24"/>
      <c r="R88" s="24"/>
      <c r="S88" s="24"/>
      <c r="T88" s="24"/>
      <c r="U88" s="24"/>
      <c r="V88" s="24"/>
      <c r="W88" s="24"/>
      <c r="X88" s="24"/>
    </row>
    <row r="89" spans="1:24" ht="13.8">
      <c r="A89" s="24"/>
      <c r="B89" s="24"/>
      <c r="C89" s="24"/>
      <c r="D89" s="24"/>
      <c r="E89" s="24"/>
      <c r="F89" s="24"/>
      <c r="G89" s="24"/>
      <c r="H89" s="24"/>
      <c r="I89" s="24"/>
      <c r="J89" s="24"/>
      <c r="K89" s="24"/>
      <c r="L89" s="24"/>
      <c r="M89" s="24"/>
      <c r="N89" s="24"/>
      <c r="O89" s="24"/>
      <c r="P89" s="24"/>
      <c r="Q89" s="24"/>
      <c r="R89" s="24"/>
      <c r="S89" s="24"/>
      <c r="T89" s="24"/>
      <c r="U89" s="24"/>
      <c r="V89" s="24"/>
      <c r="W89" s="24"/>
      <c r="X89" s="24"/>
    </row>
    <row r="90" spans="1:24" ht="13.8">
      <c r="A90" s="24"/>
      <c r="B90" s="24"/>
      <c r="C90" s="24"/>
      <c r="D90" s="24"/>
      <c r="E90" s="24"/>
      <c r="F90" s="24"/>
      <c r="G90" s="24"/>
      <c r="H90" s="24"/>
      <c r="I90" s="24"/>
      <c r="J90" s="24"/>
      <c r="K90" s="24"/>
      <c r="L90" s="24"/>
      <c r="M90" s="24"/>
      <c r="N90" s="24"/>
      <c r="O90" s="24"/>
      <c r="P90" s="24"/>
      <c r="Q90" s="24"/>
      <c r="R90" s="24"/>
      <c r="S90" s="24"/>
      <c r="T90" s="24"/>
      <c r="U90" s="24"/>
      <c r="V90" s="24"/>
      <c r="W90" s="24"/>
      <c r="X90" s="24"/>
    </row>
    <row r="91" spans="1:24" ht="13.8">
      <c r="A91" s="24"/>
      <c r="B91" s="24"/>
      <c r="C91" s="24"/>
      <c r="D91" s="24"/>
      <c r="E91" s="24"/>
      <c r="F91" s="24"/>
      <c r="G91" s="24"/>
      <c r="H91" s="24"/>
      <c r="I91" s="24"/>
      <c r="J91" s="24"/>
      <c r="K91" s="24"/>
      <c r="L91" s="24"/>
      <c r="M91" s="24"/>
      <c r="N91" s="24"/>
      <c r="O91" s="24"/>
      <c r="P91" s="24"/>
      <c r="Q91" s="24"/>
      <c r="R91" s="24"/>
      <c r="S91" s="24"/>
      <c r="T91" s="24"/>
      <c r="U91" s="24"/>
      <c r="V91" s="24"/>
      <c r="W91" s="24"/>
      <c r="X91" s="24"/>
    </row>
    <row r="92" spans="1:24" ht="13.8">
      <c r="A92" s="24"/>
      <c r="B92" s="24"/>
      <c r="C92" s="24"/>
      <c r="D92" s="24"/>
      <c r="E92" s="24"/>
      <c r="F92" s="24"/>
      <c r="G92" s="24"/>
      <c r="H92" s="24"/>
      <c r="I92" s="24"/>
      <c r="J92" s="24"/>
      <c r="K92" s="24"/>
      <c r="L92" s="24"/>
      <c r="M92" s="24"/>
      <c r="N92" s="24"/>
      <c r="O92" s="24"/>
      <c r="P92" s="24"/>
      <c r="Q92" s="24"/>
      <c r="R92" s="24"/>
      <c r="S92" s="24"/>
      <c r="T92" s="24"/>
      <c r="U92" s="24"/>
      <c r="V92" s="24"/>
      <c r="W92" s="24"/>
      <c r="X92" s="24"/>
    </row>
    <row r="93" spans="1:24" ht="13.8">
      <c r="A93" s="24"/>
      <c r="B93" s="24"/>
      <c r="C93" s="24"/>
      <c r="D93" s="24"/>
      <c r="E93" s="24"/>
      <c r="F93" s="24"/>
      <c r="G93" s="24"/>
      <c r="H93" s="24"/>
      <c r="I93" s="24"/>
      <c r="J93" s="24"/>
      <c r="K93" s="24"/>
      <c r="L93" s="24"/>
      <c r="M93" s="24"/>
      <c r="N93" s="24"/>
      <c r="O93" s="24"/>
      <c r="P93" s="24"/>
      <c r="Q93" s="24"/>
      <c r="R93" s="24"/>
      <c r="S93" s="24"/>
      <c r="T93" s="24"/>
      <c r="U93" s="24"/>
      <c r="V93" s="24"/>
      <c r="W93" s="24"/>
      <c r="X93" s="24"/>
    </row>
    <row r="94" spans="1:24" ht="13.8">
      <c r="A94" s="24"/>
      <c r="B94" s="24"/>
      <c r="C94" s="24"/>
      <c r="D94" s="24"/>
      <c r="E94" s="24"/>
      <c r="F94" s="24"/>
      <c r="G94" s="24"/>
      <c r="H94" s="24"/>
      <c r="I94" s="24"/>
      <c r="J94" s="24"/>
      <c r="K94" s="24"/>
      <c r="L94" s="24"/>
      <c r="M94" s="24"/>
      <c r="N94" s="24"/>
      <c r="O94" s="24"/>
      <c r="P94" s="24"/>
      <c r="Q94" s="24"/>
      <c r="R94" s="24"/>
      <c r="S94" s="24"/>
      <c r="T94" s="24"/>
      <c r="U94" s="24"/>
      <c r="V94" s="24"/>
      <c r="W94" s="24"/>
      <c r="X94" s="24"/>
    </row>
    <row r="95" spans="1:24" ht="13.8">
      <c r="A95" s="24"/>
      <c r="B95" s="24"/>
      <c r="C95" s="24"/>
      <c r="D95" s="24"/>
      <c r="E95" s="24"/>
      <c r="F95" s="24"/>
      <c r="G95" s="24"/>
      <c r="H95" s="24"/>
      <c r="I95" s="24"/>
      <c r="J95" s="24"/>
      <c r="K95" s="24"/>
      <c r="L95" s="24"/>
      <c r="M95" s="24"/>
      <c r="N95" s="24"/>
      <c r="O95" s="24"/>
      <c r="P95" s="24"/>
      <c r="Q95" s="24"/>
      <c r="R95" s="24"/>
      <c r="S95" s="24"/>
      <c r="T95" s="24"/>
      <c r="U95" s="24"/>
      <c r="V95" s="24"/>
      <c r="W95" s="24"/>
      <c r="X95" s="24"/>
    </row>
    <row r="96" spans="1:24" ht="13.8">
      <c r="A96" s="24"/>
      <c r="B96" s="24"/>
      <c r="C96" s="24"/>
      <c r="D96" s="24"/>
      <c r="E96" s="24"/>
      <c r="F96" s="24"/>
      <c r="G96" s="24"/>
      <c r="H96" s="24"/>
      <c r="I96" s="24"/>
      <c r="J96" s="24"/>
      <c r="K96" s="24"/>
      <c r="L96" s="24"/>
      <c r="M96" s="24"/>
      <c r="N96" s="24"/>
      <c r="O96" s="24"/>
      <c r="P96" s="24"/>
      <c r="Q96" s="24"/>
      <c r="R96" s="24"/>
      <c r="S96" s="24"/>
      <c r="T96" s="24"/>
      <c r="U96" s="24"/>
      <c r="V96" s="24"/>
      <c r="W96" s="24"/>
      <c r="X96" s="24"/>
    </row>
    <row r="97" spans="1:24" ht="13.8">
      <c r="A97" s="24"/>
      <c r="B97" s="24"/>
      <c r="C97" s="24"/>
      <c r="D97" s="24"/>
      <c r="E97" s="24"/>
      <c r="F97" s="24"/>
      <c r="G97" s="24"/>
      <c r="H97" s="24"/>
      <c r="I97" s="24"/>
      <c r="J97" s="24"/>
      <c r="K97" s="24"/>
      <c r="L97" s="24"/>
      <c r="M97" s="24"/>
      <c r="N97" s="24"/>
      <c r="O97" s="24"/>
      <c r="P97" s="24"/>
      <c r="Q97" s="24"/>
      <c r="R97" s="24"/>
      <c r="S97" s="24"/>
      <c r="T97" s="24"/>
      <c r="U97" s="24"/>
      <c r="V97" s="24"/>
      <c r="W97" s="24"/>
      <c r="X97" s="24"/>
    </row>
    <row r="98" spans="1:24" ht="13.8">
      <c r="A98" s="24"/>
      <c r="B98" s="24"/>
      <c r="C98" s="24"/>
      <c r="D98" s="24"/>
      <c r="E98" s="24"/>
      <c r="F98" s="24"/>
      <c r="G98" s="24"/>
      <c r="H98" s="24"/>
      <c r="I98" s="24"/>
      <c r="J98" s="24"/>
      <c r="K98" s="24"/>
      <c r="L98" s="24"/>
      <c r="M98" s="24"/>
      <c r="N98" s="24"/>
      <c r="O98" s="24"/>
      <c r="P98" s="24"/>
      <c r="Q98" s="24"/>
      <c r="R98" s="24"/>
      <c r="S98" s="24"/>
      <c r="T98" s="24"/>
      <c r="U98" s="24"/>
      <c r="V98" s="24"/>
      <c r="W98" s="24"/>
      <c r="X98" s="24"/>
    </row>
    <row r="99" spans="1:24" ht="13.8">
      <c r="A99" s="24"/>
      <c r="B99" s="24"/>
      <c r="C99" s="24"/>
      <c r="D99" s="24"/>
      <c r="E99" s="24"/>
      <c r="F99" s="24"/>
      <c r="G99" s="24"/>
      <c r="H99" s="24"/>
      <c r="I99" s="24"/>
      <c r="J99" s="24"/>
      <c r="K99" s="24"/>
      <c r="L99" s="24"/>
      <c r="M99" s="24"/>
      <c r="N99" s="24"/>
      <c r="O99" s="24"/>
      <c r="P99" s="24"/>
      <c r="Q99" s="24"/>
      <c r="R99" s="24"/>
      <c r="S99" s="24"/>
      <c r="T99" s="24"/>
      <c r="U99" s="24"/>
      <c r="V99" s="24"/>
      <c r="W99" s="24"/>
      <c r="X99" s="24"/>
    </row>
    <row r="100" spans="1:24" ht="13.8">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spans="1:24" ht="13.8">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spans="1:24" ht="13.8">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spans="1:24" ht="13.8">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spans="1:24" ht="13.8">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spans="1:24" ht="13.8">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spans="1:24" ht="13.8">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spans="1:24" ht="13.8">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spans="1:24" ht="13.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spans="1:24" ht="13.8">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spans="1:24" ht="13.8">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spans="1:24" ht="13.8">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spans="1:24" ht="13.8">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spans="1:24" ht="13.8">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spans="1:24" ht="13.8">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spans="1:24" ht="13.8">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spans="1:24" ht="13.8">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spans="1:24" ht="13.8">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spans="1:24" ht="13.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spans="1:24" ht="13.8">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spans="1:24" ht="13.8">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spans="1:24" ht="13.8">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spans="1:24" ht="13.8">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spans="1:24" ht="13.8">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spans="1:24" ht="13.8">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spans="1:24" ht="13.8">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spans="1:24" ht="13.8">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spans="1:24" ht="13.8">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spans="1:24" ht="13.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spans="1:24" ht="13.8">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spans="1:24" ht="13.8">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spans="1:24" ht="13.8">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spans="1:24" ht="13.8">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spans="1:24" ht="13.8">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spans="1:24" ht="13.8">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spans="1:24" ht="13.8">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spans="1:24" ht="13.8">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spans="1:24" ht="13.8">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spans="1:24" ht="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spans="1:24" ht="13.8">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spans="1:24" ht="13.8">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spans="1:24" ht="13.8">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spans="1:24" ht="13.8">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spans="1:24" ht="13.8">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row r="144" spans="1:24" ht="13.8">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row>
    <row r="145" spans="1:24" ht="13.8">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row>
    <row r="146" spans="1:24" ht="13.8">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row>
    <row r="147" spans="1:24" ht="13.8">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row>
    <row r="148" spans="1:24" ht="13.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row>
    <row r="149" spans="1:24" ht="13.8">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row>
    <row r="150" spans="1:24" ht="13.8">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row>
    <row r="151" spans="1:24" ht="13.8">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row>
    <row r="152" spans="1:24" ht="13.8">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row>
    <row r="153" spans="1:24" ht="13.8">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row>
    <row r="154" spans="1:24" ht="13.8">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row>
    <row r="155" spans="1:24" ht="13.8">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row>
    <row r="156" spans="1:24" ht="13.8">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row>
    <row r="157" spans="1:24" ht="13.8">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row>
    <row r="158" spans="1:24" ht="13.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row>
    <row r="159" spans="1:24" ht="13.8">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row>
    <row r="160" spans="1:24" ht="13.8">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row>
    <row r="161" spans="1:24" ht="13.8">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row>
    <row r="162" spans="1:24" ht="13.8">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row>
    <row r="163" spans="1:24" ht="13.8">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row>
    <row r="164" spans="1:24" ht="13.8">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row>
    <row r="165" spans="1:24" ht="13.8">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row>
    <row r="166" spans="1:24" ht="13.8">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row>
    <row r="167" spans="1:24" ht="13.8">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row>
    <row r="168" spans="1:24" ht="13.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row>
    <row r="169" spans="1:24" ht="13.8">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row>
    <row r="170" spans="1:24" ht="13.8">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row>
    <row r="171" spans="1:24" ht="13.8">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row>
    <row r="172" spans="1:24" ht="13.8">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row>
    <row r="173" spans="1:24" ht="13.8">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row>
    <row r="174" spans="1:24" ht="13.8">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5" spans="1:24" ht="13.8">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row>
    <row r="176" spans="1:24" ht="13.8">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row>
    <row r="177" spans="1:24" ht="13.8">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row>
    <row r="178" spans="1:24" ht="13.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row>
    <row r="179" spans="1:24" ht="13.8">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row>
    <row r="180" spans="1:24" ht="13.8">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row>
    <row r="181" spans="1:24" ht="13.8">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row>
    <row r="182" spans="1:24" ht="13.8">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row>
    <row r="183" spans="1:24" ht="13.8">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row>
    <row r="184" spans="1:24" ht="13.8">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row>
    <row r="185" spans="1:24" ht="13.8">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row>
    <row r="186" spans="1:24" ht="13.8">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row>
    <row r="187" spans="1:24" ht="13.8">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row>
    <row r="188" spans="1:24" ht="13.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row>
    <row r="189" spans="1:24" ht="13.8">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row>
    <row r="190" spans="1:24" ht="13.8">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row>
    <row r="191" spans="1:24" ht="13.8">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row>
    <row r="192" spans="1:24" ht="13.8">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row>
    <row r="193" spans="1:24" ht="13.8">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row>
    <row r="194" spans="1:24" ht="13.8">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row>
    <row r="195" spans="1:24" ht="13.8">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row>
    <row r="196" spans="1:24" ht="13.8">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row>
    <row r="197" spans="1:24" ht="13.8">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row>
    <row r="198" spans="1:24" ht="13.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row>
    <row r="199" spans="1:24" ht="13.8">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row>
    <row r="200" spans="1:24" ht="13.8">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row>
    <row r="201" spans="1:24" ht="13.8">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row>
    <row r="202" spans="1:24" ht="13.8">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row>
    <row r="203" spans="1:24" ht="13.8">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row>
    <row r="204" spans="1:24" ht="13.8">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row>
    <row r="205" spans="1:24" ht="13.8">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row>
    <row r="206" spans="1:24" ht="13.8">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row>
    <row r="207" spans="1:24" ht="13.8">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row>
    <row r="208" spans="1:24" ht="13.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row>
    <row r="209" spans="1:24" ht="13.8">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row>
    <row r="210" spans="1:24" ht="13.8">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row>
    <row r="211" spans="1:24" ht="13.8">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row>
    <row r="212" spans="1:24" ht="13.8">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row>
    <row r="213" spans="1:24" ht="13.8">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row>
    <row r="214" spans="1:24" ht="13.8">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row>
    <row r="215" spans="1:24" ht="13.8">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row>
    <row r="216" spans="1:24" ht="13.8">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row>
    <row r="217" spans="1:24" ht="13.8">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row>
    <row r="218" spans="1:24" ht="13.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row>
    <row r="219" spans="1:24" ht="13.8">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row>
    <row r="220" spans="1:24" ht="13.8">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row>
    <row r="221" spans="1:24" ht="13.8">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row>
    <row r="222" spans="1:24" ht="13.8">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row>
    <row r="223" spans="1:24" ht="13.8">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row>
    <row r="224" spans="1:24" ht="13.8">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row>
    <row r="225" spans="1:24" ht="13.8">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row>
    <row r="226" spans="1:24" ht="13.8">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row>
    <row r="227" spans="1:24" ht="13.8">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row>
    <row r="228" spans="1:24" ht="13.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row>
    <row r="229" spans="1:24" ht="13.8">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row>
    <row r="230" spans="1:24" ht="13.8">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row>
    <row r="231" spans="1:24" ht="13.8">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row>
    <row r="232" spans="1:24" ht="13.8">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row>
    <row r="233" spans="1:24" ht="13.8">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row>
    <row r="234" spans="1:24" ht="13.8">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row>
    <row r="235" spans="1:24" ht="13.8">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row>
    <row r="236" spans="1:24" ht="13.8">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row>
    <row r="237" spans="1:24" ht="13.8">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row>
    <row r="238" spans="1:24" ht="1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row>
    <row r="239" spans="1:24" ht="13.8">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row>
    <row r="240" spans="1:24" ht="13.8">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row>
    <row r="241" spans="1:24" ht="13.8">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row>
    <row r="242" spans="1:24" ht="13.8">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row>
    <row r="243" spans="1:24" ht="13.8">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row>
    <row r="244" spans="1:24" ht="13.8">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row>
    <row r="245" spans="1:24" ht="13.8">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row>
    <row r="246" spans="1:24" ht="13.8">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row>
    <row r="247" spans="1:24" ht="13.8">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row>
    <row r="248" spans="1:24" ht="13.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row>
    <row r="249" spans="1:24" ht="13.8">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row>
    <row r="250" spans="1:24" ht="13.8">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row>
    <row r="251" spans="1:24" ht="13.8">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row>
    <row r="252" spans="1:24" ht="13.8">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row>
    <row r="253" spans="1:24" ht="13.8">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row>
    <row r="254" spans="1:24" ht="13.8">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row>
    <row r="255" spans="1:24" ht="13.8">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row>
    <row r="256" spans="1:24" ht="13.8">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row>
    <row r="257" spans="1:24" ht="13.8">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row>
    <row r="258" spans="1:24" ht="13.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row>
    <row r="259" spans="1:24" ht="13.8">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row>
    <row r="260" spans="1:24" ht="13.8">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row>
    <row r="261" spans="1:24" ht="13.8">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row>
    <row r="262" spans="1:24" ht="13.8">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row>
    <row r="263" spans="1:24" ht="13.8">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row>
    <row r="264" spans="1:24" ht="13.8">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row>
    <row r="265" spans="1:24" ht="13.8">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row>
    <row r="266" spans="1:24" ht="13.8">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row>
    <row r="267" spans="1:24" ht="13.8">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row>
    <row r="268" spans="1:24" ht="13.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row>
    <row r="269" spans="1:24" ht="13.8">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row>
    <row r="270" spans="1:24" ht="13.8">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row>
    <row r="271" spans="1:24" ht="13.8">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row>
    <row r="272" spans="1:24" ht="13.8">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row>
    <row r="273" spans="1:24" ht="13.8">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row>
    <row r="274" spans="1:24" ht="13.8">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row>
    <row r="275" spans="1:24" ht="13.8">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row>
    <row r="276" spans="1:24" ht="13.8">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row>
    <row r="277" spans="1:24" ht="13.8">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row>
    <row r="278" spans="1:24" ht="13.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row>
    <row r="279" spans="1:24" ht="13.8">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row>
    <row r="280" spans="1:24" ht="13.8">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row>
    <row r="281" spans="1:24" ht="13.8">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row>
    <row r="282" spans="1:24" ht="13.8">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row>
    <row r="283" spans="1:24" ht="13.8">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row>
    <row r="284" spans="1:24" ht="13.8">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row>
    <row r="285" spans="1:24" ht="13.8">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row>
    <row r="286" spans="1:24" ht="13.8">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row>
    <row r="287" spans="1:24" ht="13.8">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row>
    <row r="288" spans="1:24" ht="13.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row>
    <row r="289" spans="1:24" ht="13.8">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row>
    <row r="290" spans="1:24" ht="13.8">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row>
    <row r="291" spans="1:24" ht="13.8">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row>
    <row r="292" spans="1:24" ht="13.8">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row>
    <row r="293" spans="1:24" ht="13.8">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row>
    <row r="294" spans="1:24" ht="13.8">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row>
    <row r="295" spans="1:24" ht="13.8">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row>
    <row r="296" spans="1:24" ht="13.8">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row>
    <row r="297" spans="1:24" ht="13.8">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row>
    <row r="298" spans="1:24" ht="13.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row>
    <row r="299" spans="1:24" ht="13.8">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row>
    <row r="300" spans="1:24" ht="13.8">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row>
    <row r="301" spans="1:24" ht="13.8">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row>
    <row r="302" spans="1:24" ht="13.8">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row>
    <row r="303" spans="1:24" ht="13.8">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row>
    <row r="304" spans="1:24" ht="13.8">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row>
    <row r="305" spans="1:24" ht="13.8">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row>
    <row r="306" spans="1:24" ht="13.8">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row>
    <row r="307" spans="1:24" ht="13.8">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row>
    <row r="308" spans="1:24" ht="13.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row>
    <row r="309" spans="1:24" ht="13.8">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row>
    <row r="310" spans="1:24" ht="13.8">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row>
    <row r="311" spans="1:24" ht="13.8">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row>
    <row r="312" spans="1:24" ht="13.8">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row>
    <row r="313" spans="1:24" ht="13.8">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row>
    <row r="314" spans="1:24" ht="13.8">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row>
    <row r="315" spans="1:24" ht="13.8">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row>
    <row r="316" spans="1:24" ht="13.8">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row>
    <row r="317" spans="1:24" ht="13.8">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row>
    <row r="318" spans="1:24" ht="13.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row>
    <row r="319" spans="1:24" ht="13.8">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row>
    <row r="320" spans="1:24" ht="13.8">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row>
    <row r="321" spans="1:24" ht="13.8">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row>
    <row r="322" spans="1:24" ht="13.8">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row>
    <row r="323" spans="1:24" ht="13.8">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row>
    <row r="324" spans="1:24" ht="13.8">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row>
    <row r="325" spans="1:24" ht="13.8">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row>
    <row r="326" spans="1:24" ht="13.8">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row>
    <row r="327" spans="1:24" ht="13.8">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row>
    <row r="328" spans="1:24" ht="13.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row>
    <row r="329" spans="1:24" ht="13.8">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row>
    <row r="330" spans="1:24" ht="13.8">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row>
    <row r="331" spans="1:24" ht="13.8">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row>
    <row r="332" spans="1:24" ht="13.8">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row>
    <row r="333" spans="1:24" ht="13.8">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row>
    <row r="334" spans="1:24" ht="13.8">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row>
    <row r="335" spans="1:24" ht="13.8">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row>
    <row r="336" spans="1:24" ht="13.8">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row>
    <row r="337" spans="1:24" ht="13.8">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row>
    <row r="338" spans="1:24" ht="1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row>
    <row r="339" spans="1:24" ht="13.8">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row>
    <row r="340" spans="1:24" ht="13.8">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row>
    <row r="341" spans="1:24" ht="13.8">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row>
    <row r="342" spans="1:24" ht="13.8">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row>
    <row r="343" spans="1:24" ht="13.8">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row>
    <row r="344" spans="1:24" ht="13.8">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row>
    <row r="345" spans="1:24" ht="13.8">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row>
    <row r="346" spans="1:24" ht="13.8">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row>
    <row r="347" spans="1:24" ht="13.8">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row>
    <row r="348" spans="1:24" ht="13.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row>
    <row r="349" spans="1:24" ht="13.8">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row>
    <row r="350" spans="1:24" ht="13.8">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row>
    <row r="351" spans="1:24" ht="13.8">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row>
    <row r="352" spans="1:24" ht="13.8">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row>
    <row r="353" spans="1:24" ht="13.8">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row>
    <row r="354" spans="1:24" ht="13.8">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row>
    <row r="355" spans="1:24" ht="13.8">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row>
    <row r="356" spans="1:24" ht="13.8">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row>
    <row r="357" spans="1:24" ht="13.8">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row>
    <row r="358" spans="1:24" ht="13.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row>
    <row r="359" spans="1:24" ht="13.8">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row>
    <row r="360" spans="1:24" ht="13.8">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row>
    <row r="361" spans="1:24" ht="13.8">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row>
    <row r="362" spans="1:24" ht="13.8">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row>
    <row r="363" spans="1:24" ht="13.8">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row>
    <row r="364" spans="1:24" ht="13.8">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row>
    <row r="365" spans="1:24" ht="13.8">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row>
    <row r="366" spans="1:24" ht="13.8">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row>
    <row r="367" spans="1:24" ht="13.8">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row>
    <row r="368" spans="1:24" ht="13.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row>
    <row r="369" spans="1:24" ht="13.8">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row>
    <row r="370" spans="1:24" ht="13.8">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row>
    <row r="371" spans="1:24" ht="13.8">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row>
    <row r="372" spans="1:24" ht="13.8">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row>
    <row r="373" spans="1:24" ht="13.8">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row>
    <row r="374" spans="1:24" ht="13.8">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row>
    <row r="375" spans="1:24" ht="13.8">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row>
    <row r="376" spans="1:24" ht="13.8">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row>
    <row r="377" spans="1:24" ht="13.8">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row>
    <row r="378" spans="1:24" ht="13.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row>
    <row r="379" spans="1:24" ht="13.8">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row>
    <row r="380" spans="1:24" ht="13.8">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row>
    <row r="381" spans="1:24" ht="13.8">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row>
    <row r="382" spans="1:24" ht="13.8">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row>
    <row r="383" spans="1:24" ht="13.8">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row>
    <row r="384" spans="1:24" ht="13.8">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row>
    <row r="385" spans="1:24" ht="13.8">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row>
    <row r="386" spans="1:24" ht="13.8">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row>
    <row r="387" spans="1:24" ht="13.8">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row>
    <row r="388" spans="1:24" ht="13.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row>
    <row r="389" spans="1:24" ht="13.8">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row>
    <row r="390" spans="1:24" ht="13.8">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row>
    <row r="391" spans="1:24" ht="13.8">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row>
    <row r="392" spans="1:24" ht="13.8">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row>
    <row r="393" spans="1:24" ht="13.8">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row>
    <row r="394" spans="1:24" ht="13.8">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row>
    <row r="395" spans="1:24" ht="13.8">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row>
    <row r="396" spans="1:24" ht="13.8">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row>
    <row r="397" spans="1:24" ht="13.8">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row>
    <row r="398" spans="1:24" ht="13.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row>
    <row r="399" spans="1:24" ht="13.8">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row>
    <row r="400" spans="1:24" ht="13.8">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row>
    <row r="401" spans="1:24" ht="13.8">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row>
    <row r="402" spans="1:24" ht="13.8">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row>
    <row r="403" spans="1:24" ht="13.8">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row>
    <row r="404" spans="1:24" ht="13.8">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row>
    <row r="405" spans="1:24" ht="13.8">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row>
    <row r="406" spans="1:24" ht="13.8">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row>
    <row r="407" spans="1:24" ht="13.8">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row>
    <row r="408" spans="1:24" ht="13.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row>
    <row r="409" spans="1:24" ht="13.8">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row>
    <row r="410" spans="1:24" ht="13.8">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row>
    <row r="411" spans="1:24" ht="13.8">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row>
    <row r="412" spans="1:24" ht="13.8">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row>
    <row r="413" spans="1:24" ht="13.8">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row>
    <row r="414" spans="1:24" ht="13.8">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row>
    <row r="415" spans="1:24" ht="13.8">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row>
    <row r="416" spans="1:24" ht="13.8">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row>
    <row r="417" spans="1:24" ht="13.8">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row>
    <row r="418" spans="1:24" ht="13.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row>
    <row r="419" spans="1:24" ht="13.8">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row>
    <row r="420" spans="1:24" ht="13.8">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row>
    <row r="421" spans="1:24" ht="13.8">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row>
    <row r="422" spans="1:24" ht="13.8">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row>
    <row r="423" spans="1:24" ht="13.8">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row>
    <row r="424" spans="1:24" ht="13.8">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row>
    <row r="425" spans="1:24" ht="13.8">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row>
    <row r="426" spans="1:24" ht="13.8">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row>
    <row r="427" spans="1:24" ht="13.8">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row>
    <row r="428" spans="1:24" ht="13.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row>
    <row r="429" spans="1:24" ht="13.8">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row>
    <row r="430" spans="1:24" ht="13.8">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row>
    <row r="431" spans="1:24" ht="13.8">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row>
    <row r="432" spans="1:24" ht="13.8">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row>
    <row r="433" spans="1:24" ht="13.8">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row>
    <row r="434" spans="1:24" ht="13.8">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row>
    <row r="435" spans="1:24" ht="13.8">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row>
    <row r="436" spans="1:24" ht="13.8">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row>
    <row r="437" spans="1:24" ht="13.8">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row>
    <row r="438" spans="1:24" ht="1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row>
    <row r="439" spans="1:24" ht="13.8">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row>
    <row r="440" spans="1:24" ht="13.8">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row>
    <row r="441" spans="1:24" ht="13.8">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row>
    <row r="442" spans="1:24" ht="13.8">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row>
    <row r="443" spans="1:24" ht="13.8">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row>
    <row r="444" spans="1:24" ht="13.8">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row>
    <row r="445" spans="1:24" ht="13.8">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row>
    <row r="446" spans="1:24" ht="13.8">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row>
    <row r="447" spans="1:24" ht="13.8">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row>
    <row r="448" spans="1:24" ht="13.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row>
    <row r="449" spans="1:24" ht="13.8">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row>
    <row r="450" spans="1:24" ht="13.8">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row>
    <row r="451" spans="1:24" ht="13.8">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row>
    <row r="452" spans="1:24" ht="13.8">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row>
    <row r="453" spans="1:24" ht="13.8">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row>
    <row r="454" spans="1:24" ht="13.8">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row>
    <row r="455" spans="1:24" ht="13.8">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row>
    <row r="456" spans="1:24" ht="13.8">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row>
    <row r="457" spans="1:24" ht="13.8">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row>
    <row r="458" spans="1:24" ht="13.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row>
    <row r="459" spans="1:24" ht="13.8">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row>
    <row r="460" spans="1:24" ht="13.8">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row>
    <row r="461" spans="1:24" ht="13.8">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row>
    <row r="462" spans="1:24" ht="13.8">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row>
    <row r="463" spans="1:24" ht="13.8">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row>
    <row r="464" spans="1:24" ht="13.8">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row>
    <row r="465" spans="1:24" ht="13.8">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row>
    <row r="466" spans="1:24" ht="13.8">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row>
    <row r="467" spans="1:24" ht="13.8">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row>
    <row r="468" spans="1:24" ht="13.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row>
    <row r="469" spans="1:24" ht="13.8">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row>
    <row r="470" spans="1:24" ht="13.8">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row>
    <row r="471" spans="1:24" ht="13.8">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row>
    <row r="472" spans="1:24" ht="13.8">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row>
    <row r="473" spans="1:24" ht="13.8">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row>
    <row r="474" spans="1:24" ht="13.8">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row>
    <row r="475" spans="1:24" ht="13.8">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row>
    <row r="476" spans="1:24" ht="13.8">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row>
    <row r="477" spans="1:24" ht="13.8">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row>
    <row r="478" spans="1:24" ht="13.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row>
    <row r="479" spans="1:24" ht="13.8">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row>
    <row r="480" spans="1:24" ht="13.8">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row>
    <row r="481" spans="1:24" ht="13.8">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row>
    <row r="482" spans="1:24" ht="13.8">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row>
    <row r="483" spans="1:24" ht="13.8">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row>
    <row r="484" spans="1:24" ht="13.8">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row>
    <row r="485" spans="1:24" ht="13.8">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row>
    <row r="486" spans="1:24" ht="13.8">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row>
    <row r="487" spans="1:24" ht="13.8">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row>
    <row r="488" spans="1:24" ht="13.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row>
    <row r="489" spans="1:24" ht="13.8">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row>
    <row r="490" spans="1:24" ht="13.8">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row>
    <row r="491" spans="1:24" ht="13.8">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row>
    <row r="492" spans="1:24" ht="13.8">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row>
    <row r="493" spans="1:24" ht="13.8">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row>
    <row r="494" spans="1:24" ht="13.8">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row>
    <row r="495" spans="1:24" ht="13.8">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row>
    <row r="496" spans="1:24" ht="13.8">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row>
    <row r="497" spans="1:24" ht="13.8">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row>
    <row r="498" spans="1:24" ht="13.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row>
    <row r="499" spans="1:24" ht="13.8">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row>
    <row r="500" spans="1:24" ht="13.8">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row>
    <row r="501" spans="1:24" ht="13.8">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row>
    <row r="502" spans="1:24" ht="13.8">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row>
    <row r="503" spans="1:24" ht="13.8">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row>
    <row r="504" spans="1:24" ht="13.8">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row>
    <row r="505" spans="1:24" ht="13.8">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row>
    <row r="506" spans="1:24" ht="13.8">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row>
    <row r="507" spans="1:24" ht="13.8">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row>
    <row r="508" spans="1:24" ht="13.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row>
    <row r="509" spans="1:24" ht="13.8">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row>
    <row r="510" spans="1:24" ht="13.8">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row>
    <row r="511" spans="1:24" ht="13.8">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row>
    <row r="512" spans="1:24" ht="13.8">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row>
    <row r="513" spans="1:24" ht="13.8">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row>
    <row r="514" spans="1:24" ht="13.8">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row>
    <row r="515" spans="1:24" ht="13.8">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row>
    <row r="516" spans="1:24" ht="13.8">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row>
    <row r="517" spans="1:24" ht="13.8">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row>
    <row r="518" spans="1:24" ht="13.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row>
    <row r="519" spans="1:24" ht="13.8">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row>
    <row r="520" spans="1:24" ht="13.8">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row>
    <row r="521" spans="1:24" ht="13.8">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row>
    <row r="522" spans="1:24" ht="13.8">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row>
    <row r="523" spans="1:24" ht="13.8">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row>
    <row r="524" spans="1:24" ht="13.8">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row>
    <row r="525" spans="1:24" ht="13.8">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row>
    <row r="526" spans="1:24" ht="13.8">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row>
    <row r="527" spans="1:24" ht="13.8">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row>
    <row r="528" spans="1:24" ht="13.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row>
    <row r="529" spans="1:24" ht="13.8">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row>
    <row r="530" spans="1:24" ht="13.8">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row>
    <row r="531" spans="1:24" ht="13.8">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row>
    <row r="532" spans="1:24" ht="13.8">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row>
    <row r="533" spans="1:24" ht="13.8">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row>
    <row r="534" spans="1:24" ht="13.8">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row>
    <row r="535" spans="1:24" ht="13.8">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row>
    <row r="536" spans="1:24" ht="13.8">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row>
    <row r="537" spans="1:24" ht="13.8">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row>
    <row r="538" spans="1:24" ht="1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row>
    <row r="539" spans="1:24" ht="13.8">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row>
    <row r="540" spans="1:24" ht="13.8">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row>
    <row r="541" spans="1:24" ht="13.8">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row>
    <row r="542" spans="1:24" ht="13.8">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row>
    <row r="543" spans="1:24" ht="13.8">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row>
    <row r="544" spans="1:24" ht="13.8">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row>
    <row r="545" spans="1:24" ht="13.8">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row>
    <row r="546" spans="1:24" ht="13.8">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row>
    <row r="547" spans="1:24" ht="13.8">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row>
    <row r="548" spans="1:24" ht="13.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row>
    <row r="549" spans="1:24" ht="13.8">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row>
    <row r="550" spans="1:24" ht="13.8">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row>
    <row r="551" spans="1:24" ht="13.8">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row>
    <row r="552" spans="1:24" ht="13.8">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row>
    <row r="553" spans="1:24" ht="13.8">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row>
    <row r="554" spans="1:24" ht="13.8">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row>
    <row r="555" spans="1:24" ht="13.8">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row>
    <row r="556" spans="1:24" ht="13.8">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row>
    <row r="557" spans="1:24" ht="13.8">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row>
    <row r="558" spans="1:24" ht="13.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row>
    <row r="559" spans="1:24" ht="13.8">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row>
    <row r="560" spans="1:24" ht="13.8">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row>
    <row r="561" spans="1:24" ht="13.8">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row>
    <row r="562" spans="1:24" ht="13.8">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row>
    <row r="563" spans="1:24" ht="13.8">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row>
    <row r="564" spans="1:24" ht="13.8">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row>
    <row r="565" spans="1:24" ht="13.8">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row>
    <row r="566" spans="1:24" ht="13.8">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row>
    <row r="567" spans="1:24" ht="13.8">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row>
    <row r="568" spans="1:24" ht="13.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row>
    <row r="569" spans="1:24" ht="13.8">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row>
    <row r="570" spans="1:24" ht="13.8">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row>
    <row r="571" spans="1:24" ht="13.8">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row>
    <row r="572" spans="1:24" ht="13.8">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row>
    <row r="573" spans="1:24" ht="13.8">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row>
    <row r="574" spans="1:24" ht="13.8">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row>
    <row r="575" spans="1:24" ht="13.8">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row>
    <row r="576" spans="1:24" ht="13.8">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row>
    <row r="577" spans="1:24" ht="13.8">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row>
    <row r="578" spans="1:24" ht="13.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row>
    <row r="579" spans="1:24" ht="13.8">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row>
    <row r="580" spans="1:24" ht="13.8">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row>
    <row r="581" spans="1:24" ht="13.8">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row>
    <row r="582" spans="1:24" ht="13.8">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row>
    <row r="583" spans="1:24" ht="13.8">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row>
    <row r="584" spans="1:24" ht="13.8">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row>
    <row r="585" spans="1:24" ht="13.8">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row>
    <row r="586" spans="1:24" ht="13.8">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row>
    <row r="587" spans="1:24" ht="13.8">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row>
    <row r="588" spans="1:24" ht="13.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row>
    <row r="589" spans="1:24" ht="13.8">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row>
    <row r="590" spans="1:24" ht="13.8">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row>
    <row r="591" spans="1:24" ht="13.8">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row>
    <row r="592" spans="1:24" ht="13.8">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row>
    <row r="593" spans="1:24" ht="13.8">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row>
    <row r="594" spans="1:24" ht="13.8">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row>
    <row r="595" spans="1:24" ht="13.8">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row>
    <row r="596" spans="1:24" ht="13.8">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row>
    <row r="597" spans="1:24" ht="13.8">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row>
    <row r="598" spans="1:24" ht="13.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row>
    <row r="599" spans="1:24" ht="13.8">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row>
    <row r="600" spans="1:24" ht="13.8">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row>
    <row r="601" spans="1:24" ht="13.8">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row>
    <row r="602" spans="1:24" ht="13.8">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row>
    <row r="603" spans="1:24" ht="13.8">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row>
    <row r="604" spans="1:24" ht="13.8">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row>
    <row r="605" spans="1:24" ht="13.8">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row>
    <row r="606" spans="1:24" ht="13.8">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row>
    <row r="607" spans="1:24" ht="13.8">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row>
    <row r="608" spans="1:24" ht="13.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row>
    <row r="609" spans="1:24" ht="13.8">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row>
    <row r="610" spans="1:24" ht="13.8">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row>
    <row r="611" spans="1:24" ht="13.8">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row>
    <row r="612" spans="1:24" ht="13.8">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row>
    <row r="613" spans="1:24" ht="13.8">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row>
    <row r="614" spans="1:24" ht="13.8">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row>
    <row r="615" spans="1:24" ht="13.8">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row>
    <row r="616" spans="1:24" ht="13.8">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row>
    <row r="617" spans="1:24" ht="13.8">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row>
    <row r="618" spans="1:24" ht="13.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row>
    <row r="619" spans="1:24" ht="13.8">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row>
    <row r="620" spans="1:24" ht="13.8">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row>
    <row r="621" spans="1:24" ht="13.8">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row>
    <row r="622" spans="1:24" ht="13.8">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row>
    <row r="623" spans="1:24" ht="13.8">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row>
    <row r="624" spans="1:24" ht="13.8">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row>
    <row r="625" spans="1:24" ht="13.8">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row>
    <row r="626" spans="1:24" ht="13.8">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row>
    <row r="627" spans="1:24" ht="13.8">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row>
    <row r="628" spans="1:24" ht="13.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row>
    <row r="629" spans="1:24" ht="13.8">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row>
    <row r="630" spans="1:24" ht="13.8">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row>
    <row r="631" spans="1:24" ht="13.8">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row>
    <row r="632" spans="1:24" ht="13.8">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row>
    <row r="633" spans="1:24" ht="13.8">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row>
    <row r="634" spans="1:24" ht="13.8">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row>
    <row r="635" spans="1:24" ht="13.8">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row>
    <row r="636" spans="1:24" ht="13.8">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row>
    <row r="637" spans="1:24" ht="13.8">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row>
    <row r="638" spans="1:24" ht="1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row>
    <row r="639" spans="1:24" ht="13.8">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row>
    <row r="640" spans="1:24" ht="13.8">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row>
    <row r="641" spans="1:24" ht="13.8">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row>
    <row r="642" spans="1:24" ht="13.8">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row>
    <row r="643" spans="1:24" ht="13.8">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row>
    <row r="644" spans="1:24" ht="13.8">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row>
    <row r="645" spans="1:24" ht="13.8">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row>
    <row r="646" spans="1:24" ht="13.8">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row>
    <row r="647" spans="1:24" ht="13.8">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row>
    <row r="648" spans="1:24" ht="13.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row>
    <row r="649" spans="1:24" ht="13.8">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row>
    <row r="650" spans="1:24" ht="13.8">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row>
    <row r="651" spans="1:24" ht="13.8">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row>
    <row r="652" spans="1:24" ht="13.8">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row>
    <row r="653" spans="1:24" ht="13.8">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row>
    <row r="654" spans="1:24" ht="13.8">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row>
    <row r="655" spans="1:24" ht="13.8">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row>
    <row r="656" spans="1:24" ht="13.8">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row>
    <row r="657" spans="1:24" ht="13.8">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row>
    <row r="658" spans="1:24" ht="13.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row>
    <row r="659" spans="1:24" ht="13.8">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row>
    <row r="660" spans="1:24" ht="13.8">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row>
    <row r="661" spans="1:24" ht="13.8">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row>
    <row r="662" spans="1:24" ht="13.8">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row>
    <row r="663" spans="1:24" ht="13.8">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row>
    <row r="664" spans="1:24" ht="13.8">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row>
    <row r="665" spans="1:24" ht="13.8">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row>
    <row r="666" spans="1:24" ht="13.8">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row>
    <row r="667" spans="1:24" ht="13.8">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row>
    <row r="668" spans="1:24" ht="13.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row>
    <row r="669" spans="1:24" ht="13.8">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row>
    <row r="670" spans="1:24" ht="13.8">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row>
    <row r="671" spans="1:24" ht="13.8">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row>
    <row r="672" spans="1:24" ht="13.8">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row>
    <row r="673" spans="1:24" ht="13.8">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row>
    <row r="674" spans="1:24" ht="13.8">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row>
    <row r="675" spans="1:24" ht="13.8">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row>
    <row r="676" spans="1:24" ht="13.8">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row>
    <row r="677" spans="1:24" ht="13.8">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row>
    <row r="678" spans="1:24" ht="13.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row>
    <row r="679" spans="1:24" ht="13.8">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row>
    <row r="680" spans="1:24" ht="13.8">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row>
    <row r="681" spans="1:24" ht="13.8">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row>
    <row r="682" spans="1:24" ht="13.8">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row>
    <row r="683" spans="1:24" ht="13.8">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row>
    <row r="684" spans="1:24" ht="13.8">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row>
    <row r="685" spans="1:24" ht="13.8">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row>
    <row r="686" spans="1:24" ht="13.8">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row>
    <row r="687" spans="1:24" ht="13.8">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row>
    <row r="688" spans="1:24" ht="13.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row>
    <row r="689" spans="1:24" ht="13.8">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row>
    <row r="690" spans="1:24" ht="13.8">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row>
    <row r="691" spans="1:24" ht="13.8">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row>
    <row r="692" spans="1:24" ht="13.8">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row>
    <row r="693" spans="1:24" ht="13.8">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row>
    <row r="694" spans="1:24" ht="13.8">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row>
    <row r="695" spans="1:24" ht="13.8">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row>
    <row r="696" spans="1:24" ht="13.8">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row>
    <row r="697" spans="1:24" ht="13.8">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row>
    <row r="698" spans="1:24" ht="13.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row>
    <row r="699" spans="1:24" ht="13.8">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row>
    <row r="700" spans="1:24" ht="13.8">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row>
    <row r="701" spans="1:24" ht="13.8">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row>
    <row r="702" spans="1:24" ht="13.8">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row>
    <row r="703" spans="1:24" ht="13.8">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row>
    <row r="704" spans="1:24" ht="13.8">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row>
    <row r="705" spans="1:24" ht="13.8">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row>
    <row r="706" spans="1:24" ht="13.8">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row>
    <row r="707" spans="1:24" ht="13.8">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row>
    <row r="708" spans="1:24" ht="13.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row>
    <row r="709" spans="1:24" ht="13.8">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row>
    <row r="710" spans="1:24" ht="13.8">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row>
    <row r="711" spans="1:24" ht="13.8">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row>
    <row r="712" spans="1:24" ht="13.8">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row>
    <row r="713" spans="1:24" ht="13.8">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row>
    <row r="714" spans="1:24" ht="13.8">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row>
    <row r="715" spans="1:24" ht="13.8">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row>
    <row r="716" spans="1:24" ht="13.8">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row>
    <row r="717" spans="1:24" ht="13.8">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row>
    <row r="718" spans="1:24" ht="13.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row>
    <row r="719" spans="1:24" ht="13.8">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row>
    <row r="720" spans="1:24" ht="13.8">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row>
    <row r="721" spans="1:24" ht="13.8">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row>
    <row r="722" spans="1:24" ht="13.8">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row>
    <row r="723" spans="1:24" ht="13.8">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row>
    <row r="724" spans="1:24" ht="13.8">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row>
    <row r="725" spans="1:24" ht="13.8">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row>
    <row r="726" spans="1:24" ht="13.8">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row>
    <row r="727" spans="1:24" ht="13.8">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row>
    <row r="728" spans="1:24" ht="13.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row>
    <row r="729" spans="1:24" ht="13.8">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row>
    <row r="730" spans="1:24" ht="13.8">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row>
    <row r="731" spans="1:24" ht="13.8">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row>
    <row r="732" spans="1:24" ht="13.8">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row>
    <row r="733" spans="1:24" ht="13.8">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row>
    <row r="734" spans="1:24" ht="13.8">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row>
    <row r="735" spans="1:24" ht="13.8">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row>
    <row r="736" spans="1:24" ht="13.8">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row>
    <row r="737" spans="1:24" ht="13.8">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row>
    <row r="738" spans="1:24" ht="1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row>
    <row r="739" spans="1:24" ht="13.8">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row>
    <row r="740" spans="1:24" ht="13.8">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row>
    <row r="741" spans="1:24" ht="13.8">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row>
    <row r="742" spans="1:24" ht="13.8">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row>
    <row r="743" spans="1:24" ht="13.8">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row>
    <row r="744" spans="1:24" ht="13.8">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row>
    <row r="745" spans="1:24" ht="13.8">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row>
    <row r="746" spans="1:24" ht="13.8">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row>
    <row r="747" spans="1:24" ht="13.8">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row>
    <row r="748" spans="1:24" ht="13.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row>
    <row r="749" spans="1:24" ht="13.8">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row>
    <row r="750" spans="1:24" ht="13.8">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row>
    <row r="751" spans="1:24" ht="13.8">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row>
    <row r="752" spans="1:24" ht="13.8">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row>
    <row r="753" spans="1:24" ht="13.8">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row>
    <row r="754" spans="1:24" ht="13.8">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row>
    <row r="755" spans="1:24" ht="13.8">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row>
    <row r="756" spans="1:24" ht="13.8">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row>
    <row r="757" spans="1:24" ht="13.8">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row>
    <row r="758" spans="1:24" ht="13.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row>
    <row r="759" spans="1:24" ht="13.8">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row>
    <row r="760" spans="1:24" ht="13.8">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row>
    <row r="761" spans="1:24" ht="13.8">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row>
    <row r="762" spans="1:24" ht="13.8">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row>
    <row r="763" spans="1:24" ht="13.8">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row>
    <row r="764" spans="1:24" ht="13.8">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row>
    <row r="765" spans="1:24" ht="13.8">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row>
    <row r="766" spans="1:24" ht="13.8">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row>
    <row r="767" spans="1:24" ht="13.8">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row>
    <row r="768" spans="1:24" ht="13.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row>
    <row r="769" spans="1:24" ht="13.8">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row>
    <row r="770" spans="1:24" ht="13.8">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row>
    <row r="771" spans="1:24" ht="13.8">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row>
    <row r="772" spans="1:24" ht="13.8">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row>
    <row r="773" spans="1:24" ht="13.8">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row>
    <row r="774" spans="1:24" ht="13.8">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row>
    <row r="775" spans="1:24" ht="13.8">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row>
    <row r="776" spans="1:24" ht="13.8">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row>
    <row r="777" spans="1:24" ht="13.8">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row>
    <row r="778" spans="1:24" ht="13.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row>
    <row r="779" spans="1:24" ht="13.8">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row>
    <row r="780" spans="1:24" ht="13.8">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row>
    <row r="781" spans="1:24" ht="13.8">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row>
    <row r="782" spans="1:24" ht="13.8">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row>
    <row r="783" spans="1:24" ht="13.8">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row>
    <row r="784" spans="1:24" ht="13.8">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row>
    <row r="785" spans="1:24" ht="13.8">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row>
    <row r="786" spans="1:24" ht="13.8">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row>
    <row r="787" spans="1:24" ht="13.8">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row>
    <row r="788" spans="1:24" ht="13.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row>
    <row r="789" spans="1:24" ht="13.8">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row>
    <row r="790" spans="1:24" ht="13.8">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row>
    <row r="791" spans="1:24" ht="13.8">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row>
    <row r="792" spans="1:24" ht="13.8">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row>
    <row r="793" spans="1:24" ht="13.8">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row>
    <row r="794" spans="1:24" ht="13.8">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row>
    <row r="795" spans="1:24" ht="13.8">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row>
    <row r="796" spans="1:24" ht="13.8">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row>
    <row r="797" spans="1:24" ht="13.8">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row>
    <row r="798" spans="1:24" ht="13.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row>
    <row r="799" spans="1:24" ht="13.8">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row>
    <row r="800" spans="1:24" ht="13.8">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row>
    <row r="801" spans="1:24" ht="13.8">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row>
    <row r="802" spans="1:24" ht="13.8">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row>
    <row r="803" spans="1:24" ht="13.8">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row>
    <row r="804" spans="1:24" ht="13.8">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row>
    <row r="805" spans="1:24" ht="13.8">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row>
    <row r="806" spans="1:24" ht="13.8">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row>
    <row r="807" spans="1:24" ht="13.8">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row>
    <row r="808" spans="1:24" ht="13.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row>
    <row r="809" spans="1:24" ht="13.8">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row>
    <row r="810" spans="1:24" ht="13.8">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row>
    <row r="811" spans="1:24" ht="13.8">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row>
    <row r="812" spans="1:24" ht="13.8">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row>
    <row r="813" spans="1:24" ht="13.8">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row>
    <row r="814" spans="1:24" ht="13.8">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row>
    <row r="815" spans="1:24" ht="13.8">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row>
    <row r="816" spans="1:24" ht="13.8">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row>
    <row r="817" spans="1:24" ht="13.8">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row>
    <row r="818" spans="1:24" ht="13.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row>
    <row r="819" spans="1:24" ht="13.8">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row>
    <row r="820" spans="1:24" ht="13.8">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row>
    <row r="821" spans="1:24" ht="13.8">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row>
    <row r="822" spans="1:24" ht="13.8">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row>
    <row r="823" spans="1:24" ht="13.8">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row>
    <row r="824" spans="1:24" ht="13.8">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row>
    <row r="825" spans="1:24" ht="13.8">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row>
    <row r="826" spans="1:24" ht="13.8">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row>
    <row r="827" spans="1:24" ht="13.8">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row>
    <row r="828" spans="1:24" ht="13.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row>
    <row r="829" spans="1:24" ht="13.8">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row>
    <row r="830" spans="1:24" ht="13.8">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row>
    <row r="831" spans="1:24" ht="13.8">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row>
    <row r="832" spans="1:24" ht="13.8">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row>
    <row r="833" spans="1:24" ht="13.8">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row>
    <row r="834" spans="1:24" ht="13.8">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row>
    <row r="835" spans="1:24" ht="13.8">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row>
    <row r="836" spans="1:24" ht="13.8">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row>
    <row r="837" spans="1:24" ht="13.8">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row>
    <row r="838" spans="1:24" ht="1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row>
    <row r="839" spans="1:24" ht="13.8">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row>
    <row r="840" spans="1:24" ht="13.8">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row>
    <row r="841" spans="1:24" ht="13.8">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row>
    <row r="842" spans="1:24" ht="13.8">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row>
    <row r="843" spans="1:24" ht="13.8">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row>
    <row r="844" spans="1:24" ht="13.8">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row>
    <row r="845" spans="1:24" ht="13.8">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row>
    <row r="846" spans="1:24" ht="13.8">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row>
    <row r="847" spans="1:24" ht="13.8">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row>
    <row r="848" spans="1:24" ht="13.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row>
    <row r="849" spans="1:24" ht="13.8">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row>
    <row r="850" spans="1:24" ht="13.8">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row>
    <row r="851" spans="1:24" ht="13.8">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row>
    <row r="852" spans="1:24" ht="13.8">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row>
    <row r="853" spans="1:24" ht="13.8">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row>
    <row r="854" spans="1:24" ht="13.8">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row>
    <row r="855" spans="1:24" ht="13.8">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row>
    <row r="856" spans="1:24" ht="13.8">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row>
    <row r="857" spans="1:24" ht="13.8">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row>
    <row r="858" spans="1:24" ht="13.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row>
    <row r="859" spans="1:24" ht="13.8">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row>
    <row r="860" spans="1:24" ht="13.8">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row>
    <row r="861" spans="1:24" ht="13.8">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row>
    <row r="862" spans="1:24" ht="13.8">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row>
    <row r="863" spans="1:24" ht="13.8">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row>
    <row r="864" spans="1:24" ht="13.8">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row>
    <row r="865" spans="1:24" ht="13.8">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row>
    <row r="866" spans="1:24" ht="13.8">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row>
    <row r="867" spans="1:24" ht="13.8">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row>
    <row r="868" spans="1:24" ht="13.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row>
    <row r="869" spans="1:24" ht="13.8">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row>
    <row r="870" spans="1:24" ht="13.8">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row>
    <row r="871" spans="1:24" ht="13.8">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row>
    <row r="872" spans="1:24" ht="13.8">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row>
    <row r="873" spans="1:24" ht="13.8">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row>
    <row r="874" spans="1:24" ht="13.8">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row>
    <row r="875" spans="1:24" ht="13.8">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row>
    <row r="876" spans="1:24" ht="13.8">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row>
    <row r="877" spans="1:24" ht="13.8">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row>
    <row r="878" spans="1:24" ht="13.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row>
    <row r="879" spans="1:24" ht="13.8">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row>
    <row r="880" spans="1:24" ht="13.8">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row>
    <row r="881" spans="1:24" ht="13.8">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row>
    <row r="882" spans="1:24" ht="13.8">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row>
    <row r="883" spans="1:24" ht="13.8">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row>
    <row r="884" spans="1:24" ht="13.8">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row>
    <row r="885" spans="1:24" ht="13.8">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row>
    <row r="886" spans="1:24" ht="13.8">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row>
    <row r="887" spans="1:24" ht="13.8">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row>
    <row r="888" spans="1:24" ht="13.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row>
    <row r="889" spans="1:24" ht="13.8">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row>
    <row r="890" spans="1:24" ht="13.8">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row>
    <row r="891" spans="1:24" ht="13.8">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row>
    <row r="892" spans="1:24" ht="13.8">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row>
    <row r="893" spans="1:24" ht="13.8">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row>
    <row r="894" spans="1:24" ht="13.8">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row>
    <row r="895" spans="1:24" ht="13.8">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row>
    <row r="896" spans="1:24" ht="13.8">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row>
    <row r="897" spans="1:24" ht="13.8">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row>
    <row r="898" spans="1:24" ht="13.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row>
    <row r="899" spans="1:24" ht="13.8">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row>
    <row r="900" spans="1:24" ht="13.8">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row>
    <row r="901" spans="1:24" ht="13.8">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row>
    <row r="902" spans="1:24" ht="13.8">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row>
    <row r="903" spans="1:24" ht="13.8">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row>
    <row r="904" spans="1:24" ht="13.8">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row>
    <row r="905" spans="1:24" ht="13.8">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row>
    <row r="906" spans="1:24" ht="13.8">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row>
    <row r="907" spans="1:24" ht="13.8">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row>
    <row r="908" spans="1:24" ht="13.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row>
    <row r="909" spans="1:24" ht="13.8">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row>
    <row r="910" spans="1:24" ht="13.8">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row>
    <row r="911" spans="1:24" ht="13.8">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row>
    <row r="912" spans="1:24" ht="13.8">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row>
    <row r="913" spans="1:24" ht="13.8">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row>
    <row r="914" spans="1:24" ht="13.8">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row>
    <row r="915" spans="1:24" ht="13.8">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row>
    <row r="916" spans="1:24" ht="13.8">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row>
    <row r="917" spans="1:24" ht="13.8">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row>
    <row r="918" spans="1:24" ht="13.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row>
    <row r="919" spans="1:24" ht="13.8">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row>
    <row r="920" spans="1:24" ht="13.8">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row>
    <row r="921" spans="1:24" ht="13.8">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row>
    <row r="922" spans="1:24" ht="13.8">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row>
    <row r="923" spans="1:24" ht="13.8">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row>
    <row r="924" spans="1:24" ht="13.8">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row>
    <row r="925" spans="1:24" ht="13.8">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row>
    <row r="926" spans="1:24" ht="13.8">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row>
    <row r="927" spans="1:24" ht="13.8">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row>
    <row r="928" spans="1:24" ht="13.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row>
    <row r="929" spans="1:24" ht="13.8">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row>
    <row r="930" spans="1:24" ht="13.8">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row>
    <row r="931" spans="1:24" ht="13.8">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row>
    <row r="932" spans="1:24" ht="13.8">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row>
    <row r="933" spans="1:24" ht="13.8">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row>
    <row r="934" spans="1:24" ht="13.8">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row>
    <row r="935" spans="1:24" ht="13.8">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row>
    <row r="936" spans="1:24" ht="13.8">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row>
    <row r="937" spans="1:24" ht="13.8">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row>
    <row r="938" spans="1:24" ht="1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row>
    <row r="939" spans="1:24" ht="13.8">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row>
    <row r="940" spans="1:24" ht="13.8">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row>
    <row r="941" spans="1:24" ht="13.8">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row>
    <row r="942" spans="1:24" ht="13.8">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row>
    <row r="943" spans="1:24" ht="13.8">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row>
    <row r="944" spans="1:24" ht="13.8">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row>
    <row r="945" spans="1:24" ht="13.8">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row>
    <row r="946" spans="1:24" ht="13.8">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row>
    <row r="947" spans="1:24" ht="13.8">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row>
    <row r="948" spans="1:24" ht="13.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row>
    <row r="949" spans="1:24" ht="13.8">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row>
    <row r="950" spans="1:24" ht="13.8">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row>
    <row r="951" spans="1:24" ht="13.8">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row>
    <row r="952" spans="1:24" ht="13.8">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row>
    <row r="953" spans="1:24" ht="13.8">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row>
    <row r="954" spans="1:24" ht="13.8">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row>
    <row r="955" spans="1:24" ht="13.8">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row>
    <row r="956" spans="1:24" ht="13.8">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row>
    <row r="957" spans="1:24" ht="13.8">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row>
    <row r="958" spans="1:24" ht="13.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row>
    <row r="959" spans="1:24" ht="13.8">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row>
    <row r="960" spans="1:24" ht="13.8">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row>
    <row r="961" spans="1:24" ht="13.8">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row>
    <row r="962" spans="1:24" ht="13.8">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row>
    <row r="963" spans="1:24" ht="13.8">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row>
    <row r="964" spans="1:24" ht="13.8">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row>
    <row r="965" spans="1:24" ht="13.8">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row>
    <row r="966" spans="1:24" ht="13.8">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row>
    <row r="967" spans="1:24" ht="13.8">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row>
    <row r="968" spans="1:24" ht="13.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row>
    <row r="969" spans="1:24" ht="13.8">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row>
    <row r="970" spans="1:24" ht="13.8">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row>
    <row r="971" spans="1:24" ht="13.8">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row>
    <row r="972" spans="1:24" ht="13.8">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row>
    <row r="973" spans="1:24" ht="13.8">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row>
    <row r="974" spans="1:24" ht="13.8">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row>
    <row r="975" spans="1:24" ht="13.8">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row>
    <row r="976" spans="1:24" ht="13.8">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row>
    <row r="977" spans="1:24" ht="13.8">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row>
    <row r="978" spans="1:24" ht="13.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row>
    <row r="979" spans="1:24" ht="13.8">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row>
    <row r="980" spans="1:24" ht="13.8">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row>
    <row r="981" spans="1:24" ht="13.8">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row>
    <row r="982" spans="1:24" ht="13.8">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row>
    <row r="983" spans="1:24" ht="13.8">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row>
    <row r="984" spans="1:24" ht="13.8">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row>
    <row r="985" spans="1:24" ht="13.8">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row>
    <row r="986" spans="1:24" ht="13.8">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row>
    <row r="987" spans="1:24" ht="13.8">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row>
    <row r="988" spans="1:24" ht="13.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row>
    <row r="989" spans="1:24" ht="13.8">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row>
    <row r="990" spans="1:24" ht="13.8">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row>
    <row r="991" spans="1:24" ht="13.8">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row>
    <row r="992" spans="1:24" ht="13.8">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row>
  </sheetData>
  <mergeCells count="6">
    <mergeCell ref="E1:E2"/>
    <mergeCell ref="G1:G2"/>
    <mergeCell ref="I1:I2"/>
    <mergeCell ref="E20:E21"/>
    <mergeCell ref="G20:G21"/>
    <mergeCell ref="I20:I21"/>
  </mergeCells>
  <pageMargins left="0.7" right="0.7" top="0.75" bottom="0.75" header="0.3" footer="0.3"/>
  <pageSetup scale="73" fitToHeight="0" orientation="portrait" horizontalDpi="300" verticalDpi="300" r:id="rId1"/>
  <ignoredErrors>
    <ignoredError sqref="E22 E23:E44 G22:G44 H22:H44"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EECDE-0FFB-4ECD-A897-9BBEA191CA7D}">
  <sheetPr>
    <tabColor rgb="FF92D050"/>
    <pageSetUpPr fitToPage="1"/>
  </sheetPr>
  <dimension ref="A1:K71"/>
  <sheetViews>
    <sheetView workbookViewId="0"/>
  </sheetViews>
  <sheetFormatPr defaultRowHeight="13.8"/>
  <cols>
    <col min="1" max="1" width="31.69921875" customWidth="1"/>
    <col min="2" max="3" width="10.09765625" bestFit="1" customWidth="1"/>
    <col min="4" max="5" width="9" bestFit="1" customWidth="1"/>
    <col min="7" max="7" width="32.5" customWidth="1"/>
    <col min="8" max="11" width="10.09765625" bestFit="1" customWidth="1"/>
  </cols>
  <sheetData>
    <row r="1" spans="1:11">
      <c r="A1" s="56" t="s">
        <v>113</v>
      </c>
      <c r="B1" s="56"/>
      <c r="C1" s="56"/>
      <c r="D1" s="56"/>
      <c r="E1" s="56"/>
      <c r="F1" s="56"/>
      <c r="G1" s="56" t="s">
        <v>113</v>
      </c>
      <c r="H1" s="56"/>
      <c r="I1" s="56"/>
      <c r="J1" s="56"/>
      <c r="K1" s="56"/>
    </row>
    <row r="2" spans="1:11" ht="13.95" customHeight="1">
      <c r="A2" s="57"/>
      <c r="B2" s="151"/>
      <c r="C2" s="151"/>
      <c r="D2" s="151"/>
      <c r="E2" s="151"/>
      <c r="F2" s="56"/>
      <c r="G2" s="57"/>
      <c r="H2" s="151"/>
      <c r="I2" s="151"/>
      <c r="J2" s="151"/>
      <c r="K2" s="151"/>
    </row>
    <row r="3" spans="1:11" ht="17.399999999999999">
      <c r="A3" s="58" t="s">
        <v>77</v>
      </c>
      <c r="B3" s="152" t="s">
        <v>108</v>
      </c>
      <c r="C3" s="152" t="s">
        <v>109</v>
      </c>
      <c r="D3" s="152" t="s">
        <v>110</v>
      </c>
      <c r="E3" s="152" t="s">
        <v>111</v>
      </c>
      <c r="F3" s="56"/>
      <c r="G3" s="58" t="s">
        <v>76</v>
      </c>
      <c r="H3" s="152" t="s">
        <v>108</v>
      </c>
      <c r="I3" s="152" t="s">
        <v>109</v>
      </c>
      <c r="J3" s="152" t="s">
        <v>110</v>
      </c>
      <c r="K3" s="152" t="s">
        <v>111</v>
      </c>
    </row>
    <row r="4" spans="1:11" ht="34.799999999999997">
      <c r="A4" s="42" t="s">
        <v>0</v>
      </c>
      <c r="B4" s="43">
        <v>1252.6099999999999</v>
      </c>
      <c r="C4" s="43">
        <v>1087.53</v>
      </c>
      <c r="D4" s="41">
        <v>900.49</v>
      </c>
      <c r="E4" s="41">
        <v>739.89</v>
      </c>
      <c r="G4" s="42" t="s">
        <v>67</v>
      </c>
      <c r="H4" s="41">
        <v>320.70999999999998</v>
      </c>
      <c r="I4" s="41">
        <v>293.20999999999998</v>
      </c>
      <c r="J4" s="41">
        <v>311.23</v>
      </c>
      <c r="K4" s="41">
        <v>382.41</v>
      </c>
    </row>
    <row r="5" spans="1:11" ht="17.399999999999999">
      <c r="A5" s="42" t="s">
        <v>1</v>
      </c>
      <c r="B5" s="45">
        <v>0.15179999999999999</v>
      </c>
      <c r="C5" s="45">
        <v>0.2077</v>
      </c>
      <c r="D5" s="45">
        <v>0.217</v>
      </c>
      <c r="E5" s="45">
        <v>0.41510000000000002</v>
      </c>
      <c r="G5" s="42" t="s">
        <v>99</v>
      </c>
      <c r="H5" s="41">
        <v>19.690000000000001</v>
      </c>
      <c r="I5" s="41">
        <v>16.850000000000001</v>
      </c>
      <c r="J5" s="41">
        <v>13.88</v>
      </c>
      <c r="K5" s="41">
        <v>13.66</v>
      </c>
    </row>
    <row r="6" spans="1:11" ht="17.399999999999999">
      <c r="A6" s="42" t="s">
        <v>2</v>
      </c>
      <c r="B6" s="41">
        <v>950.14</v>
      </c>
      <c r="C6" s="41">
        <v>838.59</v>
      </c>
      <c r="D6" s="41">
        <v>717.1</v>
      </c>
      <c r="E6" s="41">
        <v>594.64</v>
      </c>
      <c r="G6" s="42" t="s">
        <v>66</v>
      </c>
      <c r="H6" s="41">
        <v>6.01</v>
      </c>
      <c r="I6" s="41">
        <v>5.4</v>
      </c>
      <c r="J6" s="41">
        <v>4.18</v>
      </c>
      <c r="K6" s="41">
        <v>3.85</v>
      </c>
    </row>
    <row r="7" spans="1:11" ht="17.399999999999999">
      <c r="A7" s="42" t="s">
        <v>3</v>
      </c>
      <c r="B7" s="41">
        <v>302.47000000000003</v>
      </c>
      <c r="C7" s="41">
        <v>248.94</v>
      </c>
      <c r="D7" s="41">
        <v>183.39</v>
      </c>
      <c r="E7" s="41">
        <v>145.26</v>
      </c>
      <c r="G7" s="42" t="s">
        <v>65</v>
      </c>
      <c r="H7" s="41" t="s">
        <v>112</v>
      </c>
      <c r="I7" s="41" t="s">
        <v>112</v>
      </c>
      <c r="J7" s="41">
        <v>15</v>
      </c>
      <c r="K7" s="41">
        <v>10</v>
      </c>
    </row>
    <row r="8" spans="1:11" ht="17.399999999999999">
      <c r="A8" s="42" t="s">
        <v>4</v>
      </c>
      <c r="B8" s="41">
        <v>149.05000000000001</v>
      </c>
      <c r="C8" s="41">
        <v>129.54</v>
      </c>
      <c r="D8" s="41">
        <v>120.01</v>
      </c>
      <c r="E8" s="41">
        <v>87.2</v>
      </c>
      <c r="G8" s="42" t="s">
        <v>64</v>
      </c>
      <c r="H8" s="41">
        <v>368.22</v>
      </c>
      <c r="I8" s="41">
        <v>334.43</v>
      </c>
      <c r="J8" s="41">
        <v>343.99</v>
      </c>
      <c r="K8" s="41">
        <v>409.68</v>
      </c>
    </row>
    <row r="9" spans="1:11" ht="34.799999999999997">
      <c r="A9" s="42" t="s">
        <v>5</v>
      </c>
      <c r="B9" s="41">
        <v>3.04</v>
      </c>
      <c r="C9" s="41">
        <v>5.92</v>
      </c>
      <c r="D9" s="41">
        <v>-26.89</v>
      </c>
      <c r="E9" s="41">
        <v>-15.85</v>
      </c>
      <c r="G9" s="42" t="s">
        <v>123</v>
      </c>
      <c r="H9" s="41">
        <v>551.6</v>
      </c>
      <c r="I9" s="41">
        <v>531</v>
      </c>
      <c r="J9" s="41">
        <v>467.03</v>
      </c>
      <c r="K9" s="41">
        <v>389.39</v>
      </c>
    </row>
    <row r="10" spans="1:11" ht="17.399999999999999">
      <c r="A10" s="42" t="s">
        <v>34</v>
      </c>
      <c r="B10" s="41" t="s">
        <v>112</v>
      </c>
      <c r="C10" s="41" t="s">
        <v>112</v>
      </c>
      <c r="D10" s="41">
        <v>1.52</v>
      </c>
      <c r="E10" s="41">
        <v>1.58</v>
      </c>
      <c r="G10" s="42" t="s">
        <v>62</v>
      </c>
      <c r="H10" s="41" t="s">
        <v>112</v>
      </c>
      <c r="I10" s="41" t="s">
        <v>112</v>
      </c>
      <c r="J10" s="41" t="s">
        <v>112</v>
      </c>
      <c r="K10" s="41" t="s">
        <v>112</v>
      </c>
    </row>
    <row r="11" spans="1:11" ht="34.799999999999997">
      <c r="A11" s="42" t="s">
        <v>6</v>
      </c>
      <c r="B11" s="41">
        <v>11.21</v>
      </c>
      <c r="C11" s="41">
        <v>11.06</v>
      </c>
      <c r="D11" s="41">
        <v>2.61</v>
      </c>
      <c r="E11" s="41">
        <v>-1.48</v>
      </c>
      <c r="G11" s="42" t="s">
        <v>61</v>
      </c>
      <c r="H11" s="41" t="s">
        <v>112</v>
      </c>
      <c r="I11" s="41" t="s">
        <v>112</v>
      </c>
      <c r="J11" s="41">
        <v>2</v>
      </c>
      <c r="K11" s="41">
        <v>1</v>
      </c>
    </row>
    <row r="12" spans="1:11" ht="34.799999999999997">
      <c r="A12" s="42" t="s">
        <v>7</v>
      </c>
      <c r="B12" s="41">
        <v>2.04</v>
      </c>
      <c r="C12" s="41">
        <v>1.72</v>
      </c>
      <c r="D12" s="41">
        <v>1.52</v>
      </c>
      <c r="E12" s="41">
        <v>1.58</v>
      </c>
      <c r="G12" s="42" t="s">
        <v>70</v>
      </c>
      <c r="H12" s="41">
        <v>341.59</v>
      </c>
      <c r="I12" s="41">
        <v>326.20999999999998</v>
      </c>
      <c r="J12" s="41">
        <v>317.63</v>
      </c>
      <c r="K12" s="41">
        <v>298.67</v>
      </c>
    </row>
    <row r="13" spans="1:11" ht="17.399999999999999">
      <c r="A13" s="42" t="s">
        <v>8</v>
      </c>
      <c r="B13" s="41">
        <v>14.24</v>
      </c>
      <c r="C13" s="41">
        <v>16.98</v>
      </c>
      <c r="D13" s="41">
        <v>-24.29</v>
      </c>
      <c r="E13" s="41">
        <v>-17.34</v>
      </c>
      <c r="G13" s="42" t="s">
        <v>60</v>
      </c>
      <c r="H13" s="41">
        <v>10.96</v>
      </c>
      <c r="I13" s="41">
        <v>15.93</v>
      </c>
      <c r="J13" s="41">
        <v>15.82</v>
      </c>
      <c r="K13" s="41">
        <v>12.56</v>
      </c>
    </row>
    <row r="14" spans="1:11" ht="17.399999999999999">
      <c r="A14" s="42" t="s">
        <v>9</v>
      </c>
      <c r="B14" s="41">
        <v>3.42</v>
      </c>
      <c r="C14" s="41">
        <v>-4.01</v>
      </c>
      <c r="D14" s="41">
        <v>-1.18</v>
      </c>
      <c r="E14" s="41">
        <v>-11.32</v>
      </c>
      <c r="G14" s="42" t="s">
        <v>59</v>
      </c>
      <c r="H14" s="43">
        <v>1328.76</v>
      </c>
      <c r="I14" s="43">
        <v>1271.42</v>
      </c>
      <c r="J14" s="43">
        <v>1167.96</v>
      </c>
      <c r="K14" s="43">
        <v>1047.8900000000001</v>
      </c>
    </row>
    <row r="15" spans="1:11" ht="17.399999999999999">
      <c r="A15" s="42" t="s">
        <v>10</v>
      </c>
      <c r="B15" s="41">
        <v>10.82</v>
      </c>
      <c r="C15" s="41">
        <v>20.99</v>
      </c>
      <c r="D15" s="41">
        <v>-23.11</v>
      </c>
      <c r="E15" s="41">
        <v>-6.02</v>
      </c>
      <c r="G15" s="42" t="s">
        <v>58</v>
      </c>
      <c r="H15" s="43">
        <v>1696.97</v>
      </c>
      <c r="I15" s="43">
        <v>1605.86</v>
      </c>
      <c r="J15" s="43">
        <v>1511.95</v>
      </c>
      <c r="K15" s="43">
        <v>1457.57</v>
      </c>
    </row>
    <row r="16" spans="1:11" ht="17.399999999999999">
      <c r="A16" s="42" t="s">
        <v>33</v>
      </c>
      <c r="B16" s="41" t="s">
        <v>112</v>
      </c>
      <c r="C16" s="41">
        <v>0</v>
      </c>
      <c r="D16" s="41" t="s">
        <v>112</v>
      </c>
      <c r="E16" s="41">
        <v>0</v>
      </c>
      <c r="G16" s="42" t="s">
        <v>57</v>
      </c>
      <c r="H16" s="41">
        <v>23.61</v>
      </c>
      <c r="I16" s="41">
        <v>22.27</v>
      </c>
      <c r="J16" s="41">
        <v>20.41</v>
      </c>
      <c r="K16" s="41">
        <v>19.95</v>
      </c>
    </row>
    <row r="17" spans="1:11" ht="17.399999999999999">
      <c r="A17" s="42" t="s">
        <v>32</v>
      </c>
      <c r="B17" s="41">
        <v>0.61</v>
      </c>
      <c r="C17" s="41">
        <v>0.73</v>
      </c>
      <c r="D17" s="41">
        <v>-1.88</v>
      </c>
      <c r="E17" s="41">
        <v>-1.46</v>
      </c>
      <c r="G17" s="42" t="s">
        <v>56</v>
      </c>
      <c r="H17" s="41">
        <v>63.01</v>
      </c>
      <c r="I17" s="41">
        <v>54.74</v>
      </c>
      <c r="J17" s="41">
        <v>47.95</v>
      </c>
      <c r="K17" s="41">
        <v>36.89</v>
      </c>
    </row>
    <row r="18" spans="1:11" ht="17.399999999999999">
      <c r="A18" s="42" t="s">
        <v>11</v>
      </c>
      <c r="B18" s="41">
        <v>10.210000000000001</v>
      </c>
      <c r="C18" s="41">
        <v>20.260000000000002</v>
      </c>
      <c r="D18" s="41">
        <v>-21.23</v>
      </c>
      <c r="E18" s="41">
        <v>-4.5599999999999996</v>
      </c>
      <c r="G18" s="42" t="s">
        <v>55</v>
      </c>
      <c r="H18" s="41" t="s">
        <v>112</v>
      </c>
      <c r="I18" s="41" t="s">
        <v>112</v>
      </c>
      <c r="J18" s="41">
        <v>45</v>
      </c>
      <c r="K18" s="41">
        <v>38</v>
      </c>
    </row>
    <row r="19" spans="1:11" ht="17.399999999999999">
      <c r="A19" s="42" t="s">
        <v>12</v>
      </c>
      <c r="B19" s="41">
        <v>0.26</v>
      </c>
      <c r="C19" s="41">
        <v>0.5</v>
      </c>
      <c r="D19" s="41">
        <v>-0.61</v>
      </c>
      <c r="E19" s="41">
        <v>-0.22</v>
      </c>
      <c r="G19" s="42" t="s">
        <v>53</v>
      </c>
      <c r="H19" s="41">
        <v>19.54</v>
      </c>
      <c r="I19" s="41">
        <v>17.100000000000001</v>
      </c>
      <c r="J19" s="41">
        <v>19.55</v>
      </c>
      <c r="K19" s="41">
        <v>14.5</v>
      </c>
    </row>
    <row r="20" spans="1:11" ht="17.399999999999999">
      <c r="A20" s="42" t="s">
        <v>13</v>
      </c>
      <c r="B20" s="41">
        <v>0.24</v>
      </c>
      <c r="C20" s="41">
        <v>0.47</v>
      </c>
      <c r="D20" s="41">
        <v>-0.61</v>
      </c>
      <c r="E20" s="41">
        <v>-0.22</v>
      </c>
      <c r="G20" s="42" t="s">
        <v>52</v>
      </c>
      <c r="H20" s="41">
        <v>187.31</v>
      </c>
      <c r="I20" s="41">
        <v>164.07</v>
      </c>
      <c r="J20" s="41">
        <v>147.72</v>
      </c>
      <c r="K20" s="41">
        <v>121.5</v>
      </c>
    </row>
    <row r="21" spans="1:11" ht="17.399999999999999">
      <c r="A21" s="42" t="s">
        <v>14</v>
      </c>
      <c r="B21" s="41">
        <v>39.83</v>
      </c>
      <c r="C21" s="41">
        <v>39.42</v>
      </c>
      <c r="D21" s="41">
        <v>39.24</v>
      </c>
      <c r="E21" s="41">
        <v>39.090000000000003</v>
      </c>
      <c r="G21" s="42" t="s">
        <v>51</v>
      </c>
      <c r="H21" s="41">
        <v>246.68</v>
      </c>
      <c r="I21" s="41">
        <v>245.64</v>
      </c>
      <c r="J21" s="41">
        <v>244.59</v>
      </c>
      <c r="K21" s="41">
        <v>243.54</v>
      </c>
    </row>
    <row r="22" spans="1:11" ht="34.799999999999997">
      <c r="A22" s="42" t="s">
        <v>15</v>
      </c>
      <c r="B22" s="41">
        <v>44.2</v>
      </c>
      <c r="C22" s="41">
        <v>43.9</v>
      </c>
      <c r="D22" s="41">
        <v>39.24</v>
      </c>
      <c r="E22" s="41">
        <v>39.090000000000003</v>
      </c>
      <c r="G22" s="42" t="s">
        <v>50</v>
      </c>
      <c r="H22" s="41" t="s">
        <v>112</v>
      </c>
      <c r="I22" s="41" t="s">
        <v>112</v>
      </c>
      <c r="J22" s="41">
        <v>14</v>
      </c>
      <c r="K22" s="41">
        <v>13</v>
      </c>
    </row>
    <row r="23" spans="1:11" ht="34.799999999999997">
      <c r="A23" s="42" t="s">
        <v>16</v>
      </c>
      <c r="B23" s="45">
        <v>0.24149999999999999</v>
      </c>
      <c r="C23" s="45">
        <v>0.22889999999999999</v>
      </c>
      <c r="D23" s="45">
        <v>0.20369999999999999</v>
      </c>
      <c r="E23" s="45">
        <v>0.1963</v>
      </c>
      <c r="G23" s="42" t="s">
        <v>49</v>
      </c>
      <c r="H23" s="41" t="s">
        <v>112</v>
      </c>
      <c r="I23" s="41" t="s">
        <v>112</v>
      </c>
      <c r="J23" s="41">
        <v>-301</v>
      </c>
      <c r="K23" s="41">
        <v>-299</v>
      </c>
    </row>
    <row r="24" spans="1:11" ht="17.399999999999999">
      <c r="A24" s="42" t="s">
        <v>17</v>
      </c>
      <c r="B24" s="45">
        <v>2.3999999999999998E-3</v>
      </c>
      <c r="C24" s="45">
        <v>5.4000000000000003E-3</v>
      </c>
      <c r="D24" s="45">
        <v>-2.9899999999999999E-2</v>
      </c>
      <c r="E24" s="45">
        <v>-2.1399999999999999E-2</v>
      </c>
      <c r="G24" s="42" t="s">
        <v>48</v>
      </c>
      <c r="H24" s="41">
        <v>274.85000000000002</v>
      </c>
      <c r="I24" s="41">
        <v>262.25</v>
      </c>
      <c r="J24" s="41">
        <v>255.58</v>
      </c>
      <c r="K24" s="41">
        <v>256.82</v>
      </c>
    </row>
    <row r="25" spans="1:11" ht="17.399999999999999">
      <c r="A25" s="42" t="s">
        <v>18</v>
      </c>
      <c r="B25" s="45">
        <v>1.14E-2</v>
      </c>
      <c r="C25" s="45">
        <v>1.5599999999999999E-2</v>
      </c>
      <c r="D25" s="45">
        <v>-2.7E-2</v>
      </c>
      <c r="E25" s="45">
        <v>-2.3400000000000001E-2</v>
      </c>
      <c r="G25" s="42" t="s">
        <v>47</v>
      </c>
      <c r="H25" s="43">
        <v>1016.03</v>
      </c>
      <c r="I25" s="41">
        <v>972.42</v>
      </c>
      <c r="J25" s="41">
        <v>927.4</v>
      </c>
      <c r="K25" s="41">
        <v>900.47</v>
      </c>
    </row>
    <row r="26" spans="1:11" ht="17.399999999999999">
      <c r="A26" s="42" t="s">
        <v>19</v>
      </c>
      <c r="B26" s="205">
        <v>8.0999999999999996E-3</v>
      </c>
      <c r="C26" s="45">
        <v>1.8599999999999998E-2</v>
      </c>
      <c r="D26" s="45">
        <v>-2.3599999999999999E-2</v>
      </c>
      <c r="E26" s="45">
        <v>-6.1999999999999998E-3</v>
      </c>
      <c r="G26" s="42" t="s">
        <v>46</v>
      </c>
      <c r="H26" s="43">
        <v>1203.3499999999999</v>
      </c>
      <c r="I26" s="43">
        <v>1136.49</v>
      </c>
      <c r="J26" s="43">
        <v>1075.1099999999999</v>
      </c>
      <c r="K26" s="43">
        <v>1021.97</v>
      </c>
    </row>
    <row r="27" spans="1:11" ht="17.399999999999999">
      <c r="A27" s="42" t="s">
        <v>20</v>
      </c>
      <c r="B27" s="45">
        <v>2.8500000000000001E-2</v>
      </c>
      <c r="C27" s="45">
        <v>-1.29E-2</v>
      </c>
      <c r="D27" s="45">
        <v>-7.3099999999999998E-2</v>
      </c>
      <c r="E27" s="45">
        <v>-5.8200000000000002E-2</v>
      </c>
      <c r="G27" s="42" t="s">
        <v>45</v>
      </c>
      <c r="H27" s="41">
        <v>442.99</v>
      </c>
      <c r="I27" s="41">
        <v>426.6</v>
      </c>
      <c r="J27" s="41">
        <v>415.65</v>
      </c>
      <c r="K27" s="41">
        <v>405.94</v>
      </c>
    </row>
    <row r="28" spans="1:11" ht="17.399999999999999">
      <c r="A28" s="42" t="s">
        <v>21</v>
      </c>
      <c r="B28" s="41">
        <v>108.25</v>
      </c>
      <c r="C28" s="41">
        <v>98.39</v>
      </c>
      <c r="D28" s="41">
        <v>48.45</v>
      </c>
      <c r="E28" s="41">
        <v>45.25</v>
      </c>
      <c r="G28" s="42" t="s">
        <v>44</v>
      </c>
      <c r="H28" s="41">
        <v>0.04</v>
      </c>
      <c r="I28" s="41">
        <v>0.04</v>
      </c>
      <c r="J28" s="41">
        <v>0.04</v>
      </c>
      <c r="K28" s="41">
        <v>0.04</v>
      </c>
    </row>
    <row r="29" spans="1:11" ht="17.399999999999999">
      <c r="A29" s="42" t="s">
        <v>22</v>
      </c>
      <c r="B29" s="41">
        <v>3.04</v>
      </c>
      <c r="C29" s="41">
        <v>5.92</v>
      </c>
      <c r="D29" s="41">
        <v>-26.89</v>
      </c>
      <c r="E29" s="41">
        <v>-15.85</v>
      </c>
      <c r="G29" s="42" t="s">
        <v>43</v>
      </c>
      <c r="H29" s="41">
        <v>26.98</v>
      </c>
      <c r="I29" s="41">
        <v>16.78</v>
      </c>
      <c r="J29" s="41">
        <v>-3.49</v>
      </c>
      <c r="K29" s="41">
        <v>3.55</v>
      </c>
    </row>
    <row r="30" spans="1:11" ht="34.799999999999997">
      <c r="A30" s="42" t="s">
        <v>23</v>
      </c>
      <c r="B30" s="41">
        <v>10.82</v>
      </c>
      <c r="C30" s="41">
        <v>20.99</v>
      </c>
      <c r="D30" s="41">
        <v>-23.11</v>
      </c>
      <c r="E30" s="41">
        <v>-6.02</v>
      </c>
      <c r="G30" s="42" t="s">
        <v>41</v>
      </c>
      <c r="H30" s="41">
        <v>493.63</v>
      </c>
      <c r="I30" s="41">
        <v>469.37</v>
      </c>
      <c r="J30" s="41">
        <v>436.84</v>
      </c>
      <c r="K30" s="41">
        <v>435.6</v>
      </c>
    </row>
    <row r="31" spans="1:11" ht="34.799999999999997">
      <c r="A31" s="42" t="s">
        <v>24</v>
      </c>
      <c r="B31" s="41">
        <v>10.82</v>
      </c>
      <c r="C31" s="41">
        <v>20.99</v>
      </c>
      <c r="D31" s="41">
        <v>-23.11</v>
      </c>
      <c r="E31" s="41">
        <v>-6.02</v>
      </c>
      <c r="G31" s="42" t="s">
        <v>40</v>
      </c>
      <c r="H31" s="41">
        <v>493.63</v>
      </c>
      <c r="I31" s="41">
        <v>469.37</v>
      </c>
      <c r="J31" s="41">
        <v>436.84</v>
      </c>
      <c r="K31" s="41">
        <v>435.6</v>
      </c>
    </row>
    <row r="32" spans="1:11" ht="34.799999999999997">
      <c r="A32" s="42" t="s">
        <v>25</v>
      </c>
      <c r="B32" s="41">
        <v>0.27</v>
      </c>
      <c r="C32" s="41">
        <v>0.53</v>
      </c>
      <c r="D32" s="41">
        <v>-0.59</v>
      </c>
      <c r="E32" s="41">
        <v>-0.15</v>
      </c>
      <c r="G32" s="42" t="s">
        <v>39</v>
      </c>
      <c r="H32" s="43">
        <v>1696.97</v>
      </c>
      <c r="I32" s="43">
        <v>1605.86</v>
      </c>
      <c r="J32" s="43">
        <v>1511.95</v>
      </c>
      <c r="K32" s="43">
        <v>1457.57</v>
      </c>
    </row>
    <row r="33" spans="1:11" ht="17.399999999999999">
      <c r="A33" s="42" t="s">
        <v>26</v>
      </c>
      <c r="B33" s="41">
        <v>0.27</v>
      </c>
      <c r="C33" s="41">
        <v>0.53</v>
      </c>
      <c r="D33" s="41">
        <v>-0.59</v>
      </c>
      <c r="E33" s="41">
        <v>-0.15</v>
      </c>
      <c r="G33" s="42" t="s">
        <v>38</v>
      </c>
      <c r="H33" s="41">
        <v>42.52</v>
      </c>
      <c r="I33" s="41">
        <v>42.31</v>
      </c>
      <c r="J33" s="41">
        <v>42.16</v>
      </c>
      <c r="K33" s="41">
        <v>42.06</v>
      </c>
    </row>
    <row r="34" spans="1:11" ht="17.399999999999999">
      <c r="A34" s="42" t="s">
        <v>27</v>
      </c>
      <c r="B34" s="41">
        <v>0.24</v>
      </c>
      <c r="C34" s="41">
        <v>0.48</v>
      </c>
      <c r="D34" s="41">
        <v>-0.59</v>
      </c>
      <c r="E34" s="41">
        <v>-0.15</v>
      </c>
      <c r="G34" s="42" t="s">
        <v>37</v>
      </c>
      <c r="H34" s="41">
        <v>493.63</v>
      </c>
      <c r="I34" s="41">
        <v>469.37</v>
      </c>
      <c r="J34" s="41">
        <v>436.84</v>
      </c>
      <c r="K34" s="41">
        <v>435.6</v>
      </c>
    </row>
    <row r="35" spans="1:11" ht="17.399999999999999">
      <c r="A35" s="42" t="s">
        <v>28</v>
      </c>
      <c r="B35" s="41">
        <v>44.2</v>
      </c>
      <c r="C35" s="41">
        <v>43.9</v>
      </c>
      <c r="D35" s="41">
        <v>39.24</v>
      </c>
      <c r="E35" s="41">
        <v>39.090000000000003</v>
      </c>
      <c r="G35" s="42" t="s">
        <v>36</v>
      </c>
      <c r="H35" s="41">
        <v>-74.03</v>
      </c>
      <c r="I35" s="41">
        <v>-47.58</v>
      </c>
      <c r="J35" s="41">
        <v>-21.64</v>
      </c>
      <c r="K35" s="41">
        <v>-100.86</v>
      </c>
    </row>
    <row r="36" spans="1:11" ht="17.399999999999999">
      <c r="A36" s="42" t="s">
        <v>29</v>
      </c>
      <c r="B36" s="41">
        <v>0.24</v>
      </c>
      <c r="C36" s="41">
        <v>0.48</v>
      </c>
      <c r="D36" s="41">
        <v>-0.59</v>
      </c>
      <c r="E36" s="41">
        <v>-0.15</v>
      </c>
      <c r="G36" s="42" t="s">
        <v>35</v>
      </c>
      <c r="H36" s="41">
        <v>246.68</v>
      </c>
      <c r="I36" s="41">
        <v>245.64</v>
      </c>
      <c r="J36" s="41">
        <v>289.58999999999997</v>
      </c>
      <c r="K36" s="41">
        <v>281.54000000000002</v>
      </c>
    </row>
    <row r="37" spans="1:11" ht="17.399999999999999">
      <c r="A37" s="42" t="s">
        <v>30</v>
      </c>
      <c r="B37" s="45">
        <v>8.6400000000000005E-2</v>
      </c>
      <c r="C37" s="45">
        <v>9.0499999999999997E-2</v>
      </c>
      <c r="D37" s="45">
        <v>5.3800000000000001E-2</v>
      </c>
      <c r="E37" s="45">
        <v>6.1199999999999997E-2</v>
      </c>
    </row>
    <row r="38" spans="1:11" ht="17.399999999999999">
      <c r="A38" s="42" t="s">
        <v>31</v>
      </c>
      <c r="B38" s="45">
        <v>0.1366</v>
      </c>
      <c r="C38" s="45">
        <v>0.1215</v>
      </c>
      <c r="D38" s="45">
        <v>8.5199999999999998E-2</v>
      </c>
      <c r="E38" s="45">
        <v>7.8899999999999998E-2</v>
      </c>
    </row>
    <row r="39" spans="1:11" ht="34.799999999999997">
      <c r="A39" s="42" t="s">
        <v>67</v>
      </c>
      <c r="B39" s="41">
        <v>320.70999999999998</v>
      </c>
      <c r="C39" s="41">
        <v>293.20999999999998</v>
      </c>
      <c r="D39" s="41">
        <v>311.23</v>
      </c>
      <c r="E39" s="41">
        <v>382.41</v>
      </c>
    </row>
    <row r="40" spans="1:11" ht="17.399999999999999">
      <c r="A40" s="42" t="s">
        <v>99</v>
      </c>
      <c r="B40" s="41">
        <v>19.690000000000001</v>
      </c>
      <c r="C40" s="41">
        <v>16.850000000000001</v>
      </c>
      <c r="D40" s="41">
        <v>13.88</v>
      </c>
      <c r="E40" s="41">
        <v>13.66</v>
      </c>
    </row>
    <row r="41" spans="1:11" ht="17.399999999999999">
      <c r="A41" s="42" t="s">
        <v>66</v>
      </c>
      <c r="B41" s="41">
        <v>6.01</v>
      </c>
      <c r="C41" s="41">
        <v>5.4</v>
      </c>
      <c r="D41" s="41">
        <v>4.18</v>
      </c>
      <c r="E41" s="41">
        <v>3.85</v>
      </c>
    </row>
    <row r="42" spans="1:11" ht="17.399999999999999">
      <c r="A42" s="42" t="s">
        <v>65</v>
      </c>
      <c r="B42" s="41" t="s">
        <v>112</v>
      </c>
      <c r="C42" s="41" t="s">
        <v>112</v>
      </c>
      <c r="D42" s="41">
        <v>15</v>
      </c>
      <c r="E42" s="41">
        <v>10</v>
      </c>
    </row>
    <row r="43" spans="1:11" ht="17.399999999999999">
      <c r="A43" s="42" t="s">
        <v>64</v>
      </c>
      <c r="B43" s="41">
        <v>368.22</v>
      </c>
      <c r="C43" s="41">
        <v>334.43</v>
      </c>
      <c r="D43" s="41">
        <v>343.99</v>
      </c>
      <c r="E43" s="41">
        <v>409.68</v>
      </c>
    </row>
    <row r="44" spans="1:11" ht="34.799999999999997">
      <c r="A44" s="42" t="s">
        <v>123</v>
      </c>
      <c r="B44" s="41">
        <v>551.6</v>
      </c>
      <c r="C44" s="41">
        <v>531</v>
      </c>
      <c r="D44" s="41">
        <v>467.03</v>
      </c>
      <c r="E44" s="41">
        <v>389.39</v>
      </c>
    </row>
    <row r="45" spans="1:11" ht="17.399999999999999">
      <c r="A45" s="42" t="s">
        <v>62</v>
      </c>
      <c r="B45" s="41" t="s">
        <v>112</v>
      </c>
      <c r="C45" s="41" t="s">
        <v>112</v>
      </c>
      <c r="D45" s="41" t="s">
        <v>112</v>
      </c>
      <c r="E45" s="41" t="s">
        <v>112</v>
      </c>
    </row>
    <row r="46" spans="1:11" ht="34.799999999999997">
      <c r="A46" s="42" t="s">
        <v>61</v>
      </c>
      <c r="B46" s="41" t="s">
        <v>112</v>
      </c>
      <c r="C46" s="41" t="s">
        <v>112</v>
      </c>
      <c r="D46" s="41">
        <v>2</v>
      </c>
      <c r="E46" s="41">
        <v>1</v>
      </c>
    </row>
    <row r="47" spans="1:11" ht="34.799999999999997">
      <c r="A47" s="42" t="s">
        <v>70</v>
      </c>
      <c r="B47" s="41">
        <v>341.59</v>
      </c>
      <c r="C47" s="41">
        <v>326.20999999999998</v>
      </c>
      <c r="D47" s="41">
        <v>317.63</v>
      </c>
      <c r="E47" s="41">
        <v>298.67</v>
      </c>
    </row>
    <row r="48" spans="1:11" ht="17.399999999999999">
      <c r="A48" s="42" t="s">
        <v>60</v>
      </c>
      <c r="B48" s="41">
        <v>10.96</v>
      </c>
      <c r="C48" s="41">
        <v>15.93</v>
      </c>
      <c r="D48" s="41">
        <v>15.82</v>
      </c>
      <c r="E48" s="41">
        <v>12.56</v>
      </c>
    </row>
    <row r="49" spans="1:5" ht="17.399999999999999">
      <c r="A49" s="42" t="s">
        <v>59</v>
      </c>
      <c r="B49" s="43">
        <v>1328.76</v>
      </c>
      <c r="C49" s="43">
        <v>1271.42</v>
      </c>
      <c r="D49" s="43">
        <v>1167.96</v>
      </c>
      <c r="E49" s="43">
        <v>1047.8900000000001</v>
      </c>
    </row>
    <row r="50" spans="1:5" ht="17.399999999999999">
      <c r="A50" s="42" t="s">
        <v>58</v>
      </c>
      <c r="B50" s="43">
        <v>1696.97</v>
      </c>
      <c r="C50" s="43">
        <v>1605.86</v>
      </c>
      <c r="D50" s="43">
        <v>1511.95</v>
      </c>
      <c r="E50" s="43">
        <v>1457.57</v>
      </c>
    </row>
    <row r="51" spans="1:5" ht="17.399999999999999">
      <c r="A51" s="42" t="s">
        <v>57</v>
      </c>
      <c r="B51" s="41">
        <v>23.61</v>
      </c>
      <c r="C51" s="41">
        <v>22.27</v>
      </c>
      <c r="D51" s="41">
        <v>20.41</v>
      </c>
      <c r="E51" s="41">
        <v>19.95</v>
      </c>
    </row>
    <row r="52" spans="1:5" ht="17.399999999999999">
      <c r="A52" s="42" t="s">
        <v>56</v>
      </c>
      <c r="B52" s="41">
        <v>63.01</v>
      </c>
      <c r="C52" s="41">
        <v>54.74</v>
      </c>
      <c r="D52" s="41">
        <v>47.95</v>
      </c>
      <c r="E52" s="41">
        <v>36.89</v>
      </c>
    </row>
    <row r="53" spans="1:5" ht="17.399999999999999">
      <c r="A53" s="42" t="s">
        <v>55</v>
      </c>
      <c r="B53" s="41" t="s">
        <v>112</v>
      </c>
      <c r="C53" s="41" t="s">
        <v>112</v>
      </c>
      <c r="D53" s="41">
        <v>45</v>
      </c>
      <c r="E53" s="41">
        <v>38</v>
      </c>
    </row>
    <row r="54" spans="1:5" ht="17.399999999999999">
      <c r="A54" s="42" t="s">
        <v>53</v>
      </c>
      <c r="B54" s="41">
        <v>19.54</v>
      </c>
      <c r="C54" s="41">
        <v>17.100000000000001</v>
      </c>
      <c r="D54" s="41">
        <v>19.55</v>
      </c>
      <c r="E54" s="41">
        <v>14.5</v>
      </c>
    </row>
    <row r="55" spans="1:5" ht="17.399999999999999">
      <c r="A55" s="42" t="s">
        <v>52</v>
      </c>
      <c r="B55" s="41">
        <v>187.31</v>
      </c>
      <c r="C55" s="41">
        <v>164.07</v>
      </c>
      <c r="D55" s="41">
        <v>147.72</v>
      </c>
      <c r="E55" s="41">
        <v>121.5</v>
      </c>
    </row>
    <row r="56" spans="1:5" ht="17.399999999999999">
      <c r="A56" s="42" t="s">
        <v>51</v>
      </c>
      <c r="B56" s="41">
        <v>246.68</v>
      </c>
      <c r="C56" s="41">
        <v>245.64</v>
      </c>
      <c r="D56" s="41">
        <v>244.59</v>
      </c>
      <c r="E56" s="41">
        <v>243.54</v>
      </c>
    </row>
    <row r="57" spans="1:5" ht="34.799999999999997">
      <c r="A57" s="42" t="s">
        <v>50</v>
      </c>
      <c r="B57" s="41" t="s">
        <v>112</v>
      </c>
      <c r="C57" s="41" t="s">
        <v>112</v>
      </c>
      <c r="D57" s="41">
        <v>14</v>
      </c>
      <c r="E57" s="41">
        <v>13</v>
      </c>
    </row>
    <row r="58" spans="1:5" ht="34.799999999999997">
      <c r="A58" s="42" t="s">
        <v>49</v>
      </c>
      <c r="B58" s="41" t="s">
        <v>112</v>
      </c>
      <c r="C58" s="41" t="s">
        <v>112</v>
      </c>
      <c r="D58" s="41">
        <v>-301</v>
      </c>
      <c r="E58" s="41">
        <v>-299</v>
      </c>
    </row>
    <row r="59" spans="1:5" ht="34.799999999999997">
      <c r="A59" s="42" t="s">
        <v>48</v>
      </c>
      <c r="B59" s="41">
        <v>274.85000000000002</v>
      </c>
      <c r="C59" s="41">
        <v>262.25</v>
      </c>
      <c r="D59" s="41">
        <v>255.58</v>
      </c>
      <c r="E59" s="41">
        <v>256.82</v>
      </c>
    </row>
    <row r="60" spans="1:5" ht="17.399999999999999">
      <c r="A60" s="42" t="s">
        <v>47</v>
      </c>
      <c r="B60" s="43">
        <v>1016.03</v>
      </c>
      <c r="C60" s="41">
        <v>972.42</v>
      </c>
      <c r="D60" s="41">
        <v>927.4</v>
      </c>
      <c r="E60" s="41">
        <v>900.47</v>
      </c>
    </row>
    <row r="61" spans="1:5" ht="17.399999999999999">
      <c r="A61" s="42" t="s">
        <v>46</v>
      </c>
      <c r="B61" s="43">
        <v>1203.3499999999999</v>
      </c>
      <c r="C61" s="43">
        <v>1136.49</v>
      </c>
      <c r="D61" s="43">
        <v>1075.1099999999999</v>
      </c>
      <c r="E61" s="43">
        <v>1021.97</v>
      </c>
    </row>
    <row r="62" spans="1:5" ht="17.399999999999999">
      <c r="A62" s="42" t="s">
        <v>45</v>
      </c>
      <c r="B62" s="41">
        <v>442.99</v>
      </c>
      <c r="C62" s="41">
        <v>426.6</v>
      </c>
      <c r="D62" s="41">
        <v>415.65</v>
      </c>
      <c r="E62" s="41">
        <v>405.94</v>
      </c>
    </row>
    <row r="63" spans="1:5" ht="17.399999999999999">
      <c r="A63" s="42" t="s">
        <v>44</v>
      </c>
      <c r="B63" s="41">
        <v>0.04</v>
      </c>
      <c r="C63" s="41">
        <v>0.04</v>
      </c>
      <c r="D63" s="41">
        <v>0.04</v>
      </c>
      <c r="E63" s="41">
        <v>0.04</v>
      </c>
    </row>
    <row r="64" spans="1:5" ht="17.399999999999999">
      <c r="A64" s="42" t="s">
        <v>43</v>
      </c>
      <c r="B64" s="41">
        <v>26.98</v>
      </c>
      <c r="C64" s="41">
        <v>16.78</v>
      </c>
      <c r="D64" s="41">
        <v>-3.49</v>
      </c>
      <c r="E64" s="41">
        <v>3.55</v>
      </c>
    </row>
    <row r="65" spans="1:5" ht="17.399999999999999">
      <c r="A65" s="42" t="s">
        <v>41</v>
      </c>
      <c r="B65" s="41">
        <v>493.63</v>
      </c>
      <c r="C65" s="41">
        <v>469.37</v>
      </c>
      <c r="D65" s="41">
        <v>436.84</v>
      </c>
      <c r="E65" s="41">
        <v>435.6</v>
      </c>
    </row>
    <row r="66" spans="1:5" ht="17.399999999999999">
      <c r="A66" s="42" t="s">
        <v>40</v>
      </c>
      <c r="B66" s="41">
        <v>493.63</v>
      </c>
      <c r="C66" s="41">
        <v>469.37</v>
      </c>
      <c r="D66" s="41">
        <v>436.84</v>
      </c>
      <c r="E66" s="41">
        <v>435.6</v>
      </c>
    </row>
    <row r="67" spans="1:5" ht="34.799999999999997">
      <c r="A67" s="42" t="s">
        <v>39</v>
      </c>
      <c r="B67" s="43">
        <v>1696.97</v>
      </c>
      <c r="C67" s="43">
        <v>1605.86</v>
      </c>
      <c r="D67" s="43">
        <v>1511.95</v>
      </c>
      <c r="E67" s="43">
        <v>1457.57</v>
      </c>
    </row>
    <row r="68" spans="1:5" ht="17.399999999999999">
      <c r="A68" s="42" t="s">
        <v>38</v>
      </c>
      <c r="B68" s="41">
        <v>42.52</v>
      </c>
      <c r="C68" s="41">
        <v>42.31</v>
      </c>
      <c r="D68" s="41">
        <v>42.16</v>
      </c>
      <c r="E68" s="41">
        <v>42.06</v>
      </c>
    </row>
    <row r="69" spans="1:5" ht="34.799999999999997">
      <c r="A69" s="42" t="s">
        <v>37</v>
      </c>
      <c r="B69" s="41">
        <v>493.63</v>
      </c>
      <c r="C69" s="41">
        <v>469.37</v>
      </c>
      <c r="D69" s="41">
        <v>436.84</v>
      </c>
      <c r="E69" s="41">
        <v>435.6</v>
      </c>
    </row>
    <row r="70" spans="1:5" ht="17.399999999999999">
      <c r="A70" s="42" t="s">
        <v>36</v>
      </c>
      <c r="B70" s="41">
        <v>-74.03</v>
      </c>
      <c r="C70" s="41">
        <v>-47.58</v>
      </c>
      <c r="D70" s="41">
        <v>-21.64</v>
      </c>
      <c r="E70" s="41">
        <v>-100.86</v>
      </c>
    </row>
    <row r="71" spans="1:5" ht="17.399999999999999">
      <c r="A71" s="42" t="s">
        <v>35</v>
      </c>
      <c r="B71" s="41">
        <v>246.68</v>
      </c>
      <c r="C71" s="41">
        <v>245.64</v>
      </c>
      <c r="D71" s="41">
        <v>289.58999999999997</v>
      </c>
      <c r="E71" s="41">
        <v>281.54000000000002</v>
      </c>
    </row>
  </sheetData>
  <phoneticPr fontId="17" type="noConversion"/>
  <pageMargins left="0.7" right="0.7" top="0.75" bottom="0.75" header="0.3" footer="0.3"/>
  <pageSetup scale="44"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3DA9F-0AC6-49AD-9AA0-71B6510D10A6}">
  <sheetPr>
    <tabColor rgb="FF92D050"/>
    <pageSetUpPr fitToPage="1"/>
  </sheetPr>
  <dimension ref="A1:X992"/>
  <sheetViews>
    <sheetView workbookViewId="0"/>
  </sheetViews>
  <sheetFormatPr defaultColWidth="13" defaultRowHeight="13.2"/>
  <cols>
    <col min="1" max="1" width="33.59765625" style="14" bestFit="1" customWidth="1"/>
    <col min="2" max="2" width="4.5" style="14" customWidth="1"/>
    <col min="3" max="4" width="8.19921875" style="14" bestFit="1" customWidth="1"/>
    <col min="5" max="5" width="11.59765625" style="14" customWidth="1"/>
    <col min="6" max="6" width="8.19921875" style="14" bestFit="1" customWidth="1"/>
    <col min="7" max="7" width="10.3984375" style="14" customWidth="1"/>
    <col min="8" max="8" width="8.19921875" style="14" bestFit="1" customWidth="1"/>
    <col min="9" max="9" width="10.5" style="14" customWidth="1"/>
    <col min="10" max="10" width="8.19921875" style="14" customWidth="1"/>
    <col min="11" max="24" width="7.8984375" style="14" customWidth="1"/>
    <col min="25" max="16384" width="13" style="14"/>
  </cols>
  <sheetData>
    <row r="1" spans="1:24" ht="15" thickBot="1">
      <c r="A1" s="109" t="s">
        <v>78</v>
      </c>
      <c r="B1" s="60"/>
      <c r="C1" s="51" t="s">
        <v>106</v>
      </c>
      <c r="D1" s="51" t="s">
        <v>106</v>
      </c>
      <c r="E1" s="256" t="s">
        <v>117</v>
      </c>
      <c r="F1" s="51" t="s">
        <v>106</v>
      </c>
      <c r="G1" s="256" t="s">
        <v>114</v>
      </c>
      <c r="H1" s="51" t="s">
        <v>106</v>
      </c>
      <c r="I1" s="258" t="s">
        <v>116</v>
      </c>
      <c r="J1" s="24"/>
      <c r="K1" s="24"/>
      <c r="L1" s="24"/>
      <c r="M1" s="24"/>
      <c r="N1" s="24"/>
      <c r="O1" s="24"/>
      <c r="P1" s="24"/>
      <c r="Q1" s="24"/>
      <c r="R1" s="24"/>
      <c r="S1" s="24"/>
      <c r="T1" s="24"/>
      <c r="U1" s="24"/>
      <c r="V1" s="24"/>
      <c r="W1" s="24"/>
      <c r="X1" s="24"/>
    </row>
    <row r="2" spans="1:24" ht="14.4" thickBot="1">
      <c r="A2" s="110" t="s">
        <v>98</v>
      </c>
      <c r="B2" s="111"/>
      <c r="C2" s="54">
        <v>2024</v>
      </c>
      <c r="D2" s="54">
        <v>2023</v>
      </c>
      <c r="E2" s="257"/>
      <c r="F2" s="54">
        <v>2022</v>
      </c>
      <c r="G2" s="257"/>
      <c r="H2" s="54">
        <v>2021</v>
      </c>
      <c r="I2" s="259"/>
      <c r="J2" s="24"/>
      <c r="K2" s="24"/>
      <c r="L2" s="24"/>
      <c r="M2" s="24"/>
      <c r="N2" s="24"/>
      <c r="O2" s="24"/>
      <c r="P2" s="24"/>
      <c r="Q2" s="24"/>
      <c r="R2" s="24"/>
      <c r="S2" s="24"/>
      <c r="T2" s="24"/>
      <c r="U2" s="24"/>
      <c r="V2" s="24"/>
      <c r="W2" s="24"/>
      <c r="X2" s="24"/>
    </row>
    <row r="3" spans="1:24" ht="14.4">
      <c r="A3" s="118" t="s">
        <v>120</v>
      </c>
      <c r="B3" s="126"/>
      <c r="C3" s="123">
        <v>129.51</v>
      </c>
      <c r="D3" s="93">
        <v>74.12</v>
      </c>
      <c r="E3" s="94">
        <f>+(C3-D3)/D3</f>
        <v>0.74730167296276284</v>
      </c>
      <c r="F3" s="93">
        <v>41.53</v>
      </c>
      <c r="G3" s="94">
        <f>+(D3-F3)/F3</f>
        <v>0.78473392728148328</v>
      </c>
      <c r="H3" s="93">
        <v>73.069999999999993</v>
      </c>
      <c r="I3" s="94">
        <f>(F3-H3)/H3</f>
        <v>-0.43164089229505948</v>
      </c>
      <c r="J3" s="27"/>
      <c r="K3" s="24"/>
      <c r="L3" s="24"/>
      <c r="M3" s="24"/>
      <c r="N3" s="24"/>
      <c r="O3" s="24"/>
      <c r="P3" s="24"/>
      <c r="Q3" s="24"/>
      <c r="R3" s="24"/>
      <c r="S3" s="24"/>
      <c r="T3" s="24"/>
      <c r="U3" s="24"/>
      <c r="V3" s="24"/>
      <c r="W3" s="24"/>
      <c r="X3" s="24"/>
    </row>
    <row r="4" spans="1:24" ht="14.4">
      <c r="A4" s="119" t="s">
        <v>0</v>
      </c>
      <c r="B4" s="127"/>
      <c r="C4" s="141">
        <f>_xlfn.XLOOKUP(A4,'S24-21'!$A$4:$A$71,'S24-21'!$B$4:$B$71,"LOOK",0)</f>
        <v>1252.6099999999999</v>
      </c>
      <c r="D4" s="92">
        <f>_xlfn.XLOOKUP(A4,'S24-21'!$A$4:$A$71,'S24-21'!$C$4:$C$71,"LOOK",0)</f>
        <v>1087.53</v>
      </c>
      <c r="E4" s="91">
        <f t="shared" ref="E4:E18" si="0">+(C4-D4)/D4</f>
        <v>0.15179351374214958</v>
      </c>
      <c r="F4" s="92">
        <f>_xlfn.XLOOKUP(A4,'S24-21'!$A$4:$A$71,'S24-21'!$D$4:$D$71)</f>
        <v>900.49</v>
      </c>
      <c r="G4" s="91">
        <f t="shared" ref="G4:G19" si="1">+(D4-F4)/F4</f>
        <v>0.20770913613699205</v>
      </c>
      <c r="H4" s="92">
        <f>_xlfn.XLOOKUP(A4,'S24-21'!$A$4:$A$71,'S24-21'!$E$4:$E$71)</f>
        <v>739.89</v>
      </c>
      <c r="I4" s="91">
        <f t="shared" ref="I4:I19" si="2">(F4-H4)/H4</f>
        <v>0.21705929259754833</v>
      </c>
      <c r="J4" s="24"/>
      <c r="K4" s="24"/>
      <c r="L4" s="24"/>
      <c r="M4" s="24"/>
      <c r="N4" s="24"/>
      <c r="O4" s="24"/>
      <c r="P4" s="24"/>
      <c r="Q4" s="24"/>
      <c r="R4" s="24"/>
      <c r="S4" s="24"/>
      <c r="T4" s="24"/>
      <c r="U4" s="24"/>
      <c r="V4" s="24"/>
      <c r="W4" s="24"/>
      <c r="X4" s="24"/>
    </row>
    <row r="5" spans="1:24" ht="14.4">
      <c r="A5" s="119" t="s">
        <v>2</v>
      </c>
      <c r="B5" s="127"/>
      <c r="C5" s="141">
        <f>_xlfn.XLOOKUP(A5,'S24-21'!$A$4:$A$71,'S24-21'!$B$4:$B$71,"LOOK",0)</f>
        <v>950.14</v>
      </c>
      <c r="D5" s="92">
        <f>_xlfn.XLOOKUP(A5,'S24-21'!$A$4:$A$71,'S24-21'!$C$4:$C$71,"LOOK",0)</f>
        <v>838.59</v>
      </c>
      <c r="E5" s="91">
        <f t="shared" si="0"/>
        <v>0.13302090413670561</v>
      </c>
      <c r="F5" s="92">
        <f>_xlfn.XLOOKUP(A5,'S24-21'!$A$4:$A$71,'S24-21'!$D$4:$D$71)</f>
        <v>717.1</v>
      </c>
      <c r="G5" s="91">
        <f t="shared" si="1"/>
        <v>0.16941849114488913</v>
      </c>
      <c r="H5" s="92">
        <f>_xlfn.XLOOKUP(A5,'S24-21'!$A$4:$A$71,'S24-21'!$E$4:$E$71)</f>
        <v>594.64</v>
      </c>
      <c r="I5" s="91">
        <f t="shared" si="2"/>
        <v>0.20593972823893456</v>
      </c>
      <c r="J5" s="24"/>
      <c r="K5" s="24"/>
      <c r="L5" s="24"/>
      <c r="M5" s="24"/>
      <c r="N5" s="24"/>
      <c r="O5" s="24"/>
      <c r="P5" s="24"/>
      <c r="Q5" s="24"/>
      <c r="R5" s="24"/>
      <c r="S5" s="24"/>
      <c r="T5" s="24"/>
      <c r="U5" s="24"/>
      <c r="V5" s="24"/>
      <c r="W5" s="24"/>
      <c r="X5" s="24"/>
    </row>
    <row r="6" spans="1:24" ht="14.4">
      <c r="A6" s="120" t="s">
        <v>3</v>
      </c>
      <c r="B6" s="127"/>
      <c r="C6" s="141">
        <f>_xlfn.XLOOKUP(A6,'S24-21'!$A$4:$A$71,'S24-21'!$B$4:$B$71,"LOOK",0)</f>
        <v>302.47000000000003</v>
      </c>
      <c r="D6" s="92">
        <f>_xlfn.XLOOKUP(A6,'S24-21'!$A$4:$A$71,'S24-21'!$C$4:$C$71,"LOOK",0)</f>
        <v>248.94</v>
      </c>
      <c r="E6" s="91">
        <f t="shared" si="0"/>
        <v>0.21503173455451124</v>
      </c>
      <c r="F6" s="92">
        <f>_xlfn.XLOOKUP(A6,'S24-21'!$A$4:$A$71,'S24-21'!$D$4:$D$71)</f>
        <v>183.39</v>
      </c>
      <c r="G6" s="91">
        <f t="shared" si="1"/>
        <v>0.35743497464420099</v>
      </c>
      <c r="H6" s="92">
        <f>_xlfn.XLOOKUP(A6,'S24-21'!$A$4:$A$71,'S24-21'!$E$4:$E$71)</f>
        <v>145.26</v>
      </c>
      <c r="I6" s="91">
        <f t="shared" si="2"/>
        <v>0.26249483684427921</v>
      </c>
      <c r="J6" s="24"/>
      <c r="K6" s="24"/>
      <c r="L6" s="24"/>
      <c r="M6" s="24"/>
      <c r="N6" s="24"/>
      <c r="O6" s="24"/>
      <c r="P6" s="24"/>
      <c r="Q6" s="24"/>
      <c r="R6" s="24"/>
      <c r="S6" s="24"/>
      <c r="T6" s="24"/>
      <c r="U6" s="24"/>
      <c r="V6" s="24"/>
      <c r="W6" s="24"/>
      <c r="X6" s="24"/>
    </row>
    <row r="7" spans="1:24" ht="14.4">
      <c r="A7" s="119" t="s">
        <v>4</v>
      </c>
      <c r="B7" s="127"/>
      <c r="C7" s="141">
        <f>_xlfn.XLOOKUP(A7,'S24-21'!$A$4:$A$71,'S24-21'!$B$4:$B$71,"LOOK",0)</f>
        <v>149.05000000000001</v>
      </c>
      <c r="D7" s="92">
        <f>_xlfn.XLOOKUP(A7,'S24-21'!$A$4:$A$71,'S24-21'!$C$4:$C$71,"LOOK",0)</f>
        <v>129.54</v>
      </c>
      <c r="E7" s="91">
        <f t="shared" si="0"/>
        <v>0.15060985023930848</v>
      </c>
      <c r="F7" s="92">
        <f>_xlfn.XLOOKUP(A7,'S24-21'!$A$4:$A$71,'S24-21'!$D$4:$D$71)</f>
        <v>120.01</v>
      </c>
      <c r="G7" s="91">
        <f t="shared" si="1"/>
        <v>7.9410049162569676E-2</v>
      </c>
      <c r="H7" s="92">
        <f>_xlfn.XLOOKUP(A7,'S24-21'!$A$4:$A$71,'S24-21'!$E$4:$E$71)</f>
        <v>87.2</v>
      </c>
      <c r="I7" s="91">
        <f t="shared" si="2"/>
        <v>0.37626146788990827</v>
      </c>
      <c r="J7" s="24"/>
      <c r="K7" s="24"/>
      <c r="L7" s="24"/>
      <c r="M7" s="24"/>
      <c r="N7" s="24"/>
      <c r="O7" s="24"/>
      <c r="P7" s="24"/>
      <c r="Q7" s="24"/>
      <c r="R7" s="24"/>
      <c r="S7" s="24"/>
      <c r="T7" s="24"/>
      <c r="U7" s="24"/>
      <c r="V7" s="24"/>
      <c r="W7" s="24"/>
      <c r="X7" s="24"/>
    </row>
    <row r="8" spans="1:24" ht="14.4">
      <c r="A8" s="119" t="s">
        <v>5</v>
      </c>
      <c r="B8" s="127"/>
      <c r="C8" s="141">
        <f>_xlfn.XLOOKUP(A8,'S24-21'!$A$4:$A$71,'S24-21'!$B$4:$B$71,"LOOK",0)</f>
        <v>3.04</v>
      </c>
      <c r="D8" s="92">
        <f>_xlfn.XLOOKUP(A8,'S24-21'!$A$4:$A$71,'S24-21'!$C$4:$C$71,"LOOK",0)</f>
        <v>5.92</v>
      </c>
      <c r="E8" s="91">
        <f t="shared" si="0"/>
        <v>-0.48648648648648646</v>
      </c>
      <c r="F8" s="92">
        <f>_xlfn.XLOOKUP(A8,'S24-21'!$A$4:$A$71,'S24-21'!$D$4:$D$71)</f>
        <v>-26.89</v>
      </c>
      <c r="G8" s="91">
        <f t="shared" si="1"/>
        <v>-1.2201561918928971</v>
      </c>
      <c r="H8" s="92">
        <f>_xlfn.XLOOKUP(A8,'S24-21'!$A$4:$A$71,'S24-21'!$E$4:$E$71)</f>
        <v>-15.85</v>
      </c>
      <c r="I8" s="91">
        <f t="shared" si="2"/>
        <v>0.69652996845425874</v>
      </c>
      <c r="J8" s="24"/>
      <c r="K8" s="24"/>
      <c r="L8" s="24"/>
      <c r="M8" s="24"/>
      <c r="N8" s="24"/>
      <c r="O8" s="24"/>
      <c r="P8" s="24"/>
      <c r="Q8" s="24"/>
      <c r="R8" s="24"/>
      <c r="S8" s="24"/>
      <c r="T8" s="24"/>
      <c r="U8" s="24"/>
      <c r="V8" s="24"/>
      <c r="W8" s="24"/>
      <c r="X8" s="24"/>
    </row>
    <row r="9" spans="1:24" ht="14.4">
      <c r="A9" s="121" t="s">
        <v>11</v>
      </c>
      <c r="B9" s="127"/>
      <c r="C9" s="141">
        <f>_xlfn.XLOOKUP(A9,'S24-21'!$A$4:$A$71,'S24-21'!$B$4:$B$71,"LOOK",0)</f>
        <v>10.210000000000001</v>
      </c>
      <c r="D9" s="92">
        <f>_xlfn.XLOOKUP(A9,'S24-21'!$A$4:$A$71,'S24-21'!$C$4:$C$71,"LOOK",0)</f>
        <v>20.260000000000002</v>
      </c>
      <c r="E9" s="91">
        <f t="shared" si="0"/>
        <v>-0.49605133267522211</v>
      </c>
      <c r="F9" s="92">
        <f>_xlfn.XLOOKUP(A9,'S24-21'!$A$4:$A$71,'S24-21'!$D$4:$D$71)</f>
        <v>-21.23</v>
      </c>
      <c r="G9" s="91">
        <f t="shared" si="1"/>
        <v>-1.9543099387658973</v>
      </c>
      <c r="H9" s="92">
        <f>_xlfn.XLOOKUP(A9,'S24-21'!$A$4:$A$71,'S24-21'!$E$4:$E$71)</f>
        <v>-4.5599999999999996</v>
      </c>
      <c r="I9" s="91">
        <f t="shared" si="2"/>
        <v>3.6557017543859658</v>
      </c>
      <c r="J9" s="24"/>
      <c r="K9" s="24"/>
      <c r="L9" s="24"/>
      <c r="M9" s="24"/>
      <c r="N9" s="24"/>
      <c r="O9" s="24"/>
      <c r="P9" s="24"/>
      <c r="Q9" s="24"/>
      <c r="R9" s="24"/>
      <c r="S9" s="24"/>
      <c r="T9" s="24"/>
      <c r="U9" s="24"/>
      <c r="V9" s="24"/>
      <c r="W9" s="24"/>
      <c r="X9" s="24"/>
    </row>
    <row r="10" spans="1:24" ht="14.4">
      <c r="A10" s="119" t="s">
        <v>67</v>
      </c>
      <c r="B10" s="127"/>
      <c r="C10" s="141">
        <f>_xlfn.XLOOKUP(A10,'S24-21'!$A$4:$A$71,'S24-21'!$B$4:$B$71,"LOOK",0)</f>
        <v>320.70999999999998</v>
      </c>
      <c r="D10" s="92">
        <f>_xlfn.XLOOKUP(A10,'S24-21'!$A$4:$A$71,'S24-21'!$C$4:$C$71,"LOOK",0)</f>
        <v>293.20999999999998</v>
      </c>
      <c r="E10" s="91">
        <f t="shared" si="0"/>
        <v>9.3789434193922452E-2</v>
      </c>
      <c r="F10" s="92">
        <f>_xlfn.XLOOKUP(A10,'S24-21'!$A$4:$A$71,'S24-21'!$D$4:$D$71)</f>
        <v>311.23</v>
      </c>
      <c r="G10" s="91">
        <f t="shared" si="1"/>
        <v>-5.7899302766442944E-2</v>
      </c>
      <c r="H10" s="92">
        <f>_xlfn.XLOOKUP(A10,'S24-21'!$A$4:$A$71,'S24-21'!$E$4:$E$71)</f>
        <v>382.41</v>
      </c>
      <c r="I10" s="91">
        <f t="shared" si="2"/>
        <v>-0.18613529980910543</v>
      </c>
      <c r="J10" s="24"/>
      <c r="K10" s="24"/>
      <c r="L10" s="24"/>
      <c r="M10" s="24"/>
      <c r="N10" s="24"/>
      <c r="O10" s="24"/>
      <c r="P10" s="24"/>
      <c r="Q10" s="24"/>
      <c r="R10" s="24"/>
      <c r="S10" s="24"/>
      <c r="T10" s="24"/>
      <c r="U10" s="24"/>
      <c r="V10" s="24"/>
      <c r="W10" s="24"/>
      <c r="X10" s="24"/>
    </row>
    <row r="11" spans="1:24" ht="14.4">
      <c r="A11" s="119" t="s">
        <v>99</v>
      </c>
      <c r="B11" s="127"/>
      <c r="C11" s="141">
        <f>_xlfn.XLOOKUP(A11,'S24-21'!$A$4:$A$71,'S24-21'!$B$4:$B$71,"LOOK",0)</f>
        <v>19.690000000000001</v>
      </c>
      <c r="D11" s="92">
        <f>_xlfn.XLOOKUP(A11,'S24-21'!$A$4:$A$71,'S24-21'!$C$4:$C$71,"LOOK",0)</f>
        <v>16.850000000000001</v>
      </c>
      <c r="E11" s="91">
        <f t="shared" si="0"/>
        <v>0.16854599406528187</v>
      </c>
      <c r="F11" s="92">
        <f>_xlfn.XLOOKUP(A11,'S24-21'!$A$4:$A$71,'S24-21'!$D$4:$D$71)</f>
        <v>13.88</v>
      </c>
      <c r="G11" s="91">
        <f t="shared" si="1"/>
        <v>0.21397694524495681</v>
      </c>
      <c r="H11" s="92">
        <f>_xlfn.XLOOKUP(A11,'S24-21'!$A$4:$A$71,'S24-21'!$E$4:$E$71)</f>
        <v>13.66</v>
      </c>
      <c r="I11" s="91">
        <f t="shared" si="2"/>
        <v>1.6105417276720397E-2</v>
      </c>
      <c r="J11" s="24"/>
      <c r="K11" s="24"/>
      <c r="L11" s="24"/>
      <c r="M11" s="24"/>
      <c r="N11" s="24"/>
      <c r="O11" s="24"/>
      <c r="P11" s="24"/>
      <c r="Q11" s="24"/>
      <c r="R11" s="24"/>
      <c r="S11" s="24"/>
      <c r="T11" s="24"/>
      <c r="U11" s="24"/>
      <c r="V11" s="24"/>
      <c r="W11" s="24"/>
      <c r="X11" s="24"/>
    </row>
    <row r="12" spans="1:24" ht="14.4">
      <c r="A12" s="120" t="s">
        <v>66</v>
      </c>
      <c r="B12" s="127"/>
      <c r="C12" s="141">
        <f>_xlfn.XLOOKUP(A12,'S24-21'!$A$4:$A$71,'S24-21'!$B$4:$B$71,"LOOK",0)</f>
        <v>6.01</v>
      </c>
      <c r="D12" s="92">
        <f>_xlfn.XLOOKUP(A12,'S24-21'!$A$4:$A$71,'S24-21'!$C$4:$C$71,"LOOK",0)</f>
        <v>5.4</v>
      </c>
      <c r="E12" s="91">
        <f t="shared" si="0"/>
        <v>0.11296296296296285</v>
      </c>
      <c r="F12" s="92">
        <f>_xlfn.XLOOKUP(A12,'S24-21'!$A$4:$A$71,'S24-21'!$D$4:$D$71)</f>
        <v>4.18</v>
      </c>
      <c r="G12" s="91">
        <f t="shared" si="1"/>
        <v>0.29186602870813416</v>
      </c>
      <c r="H12" s="92">
        <f>_xlfn.XLOOKUP(A12,'S24-21'!$A$4:$A$71,'S24-21'!$E$4:$E$71)</f>
        <v>3.85</v>
      </c>
      <c r="I12" s="91">
        <f t="shared" si="2"/>
        <v>8.5714285714285618E-2</v>
      </c>
      <c r="J12" s="24"/>
      <c r="K12" s="24"/>
      <c r="L12" s="24"/>
      <c r="M12" s="24"/>
      <c r="N12" s="24"/>
      <c r="O12" s="24"/>
      <c r="P12" s="24"/>
      <c r="Q12" s="24"/>
      <c r="R12" s="24"/>
      <c r="S12" s="24"/>
      <c r="T12" s="24"/>
      <c r="U12" s="24"/>
      <c r="V12" s="24"/>
      <c r="W12" s="24"/>
      <c r="X12" s="24"/>
    </row>
    <row r="13" spans="1:24" ht="14.4">
      <c r="A13" s="119" t="s">
        <v>64</v>
      </c>
      <c r="B13" s="127"/>
      <c r="C13" s="141">
        <f>_xlfn.XLOOKUP(A13,'S24-21'!$A$4:$A$71,'S24-21'!$B$4:$B$71,"LOOK",0)</f>
        <v>368.22</v>
      </c>
      <c r="D13" s="92">
        <f>_xlfn.XLOOKUP(A13,'S24-21'!$A$4:$A$71,'S24-21'!$C$4:$C$71,"LOOK",0)</f>
        <v>334.43</v>
      </c>
      <c r="E13" s="91">
        <f t="shared" si="0"/>
        <v>0.10103758634093837</v>
      </c>
      <c r="F13" s="92">
        <f>_xlfn.XLOOKUP(A13,'S24-21'!$A$4:$A$71,'S24-21'!$D$4:$D$71)</f>
        <v>343.99</v>
      </c>
      <c r="G13" s="91">
        <f t="shared" si="1"/>
        <v>-2.7791505567022302E-2</v>
      </c>
      <c r="H13" s="92">
        <f>_xlfn.XLOOKUP(A13,'S24-21'!$A$4:$A$71,'S24-21'!$E$4:$E$71)</f>
        <v>409.68</v>
      </c>
      <c r="I13" s="91">
        <f t="shared" si="2"/>
        <v>-0.16034465924624097</v>
      </c>
      <c r="J13" s="24"/>
      <c r="K13" s="24"/>
      <c r="L13" s="24"/>
      <c r="M13" s="24"/>
      <c r="N13" s="24"/>
      <c r="O13" s="24"/>
      <c r="P13" s="24"/>
      <c r="Q13" s="24"/>
      <c r="R13" s="24"/>
      <c r="S13" s="24"/>
      <c r="T13" s="24"/>
      <c r="U13" s="24"/>
      <c r="V13" s="24"/>
      <c r="W13" s="24"/>
      <c r="X13" s="24"/>
    </row>
    <row r="14" spans="1:24" ht="14.4">
      <c r="A14" s="119" t="s">
        <v>58</v>
      </c>
      <c r="B14" s="127"/>
      <c r="C14" s="141">
        <f>_xlfn.XLOOKUP(A14,'S24-21'!$A$4:$A$71,'S24-21'!$B$4:$B$71,"LOOK",0)</f>
        <v>1696.97</v>
      </c>
      <c r="D14" s="92">
        <f>_xlfn.XLOOKUP(A14,'S24-21'!$A$4:$A$71,'S24-21'!$C$4:$C$71,"LOOK",0)</f>
        <v>1605.86</v>
      </c>
      <c r="E14" s="91">
        <f t="shared" si="0"/>
        <v>5.673595456640064E-2</v>
      </c>
      <c r="F14" s="92">
        <f>_xlfn.XLOOKUP(A14,'S24-21'!$A$4:$A$71,'S24-21'!$D$4:$D$71)</f>
        <v>1511.95</v>
      </c>
      <c r="G14" s="91">
        <f t="shared" si="1"/>
        <v>6.2111842322828036E-2</v>
      </c>
      <c r="H14" s="92">
        <f>_xlfn.XLOOKUP(A14,'S24-21'!$A$4:$A$71,'S24-21'!$E$4:$E$71)</f>
        <v>1457.57</v>
      </c>
      <c r="I14" s="91">
        <f t="shared" si="2"/>
        <v>3.7308671281653785E-2</v>
      </c>
      <c r="J14" s="24"/>
      <c r="K14" s="24"/>
      <c r="L14" s="24"/>
      <c r="M14" s="24"/>
      <c r="N14" s="24"/>
      <c r="O14" s="24"/>
      <c r="P14" s="24"/>
      <c r="Q14" s="24"/>
      <c r="R14" s="24"/>
      <c r="S14" s="24"/>
      <c r="T14" s="24"/>
      <c r="U14" s="24"/>
      <c r="V14" s="24"/>
      <c r="W14" s="24"/>
      <c r="X14" s="24"/>
    </row>
    <row r="15" spans="1:24" ht="14.4">
      <c r="A15" s="119" t="s">
        <v>52</v>
      </c>
      <c r="B15" s="127"/>
      <c r="C15" s="141">
        <f>_xlfn.XLOOKUP(A15,'S24-21'!$A$4:$A$71,'S24-21'!$B$4:$B$71,"LOOK",0)</f>
        <v>187.31</v>
      </c>
      <c r="D15" s="92">
        <f>_xlfn.XLOOKUP(A15,'S24-21'!$A$4:$A$71,'S24-21'!$C$4:$C$71,"LOOK",0)</f>
        <v>164.07</v>
      </c>
      <c r="E15" s="91">
        <f t="shared" si="0"/>
        <v>0.14164685804839405</v>
      </c>
      <c r="F15" s="92">
        <f>_xlfn.XLOOKUP(A15,'S24-21'!$A$4:$A$71,'S24-21'!$D$4:$D$71)</f>
        <v>147.72</v>
      </c>
      <c r="G15" s="91">
        <f t="shared" si="1"/>
        <v>0.11068237205523961</v>
      </c>
      <c r="H15" s="92">
        <f>_xlfn.XLOOKUP(A15,'S24-21'!$A$4:$A$71,'S24-21'!$E$4:$E$71)</f>
        <v>121.5</v>
      </c>
      <c r="I15" s="91">
        <f t="shared" si="2"/>
        <v>0.21580246913580245</v>
      </c>
      <c r="J15" s="24"/>
      <c r="K15" s="24"/>
      <c r="L15" s="24"/>
      <c r="M15" s="24"/>
      <c r="N15" s="24"/>
      <c r="O15" s="24"/>
      <c r="P15" s="24"/>
      <c r="Q15" s="24"/>
      <c r="R15" s="24"/>
      <c r="S15" s="24"/>
      <c r="T15" s="24"/>
      <c r="U15" s="24"/>
      <c r="V15" s="24"/>
      <c r="W15" s="24"/>
      <c r="X15" s="24"/>
    </row>
    <row r="16" spans="1:24" ht="14.4">
      <c r="A16" s="119" t="s">
        <v>51</v>
      </c>
      <c r="B16" s="127"/>
      <c r="C16" s="141">
        <f>_xlfn.XLOOKUP(A16,'S24-21'!$A$4:$A$71,'S24-21'!$B$4:$B$71,"LOOK",0)</f>
        <v>246.68</v>
      </c>
      <c r="D16" s="92">
        <f>_xlfn.XLOOKUP(A16,'S24-21'!$A$4:$A$71,'S24-21'!$C$4:$C$71,"LOOK",0)</f>
        <v>245.64</v>
      </c>
      <c r="E16" s="91">
        <f t="shared" si="0"/>
        <v>4.2338381371113034E-3</v>
      </c>
      <c r="F16" s="92">
        <f>_xlfn.XLOOKUP(A16,'S24-21'!$A$4:$A$71,'S24-21'!$D$4:$D$71)</f>
        <v>244.59</v>
      </c>
      <c r="G16" s="91">
        <f t="shared" si="1"/>
        <v>4.2928983196368732E-3</v>
      </c>
      <c r="H16" s="92">
        <f>_xlfn.XLOOKUP(A16,'S24-21'!$A$4:$A$71,'S24-21'!$E$4:$E$71)</f>
        <v>243.54</v>
      </c>
      <c r="I16" s="91">
        <f t="shared" si="2"/>
        <v>4.3114067504311871E-3</v>
      </c>
      <c r="J16" s="24"/>
      <c r="K16" s="24"/>
      <c r="L16" s="24"/>
      <c r="M16" s="24"/>
      <c r="N16" s="24"/>
      <c r="O16" s="24"/>
      <c r="P16" s="24"/>
      <c r="Q16" s="24"/>
      <c r="R16" s="24"/>
      <c r="S16" s="24"/>
      <c r="T16" s="24"/>
      <c r="U16" s="24"/>
      <c r="V16" s="24"/>
      <c r="W16" s="24"/>
      <c r="X16" s="24"/>
    </row>
    <row r="17" spans="1:24" ht="14.4">
      <c r="A17" s="119" t="s">
        <v>46</v>
      </c>
      <c r="B17" s="127"/>
      <c r="C17" s="141">
        <f>_xlfn.XLOOKUP(A17,'S24-21'!$A$4:$A$71,'S24-21'!$B$4:$B$71,"LOOK",0)</f>
        <v>1203.3499999999999</v>
      </c>
      <c r="D17" s="92">
        <f>_xlfn.XLOOKUP(A17,'S24-21'!$A$4:$A$71,'S24-21'!$C$4:$C$71,"LOOK",0)</f>
        <v>1136.49</v>
      </c>
      <c r="E17" s="232">
        <f t="shared" si="0"/>
        <v>5.8830258075301935E-2</v>
      </c>
      <c r="F17" s="92">
        <f>_xlfn.XLOOKUP(A17,'S24-21'!$A$4:$A$71,'S24-21'!$D$4:$D$71)</f>
        <v>1075.1099999999999</v>
      </c>
      <c r="G17" s="91">
        <f t="shared" si="1"/>
        <v>5.7091832463654991E-2</v>
      </c>
      <c r="H17" s="92">
        <f>_xlfn.XLOOKUP(A17,'S24-21'!$A$4:$A$71,'S24-21'!$E$4:$E$71)</f>
        <v>1021.97</v>
      </c>
      <c r="I17" s="91">
        <f t="shared" si="2"/>
        <v>5.1997612454377201E-2</v>
      </c>
      <c r="J17" s="24"/>
      <c r="K17" s="24"/>
      <c r="L17" s="24"/>
      <c r="M17" s="24"/>
      <c r="N17" s="24"/>
      <c r="O17" s="24"/>
      <c r="P17" s="24"/>
      <c r="Q17" s="24"/>
      <c r="R17" s="24"/>
      <c r="S17" s="24"/>
      <c r="T17" s="24"/>
      <c r="U17" s="24"/>
      <c r="V17" s="24"/>
      <c r="W17" s="24"/>
      <c r="X17" s="24"/>
    </row>
    <row r="18" spans="1:24" ht="14.4">
      <c r="A18" s="119" t="s">
        <v>41</v>
      </c>
      <c r="B18" s="127"/>
      <c r="C18" s="141">
        <f>_xlfn.XLOOKUP(A18,'S24-21'!$A$4:$A$71,'S24-21'!$B$4:$B$71,"LOOK",0)</f>
        <v>493.63</v>
      </c>
      <c r="D18" s="92">
        <f>_xlfn.XLOOKUP(A18,'S24-21'!$A$4:$A$71,'S24-21'!$C$4:$C$71,"LOOK",0)</f>
        <v>469.37</v>
      </c>
      <c r="E18" s="91">
        <f t="shared" si="0"/>
        <v>5.1686302916675524E-2</v>
      </c>
      <c r="F18" s="92">
        <f>_xlfn.XLOOKUP(A18,'S24-21'!$A$4:$A$71,'S24-21'!$D$4:$D$71)</f>
        <v>436.84</v>
      </c>
      <c r="G18" s="91">
        <f t="shared" si="1"/>
        <v>7.4466623935537116E-2</v>
      </c>
      <c r="H18" s="92">
        <f>_xlfn.XLOOKUP(A18,'S24-21'!$A$4:$A$71,'S24-21'!$E$4:$E$71)</f>
        <v>435.6</v>
      </c>
      <c r="I18" s="91">
        <f t="shared" si="2"/>
        <v>2.8466483011936458E-3</v>
      </c>
      <c r="J18" s="24"/>
      <c r="K18" s="24"/>
      <c r="L18" s="24"/>
      <c r="M18" s="24"/>
      <c r="N18" s="24"/>
      <c r="O18" s="24"/>
      <c r="P18" s="24"/>
      <c r="Q18" s="24"/>
      <c r="R18" s="24"/>
      <c r="S18" s="24"/>
      <c r="T18" s="24"/>
      <c r="U18" s="24"/>
      <c r="V18" s="24"/>
      <c r="W18" s="24"/>
      <c r="X18" s="24"/>
    </row>
    <row r="19" spans="1:24" ht="15" thickBot="1">
      <c r="A19" s="122" t="s">
        <v>14</v>
      </c>
      <c r="B19" s="128"/>
      <c r="C19" s="142">
        <f>_xlfn.XLOOKUP(A19,'S24-21'!$A$4:$A$71,'S24-21'!$B$4:$B$71,"LOOK",0)</f>
        <v>39.83</v>
      </c>
      <c r="D19" s="96">
        <f>_xlfn.XLOOKUP(A19,'S24-21'!$A$4:$A$71,'S24-21'!$C$4:$C$71,"LOOK",0)</f>
        <v>39.42</v>
      </c>
      <c r="E19" s="97">
        <f>+(C19-D19)/D19</f>
        <v>1.0400811770674697E-2</v>
      </c>
      <c r="F19" s="96">
        <f>_xlfn.XLOOKUP(A19,'S24-21'!$A$4:$A$71,'S24-21'!$D$4:$D$71)</f>
        <v>39.24</v>
      </c>
      <c r="G19" s="97">
        <f t="shared" si="1"/>
        <v>4.5871559633027447E-3</v>
      </c>
      <c r="H19" s="96">
        <f>_xlfn.XLOOKUP(A19,'S24-21'!$A$4:$A$71,'S24-21'!$E$4:$E$71)</f>
        <v>39.090000000000003</v>
      </c>
      <c r="I19" s="97">
        <f t="shared" si="2"/>
        <v>3.8372985418265175E-3</v>
      </c>
      <c r="J19" s="24"/>
      <c r="K19" s="24"/>
      <c r="L19" s="24"/>
      <c r="M19" s="24"/>
      <c r="N19" s="24"/>
      <c r="O19" s="24"/>
      <c r="P19" s="24"/>
      <c r="Q19" s="24"/>
      <c r="R19" s="24"/>
      <c r="S19" s="24"/>
      <c r="T19" s="24"/>
      <c r="U19" s="24"/>
      <c r="V19" s="24"/>
      <c r="W19" s="24"/>
      <c r="X19" s="24"/>
    </row>
    <row r="20" spans="1:24" ht="15" thickBot="1">
      <c r="A20" s="98" t="s">
        <v>81</v>
      </c>
      <c r="B20" s="50"/>
      <c r="C20" s="55" t="s">
        <v>106</v>
      </c>
      <c r="D20" s="51" t="s">
        <v>106</v>
      </c>
      <c r="E20" s="256" t="s">
        <v>117</v>
      </c>
      <c r="F20" s="51" t="s">
        <v>106</v>
      </c>
      <c r="G20" s="256" t="s">
        <v>114</v>
      </c>
      <c r="H20" s="51" t="s">
        <v>106</v>
      </c>
      <c r="I20" s="258" t="s">
        <v>116</v>
      </c>
      <c r="J20" s="24"/>
      <c r="K20" s="24"/>
      <c r="L20" s="24"/>
      <c r="M20" s="24"/>
      <c r="N20" s="24"/>
      <c r="O20" s="24"/>
      <c r="P20" s="24"/>
      <c r="Q20" s="24"/>
      <c r="R20" s="24"/>
      <c r="S20" s="24"/>
      <c r="T20" s="24"/>
      <c r="U20" s="24"/>
      <c r="V20" s="24"/>
      <c r="W20" s="24"/>
      <c r="X20" s="24"/>
    </row>
    <row r="21" spans="1:24" ht="15" thickBot="1">
      <c r="A21" s="52" t="s">
        <v>82</v>
      </c>
      <c r="B21" s="53"/>
      <c r="C21" s="99">
        <v>2024</v>
      </c>
      <c r="D21" s="54">
        <v>2023</v>
      </c>
      <c r="E21" s="257"/>
      <c r="F21" s="54">
        <v>2022</v>
      </c>
      <c r="G21" s="257"/>
      <c r="H21" s="54">
        <v>2021</v>
      </c>
      <c r="I21" s="259"/>
      <c r="J21" s="24"/>
      <c r="K21" s="24"/>
      <c r="L21" s="24"/>
      <c r="M21" s="24"/>
      <c r="N21" s="24"/>
      <c r="O21" s="24"/>
      <c r="P21" s="24"/>
      <c r="Q21" s="24"/>
      <c r="R21" s="24"/>
      <c r="S21" s="24"/>
      <c r="T21" s="24"/>
      <c r="U21" s="24"/>
      <c r="V21" s="24"/>
      <c r="W21" s="24"/>
      <c r="X21" s="24"/>
    </row>
    <row r="22" spans="1:24" ht="14.4">
      <c r="A22" s="118" t="s">
        <v>83</v>
      </c>
      <c r="B22" s="127"/>
      <c r="C22" s="131">
        <f>C13/C15</f>
        <v>1.9658320431370457</v>
      </c>
      <c r="D22" s="84">
        <f t="shared" ref="D22:F22" si="3">D13/D15</f>
        <v>2.038337295056988</v>
      </c>
      <c r="E22" s="85">
        <f>(C22-D22)/D22</f>
        <v>-3.5570782174161798E-2</v>
      </c>
      <c r="F22" s="84">
        <f t="shared" si="3"/>
        <v>2.3286623341456809</v>
      </c>
      <c r="G22" s="85">
        <f>(D22-F22)/F22</f>
        <v>-0.12467459744231436</v>
      </c>
      <c r="H22" s="84">
        <f>H13/H15</f>
        <v>3.3718518518518521</v>
      </c>
      <c r="I22" s="85">
        <f>(F22-H22)/H22</f>
        <v>-0.30938177699985303</v>
      </c>
      <c r="J22" s="24"/>
      <c r="K22" s="24"/>
      <c r="L22" s="24"/>
      <c r="M22" s="24"/>
      <c r="N22" s="24"/>
      <c r="O22" s="24"/>
      <c r="P22" s="24"/>
      <c r="U22" s="24"/>
      <c r="V22" s="24"/>
      <c r="W22" s="24"/>
      <c r="X22" s="24"/>
    </row>
    <row r="23" spans="1:24" ht="14.4">
      <c r="A23" s="120" t="s">
        <v>84</v>
      </c>
      <c r="B23" s="127"/>
      <c r="C23" s="132">
        <f>(C13-C12)/C15</f>
        <v>1.9337461961454276</v>
      </c>
      <c r="D23" s="38">
        <f t="shared" ref="D23:F23" si="4">(D13-D12)/D15</f>
        <v>2.0054245139269828</v>
      </c>
      <c r="E23" s="36">
        <f>(C23-D23)/D23</f>
        <v>-3.574221681433231E-2</v>
      </c>
      <c r="F23" s="38">
        <f t="shared" si="4"/>
        <v>2.3003655564581642</v>
      </c>
      <c r="G23" s="36">
        <f t="shared" ref="G23:G44" si="5">(D23-F23)/F23</f>
        <v>-0.12821485772256883</v>
      </c>
      <c r="H23" s="38">
        <f>(H13-H12)/H15</f>
        <v>3.340164609053498</v>
      </c>
      <c r="I23" s="36">
        <f t="shared" ref="I23:I44" si="6">(F23-H23)/H23</f>
        <v>-0.31130173937445005</v>
      </c>
      <c r="J23" s="24"/>
      <c r="K23" s="24"/>
      <c r="L23" s="24"/>
      <c r="M23" s="24"/>
      <c r="N23" s="24"/>
      <c r="O23" s="24"/>
      <c r="P23" s="24"/>
      <c r="Q23" s="24"/>
      <c r="R23" s="24"/>
      <c r="S23" s="24"/>
      <c r="T23" s="24"/>
      <c r="U23" s="24"/>
      <c r="V23" s="24"/>
      <c r="W23" s="24"/>
      <c r="X23" s="24"/>
    </row>
    <row r="24" spans="1:24" ht="15" thickBot="1">
      <c r="A24" s="129" t="s">
        <v>85</v>
      </c>
      <c r="B24" s="180"/>
      <c r="C24" s="133">
        <f>C13-C15</f>
        <v>180.91000000000003</v>
      </c>
      <c r="D24" s="100">
        <f t="shared" ref="D24:H24" si="7">D13-D15</f>
        <v>170.36</v>
      </c>
      <c r="E24" s="88">
        <f t="shared" ref="E24:E44" si="8">(C24-D24)/D24</f>
        <v>6.1927682554590344E-2</v>
      </c>
      <c r="F24" s="100">
        <f t="shared" si="7"/>
        <v>196.27</v>
      </c>
      <c r="G24" s="88">
        <f t="shared" si="5"/>
        <v>-0.13201202425230546</v>
      </c>
      <c r="H24" s="100">
        <f t="shared" si="7"/>
        <v>288.18</v>
      </c>
      <c r="I24" s="88">
        <f t="shared" si="6"/>
        <v>-0.31893261156221803</v>
      </c>
      <c r="J24" s="24"/>
      <c r="K24" s="24"/>
      <c r="L24" s="24"/>
      <c r="M24" s="24"/>
      <c r="N24" s="24"/>
      <c r="O24" s="24"/>
      <c r="P24" s="24"/>
      <c r="Q24" s="24"/>
      <c r="R24" s="24"/>
      <c r="S24" s="24"/>
      <c r="T24" s="24"/>
      <c r="U24" s="24"/>
      <c r="V24" s="24"/>
      <c r="W24" s="24"/>
      <c r="X24" s="24"/>
    </row>
    <row r="25" spans="1:24" ht="15" thickBot="1">
      <c r="A25" s="31" t="s">
        <v>86</v>
      </c>
      <c r="B25" s="181"/>
      <c r="C25" s="32"/>
      <c r="D25" s="32"/>
      <c r="E25" s="32"/>
      <c r="F25" s="32"/>
      <c r="G25" s="32"/>
      <c r="H25" s="32"/>
      <c r="I25" s="86"/>
      <c r="J25" s="24"/>
      <c r="K25" s="24"/>
      <c r="L25" s="24"/>
      <c r="M25" s="24"/>
      <c r="N25" s="24"/>
      <c r="O25" s="24"/>
      <c r="P25" s="24"/>
      <c r="Q25" s="24"/>
      <c r="R25" s="24"/>
      <c r="S25" s="24"/>
      <c r="T25" s="24"/>
      <c r="U25" s="24"/>
      <c r="V25" s="24"/>
      <c r="W25" s="24"/>
      <c r="X25" s="24"/>
    </row>
    <row r="26" spans="1:24" ht="14.4">
      <c r="A26" s="118" t="s">
        <v>87</v>
      </c>
      <c r="B26" s="177"/>
      <c r="C26" s="131">
        <f>C4/C11</f>
        <v>63.6165566277298</v>
      </c>
      <c r="D26" s="84">
        <f t="shared" ref="D26:H26" si="9">D4/D11</f>
        <v>64.541839762611275</v>
      </c>
      <c r="E26" s="85">
        <f t="shared" si="8"/>
        <v>-1.4336175390796443E-2</v>
      </c>
      <c r="F26" s="84">
        <f t="shared" si="9"/>
        <v>64.876801152737755</v>
      </c>
      <c r="G26" s="85">
        <f t="shared" si="5"/>
        <v>-5.1630380070356655E-3</v>
      </c>
      <c r="H26" s="84">
        <f t="shared" si="9"/>
        <v>54.164714494875547</v>
      </c>
      <c r="I26" s="85">
        <f t="shared" si="6"/>
        <v>0.1977687274411031</v>
      </c>
      <c r="J26" s="24"/>
      <c r="K26" s="24"/>
      <c r="L26" s="24"/>
      <c r="M26" s="24"/>
      <c r="N26" s="24"/>
      <c r="O26" s="24"/>
      <c r="P26" s="24"/>
      <c r="Q26" s="24"/>
      <c r="R26" s="24"/>
      <c r="S26" s="24"/>
      <c r="T26" s="24"/>
      <c r="U26" s="24"/>
      <c r="V26" s="24"/>
      <c r="W26" s="24"/>
      <c r="X26" s="24"/>
    </row>
    <row r="27" spans="1:24" ht="14.4">
      <c r="A27" s="120" t="s">
        <v>88</v>
      </c>
      <c r="B27" s="127"/>
      <c r="C27" s="132">
        <f>C4/C12</f>
        <v>208.42096505823628</v>
      </c>
      <c r="D27" s="38">
        <f t="shared" ref="D27:H27" si="10">D4/D12</f>
        <v>201.39444444444442</v>
      </c>
      <c r="E27" s="36">
        <f t="shared" si="8"/>
        <v>3.4889346789951585E-2</v>
      </c>
      <c r="F27" s="38">
        <f t="shared" si="10"/>
        <v>215.4282296650718</v>
      </c>
      <c r="G27" s="36">
        <f t="shared" si="5"/>
        <v>-6.5143668693958226E-2</v>
      </c>
      <c r="H27" s="38">
        <f t="shared" si="10"/>
        <v>192.17922077922077</v>
      </c>
      <c r="I27" s="36">
        <f t="shared" si="6"/>
        <v>0.12097566423458414</v>
      </c>
      <c r="J27" s="24"/>
      <c r="K27" s="24"/>
      <c r="L27" s="24"/>
      <c r="M27" s="24"/>
      <c r="N27" s="24"/>
      <c r="O27" s="24"/>
      <c r="P27" s="24"/>
      <c r="Q27" s="24"/>
      <c r="R27" s="24"/>
      <c r="S27" s="24"/>
      <c r="T27" s="24"/>
      <c r="U27" s="24"/>
      <c r="V27" s="24"/>
      <c r="W27" s="24"/>
      <c r="X27" s="24"/>
    </row>
    <row r="28" spans="1:24" ht="15" thickBot="1">
      <c r="A28" s="129" t="s">
        <v>89</v>
      </c>
      <c r="B28" s="180"/>
      <c r="C28" s="134">
        <f>C4/C14</f>
        <v>0.73814504675981296</v>
      </c>
      <c r="D28" s="87">
        <f t="shared" ref="D28:H28" si="11">D4/D14</f>
        <v>0.67722591010424327</v>
      </c>
      <c r="E28" s="88">
        <f t="shared" si="8"/>
        <v>8.9953936709528143E-2</v>
      </c>
      <c r="F28" s="87">
        <f t="shared" si="11"/>
        <v>0.59558186447964545</v>
      </c>
      <c r="G28" s="88">
        <f t="shared" si="5"/>
        <v>0.13708282688548531</v>
      </c>
      <c r="H28" s="87">
        <f t="shared" si="11"/>
        <v>0.50761884506404498</v>
      </c>
      <c r="I28" s="88">
        <f t="shared" si="6"/>
        <v>0.1732855670567203</v>
      </c>
      <c r="J28" s="24"/>
      <c r="K28" s="24"/>
      <c r="L28" s="24"/>
      <c r="M28" s="24"/>
      <c r="N28" s="24"/>
      <c r="O28" s="24"/>
      <c r="P28" s="24"/>
      <c r="Q28" s="24"/>
      <c r="R28" s="24"/>
      <c r="S28" s="24"/>
      <c r="T28" s="24"/>
      <c r="U28" s="24"/>
      <c r="V28" s="24"/>
      <c r="W28" s="24"/>
      <c r="X28" s="24"/>
    </row>
    <row r="29" spans="1:24" ht="15" thickBot="1">
      <c r="A29" s="31" t="s">
        <v>90</v>
      </c>
      <c r="B29" s="181"/>
      <c r="C29" s="32"/>
      <c r="D29" s="32"/>
      <c r="E29" s="32"/>
      <c r="F29" s="32"/>
      <c r="G29" s="32"/>
      <c r="H29" s="32"/>
      <c r="I29" s="86"/>
      <c r="J29" s="24"/>
      <c r="K29" s="24"/>
      <c r="L29" s="24"/>
      <c r="M29" s="24"/>
      <c r="N29" s="24"/>
      <c r="O29" s="24"/>
      <c r="P29" s="24"/>
      <c r="Q29" s="24"/>
      <c r="R29" s="24"/>
      <c r="S29" s="24"/>
      <c r="T29" s="24"/>
      <c r="U29" s="24"/>
      <c r="V29" s="24"/>
      <c r="W29" s="24"/>
      <c r="X29" s="24"/>
    </row>
    <row r="30" spans="1:24" ht="14.4">
      <c r="A30" s="118" t="s">
        <v>121</v>
      </c>
      <c r="B30" s="177"/>
      <c r="C30" s="131">
        <f>C16/C18</f>
        <v>0.49972651581143773</v>
      </c>
      <c r="D30" s="84">
        <f t="shared" ref="D30:H30" si="12">D16/D18</f>
        <v>0.52333979589662738</v>
      </c>
      <c r="E30" s="85">
        <f t="shared" si="8"/>
        <v>-4.512036017580795E-2</v>
      </c>
      <c r="F30" s="84">
        <f t="shared" si="12"/>
        <v>0.55990751762659097</v>
      </c>
      <c r="G30" s="85">
        <f t="shared" si="5"/>
        <v>-6.5310288893729473E-2</v>
      </c>
      <c r="H30" s="84">
        <f t="shared" si="12"/>
        <v>0.55909090909090908</v>
      </c>
      <c r="I30" s="85">
        <f t="shared" si="6"/>
        <v>1.4606006329269474E-3</v>
      </c>
      <c r="J30" s="24"/>
      <c r="K30" s="24"/>
      <c r="L30" s="24"/>
      <c r="M30" s="24"/>
      <c r="N30" s="24"/>
      <c r="O30" s="24"/>
      <c r="P30" s="24"/>
      <c r="Q30" s="24"/>
      <c r="R30" s="24"/>
      <c r="S30" s="24"/>
      <c r="T30" s="24"/>
      <c r="U30" s="24"/>
      <c r="V30" s="24"/>
      <c r="W30" s="24"/>
      <c r="X30" s="24"/>
    </row>
    <row r="31" spans="1:24" ht="15" thickBot="1">
      <c r="A31" s="129" t="s">
        <v>100</v>
      </c>
      <c r="B31" s="180"/>
      <c r="C31" s="134">
        <f>C14/C18</f>
        <v>3.4377367664039871</v>
      </c>
      <c r="D31" s="87">
        <f t="shared" ref="D31:H31" si="13">D14/D18</f>
        <v>3.421309414747427</v>
      </c>
      <c r="E31" s="88">
        <f t="shared" si="8"/>
        <v>4.8014808557655074E-3</v>
      </c>
      <c r="F31" s="87">
        <f t="shared" si="13"/>
        <v>3.4611070414797185</v>
      </c>
      <c r="G31" s="88">
        <f t="shared" si="5"/>
        <v>-1.1498525256611799E-2</v>
      </c>
      <c r="H31" s="87">
        <f t="shared" si="13"/>
        <v>3.3461202938475663</v>
      </c>
      <c r="I31" s="88">
        <f t="shared" si="6"/>
        <v>3.4364200188372093E-2</v>
      </c>
      <c r="J31" s="24"/>
      <c r="K31" s="24"/>
      <c r="L31" s="24"/>
      <c r="M31" s="24"/>
      <c r="N31" s="24"/>
      <c r="O31" s="24"/>
      <c r="P31" s="24"/>
      <c r="Q31" s="24"/>
      <c r="R31" s="24"/>
      <c r="S31" s="24"/>
      <c r="T31" s="24"/>
      <c r="U31" s="24"/>
      <c r="V31" s="24"/>
      <c r="W31" s="24"/>
      <c r="X31" s="24"/>
    </row>
    <row r="32" spans="1:24" ht="15" thickBot="1">
      <c r="A32" s="31" t="s">
        <v>91</v>
      </c>
      <c r="B32" s="181"/>
      <c r="C32" s="32"/>
      <c r="D32" s="32"/>
      <c r="E32" s="32"/>
      <c r="F32" s="32"/>
      <c r="G32" s="32"/>
      <c r="H32" s="32"/>
      <c r="I32" s="86"/>
      <c r="J32" s="24"/>
      <c r="K32" s="24"/>
      <c r="L32" s="24"/>
      <c r="M32" s="24"/>
      <c r="N32" s="24"/>
      <c r="O32" s="24"/>
      <c r="P32" s="24"/>
      <c r="Q32" s="24"/>
      <c r="R32" s="24"/>
      <c r="S32" s="24"/>
      <c r="T32" s="24"/>
      <c r="U32" s="24"/>
      <c r="V32" s="24"/>
      <c r="W32" s="24"/>
      <c r="X32" s="24"/>
    </row>
    <row r="33" spans="1:24" ht="14.4">
      <c r="A33" s="118" t="s">
        <v>19</v>
      </c>
      <c r="B33" s="177"/>
      <c r="C33" s="135">
        <v>8.0999999999999996E-3</v>
      </c>
      <c r="D33" s="85">
        <v>1.8599999999999998E-2</v>
      </c>
      <c r="E33" s="85">
        <f t="shared" si="8"/>
        <v>-0.56451612903225801</v>
      </c>
      <c r="F33" s="85">
        <v>-2.3599999999999999E-2</v>
      </c>
      <c r="G33" s="85">
        <f t="shared" si="5"/>
        <v>-1.7881355932203391</v>
      </c>
      <c r="H33" s="85">
        <v>-6.1999999999999998E-3</v>
      </c>
      <c r="I33" s="85">
        <f t="shared" si="6"/>
        <v>2.8064516129032255</v>
      </c>
      <c r="J33" s="24"/>
      <c r="K33" s="24"/>
      <c r="L33" s="24"/>
      <c r="M33" s="24"/>
      <c r="N33" s="24"/>
      <c r="O33" s="24"/>
      <c r="P33" s="24"/>
      <c r="Q33" s="24"/>
      <c r="R33" s="24"/>
      <c r="S33" s="24"/>
      <c r="T33" s="24"/>
      <c r="U33" s="24"/>
      <c r="V33" s="24"/>
      <c r="W33" s="24"/>
      <c r="X33" s="24"/>
    </row>
    <row r="34" spans="1:24" ht="14.4">
      <c r="A34" s="120" t="s">
        <v>92</v>
      </c>
      <c r="B34" s="127"/>
      <c r="C34" s="136">
        <v>0.24149999999999999</v>
      </c>
      <c r="D34" s="36">
        <v>0.22889999999999999</v>
      </c>
      <c r="E34" s="36">
        <f t="shared" si="8"/>
        <v>5.5045871559633031E-2</v>
      </c>
      <c r="F34" s="36">
        <v>0.20369999999999999</v>
      </c>
      <c r="G34" s="36">
        <f t="shared" si="5"/>
        <v>0.12371134020618557</v>
      </c>
      <c r="H34" s="36">
        <v>0.1963</v>
      </c>
      <c r="I34" s="36">
        <f t="shared" si="6"/>
        <v>3.7697401935812481E-2</v>
      </c>
      <c r="J34" s="24"/>
      <c r="K34" s="24"/>
      <c r="L34" s="24"/>
      <c r="M34" s="24"/>
      <c r="N34" s="24"/>
      <c r="O34" s="24"/>
      <c r="P34" s="24"/>
      <c r="Q34" s="24"/>
      <c r="R34" s="24"/>
      <c r="S34" s="24"/>
      <c r="T34" s="24"/>
      <c r="U34" s="24"/>
      <c r="V34" s="24"/>
      <c r="W34" s="24"/>
      <c r="X34" s="24"/>
    </row>
    <row r="35" spans="1:24" ht="14.4">
      <c r="A35" s="120" t="s">
        <v>101</v>
      </c>
      <c r="B35" s="127"/>
      <c r="C35" s="136">
        <f>C33*C28</f>
        <v>5.9789748787544847E-3</v>
      </c>
      <c r="D35" s="36">
        <f t="shared" ref="D35:H35" si="14">D33*D28</f>
        <v>1.2596401927938924E-2</v>
      </c>
      <c r="E35" s="36">
        <f t="shared" si="8"/>
        <v>-0.52534264046520551</v>
      </c>
      <c r="F35" s="36">
        <f t="shared" si="14"/>
        <v>-1.4055732001719633E-2</v>
      </c>
      <c r="G35" s="36">
        <f t="shared" si="5"/>
        <v>-1.896175448308052</v>
      </c>
      <c r="H35" s="36">
        <f t="shared" si="14"/>
        <v>-3.1472368393970786E-3</v>
      </c>
      <c r="I35" s="36">
        <f t="shared" si="6"/>
        <v>3.4660547391191292</v>
      </c>
      <c r="J35" s="24"/>
      <c r="K35" s="24"/>
      <c r="L35" s="24"/>
      <c r="M35" s="24"/>
      <c r="N35" s="24"/>
      <c r="O35" s="24"/>
      <c r="P35" s="24"/>
      <c r="Q35" s="24"/>
      <c r="R35" s="24"/>
      <c r="S35" s="24"/>
      <c r="T35" s="24"/>
      <c r="U35" s="24"/>
      <c r="V35" s="24"/>
      <c r="W35" s="24"/>
      <c r="X35" s="24"/>
    </row>
    <row r="36" spans="1:24" ht="15" thickBot="1">
      <c r="A36" s="129" t="s">
        <v>102</v>
      </c>
      <c r="B36" s="180"/>
      <c r="C36" s="143">
        <f>C35*C31</f>
        <v>2.0554141766100112E-2</v>
      </c>
      <c r="D36" s="88">
        <f t="shared" ref="D36:H36" si="15">D35*D31</f>
        <v>4.309618850800008E-2</v>
      </c>
      <c r="E36" s="88">
        <f t="shared" si="8"/>
        <v>-0.52306358224035099</v>
      </c>
      <c r="F36" s="88">
        <f t="shared" si="15"/>
        <v>-4.8648393004303639E-2</v>
      </c>
      <c r="G36" s="88">
        <f t="shared" si="5"/>
        <v>-1.8858707522813263</v>
      </c>
      <c r="H36" s="88">
        <f t="shared" si="15"/>
        <v>-1.0531033057851238E-2</v>
      </c>
      <c r="I36" s="88">
        <f t="shared" si="6"/>
        <v>3.6195271382264469</v>
      </c>
      <c r="J36" s="24"/>
      <c r="K36" s="24"/>
      <c r="L36" s="24"/>
      <c r="M36" s="24"/>
      <c r="N36" s="24"/>
      <c r="O36" s="24"/>
      <c r="P36" s="24"/>
      <c r="Q36" s="24"/>
      <c r="R36" s="24"/>
      <c r="S36" s="24"/>
      <c r="T36" s="24"/>
      <c r="U36" s="24"/>
      <c r="V36" s="24"/>
      <c r="W36" s="24"/>
      <c r="X36" s="24"/>
    </row>
    <row r="37" spans="1:24" ht="15" thickBot="1">
      <c r="A37" s="31" t="s">
        <v>93</v>
      </c>
      <c r="B37" s="181"/>
      <c r="C37" s="32"/>
      <c r="D37" s="32"/>
      <c r="E37" s="32"/>
      <c r="F37" s="32"/>
      <c r="G37" s="32"/>
      <c r="H37" s="32"/>
      <c r="I37" s="86"/>
      <c r="J37" s="24"/>
      <c r="K37" s="24"/>
      <c r="L37" s="24"/>
      <c r="M37" s="24"/>
      <c r="N37" s="24"/>
      <c r="O37" s="24"/>
      <c r="P37" s="24"/>
      <c r="Q37" s="24"/>
      <c r="R37" s="24"/>
      <c r="S37" s="24"/>
      <c r="T37" s="24"/>
      <c r="U37" s="24"/>
      <c r="V37" s="24"/>
      <c r="W37" s="24"/>
      <c r="X37" s="24"/>
    </row>
    <row r="38" spans="1:24" ht="14.4">
      <c r="A38" s="118" t="s">
        <v>129</v>
      </c>
      <c r="B38" s="177"/>
      <c r="C38" s="139">
        <f>C9/C19</f>
        <v>0.25633944263118258</v>
      </c>
      <c r="D38" s="90">
        <f>D9/D19</f>
        <v>0.51395230847285645</v>
      </c>
      <c r="E38" s="85">
        <f t="shared" si="8"/>
        <v>-0.50123885347871588</v>
      </c>
      <c r="F38" s="90">
        <f t="shared" ref="F38:H38" si="16">F9/F19</f>
        <v>-0.54102956167176353</v>
      </c>
      <c r="G38" s="85">
        <f t="shared" si="5"/>
        <v>-1.9499523591368295</v>
      </c>
      <c r="H38" s="90">
        <f t="shared" si="16"/>
        <v>-0.11665387567152723</v>
      </c>
      <c r="I38" s="85">
        <f t="shared" si="6"/>
        <v>3.6379047293309736</v>
      </c>
      <c r="J38" s="24"/>
      <c r="K38" s="24"/>
      <c r="L38" s="24"/>
      <c r="M38" s="24"/>
      <c r="N38" s="24"/>
      <c r="O38" s="24"/>
      <c r="P38" s="24"/>
      <c r="Q38" s="24"/>
      <c r="R38" s="24"/>
      <c r="S38" s="24"/>
      <c r="T38" s="24"/>
      <c r="U38" s="24"/>
      <c r="V38" s="24"/>
      <c r="W38" s="24"/>
      <c r="X38" s="24"/>
    </row>
    <row r="39" spans="1:24" ht="14.4">
      <c r="A39" s="120" t="s">
        <v>94</v>
      </c>
      <c r="B39" s="127"/>
      <c r="C39" s="132">
        <f>C3/C38</f>
        <v>505.22853085210562</v>
      </c>
      <c r="D39" s="38">
        <f>D3/D38</f>
        <v>144.21571569595261</v>
      </c>
      <c r="E39" s="36">
        <f t="shared" si="8"/>
        <v>2.5032834557176127</v>
      </c>
      <c r="F39" s="38">
        <f>F3/F38</f>
        <v>-76.761055110692411</v>
      </c>
      <c r="G39" s="36">
        <f>(D39-F39)/F39</f>
        <v>-2.8787615085278331</v>
      </c>
      <c r="H39" s="38">
        <f>H3/H38</f>
        <v>-626.38296052631586</v>
      </c>
      <c r="I39" s="36">
        <f t="shared" si="6"/>
        <v>-0.87745347503355742</v>
      </c>
      <c r="J39" s="24"/>
      <c r="K39" s="24"/>
      <c r="L39" s="24"/>
      <c r="M39" s="24"/>
      <c r="N39" s="24"/>
      <c r="O39" s="24"/>
      <c r="P39" s="24"/>
      <c r="Q39" s="24"/>
      <c r="R39" s="24"/>
      <c r="S39" s="24"/>
      <c r="T39" s="24"/>
      <c r="U39" s="24"/>
      <c r="V39" s="24"/>
      <c r="W39" s="24"/>
      <c r="X39" s="24"/>
    </row>
    <row r="40" spans="1:24" ht="14.4">
      <c r="A40" s="120" t="s">
        <v>95</v>
      </c>
      <c r="B40" s="127"/>
      <c r="C40" s="140">
        <f>C18/C19</f>
        <v>12.393422043685664</v>
      </c>
      <c r="D40" s="37">
        <f t="shared" ref="D40:H40" si="17">D18/D19</f>
        <v>11.906900050735667</v>
      </c>
      <c r="E40" s="36">
        <f t="shared" si="8"/>
        <v>4.0860508686300583E-2</v>
      </c>
      <c r="F40" s="37">
        <f t="shared" si="17"/>
        <v>11.132517838939856</v>
      </c>
      <c r="G40" s="36">
        <f t="shared" si="5"/>
        <v>6.9560383643594001E-2</v>
      </c>
      <c r="H40" s="37">
        <f t="shared" si="17"/>
        <v>11.143514965464313</v>
      </c>
      <c r="I40" s="36">
        <f t="shared" si="6"/>
        <v>-9.8686335133379315E-4</v>
      </c>
      <c r="J40" s="24"/>
      <c r="K40" s="24"/>
      <c r="L40" s="24"/>
      <c r="M40" s="24"/>
      <c r="N40" s="24"/>
      <c r="O40" s="24"/>
      <c r="P40" s="24"/>
      <c r="Q40" s="24"/>
      <c r="R40" s="24"/>
      <c r="S40" s="24"/>
      <c r="T40" s="24"/>
      <c r="U40" s="24"/>
      <c r="V40" s="24"/>
      <c r="W40" s="24"/>
      <c r="X40" s="24"/>
    </row>
    <row r="41" spans="1:24" ht="14.4">
      <c r="A41" s="130" t="s">
        <v>119</v>
      </c>
      <c r="B41" s="127"/>
      <c r="C41" s="140">
        <f>C3*C19</f>
        <v>5158.3832999999995</v>
      </c>
      <c r="D41" s="37">
        <f t="shared" ref="D41:H41" si="18">D3*D19</f>
        <v>2921.8104000000003</v>
      </c>
      <c r="E41" s="36">
        <f t="shared" si="8"/>
        <v>0.76547502876983353</v>
      </c>
      <c r="F41" s="37">
        <f t="shared" si="18"/>
        <v>1629.6372000000001</v>
      </c>
      <c r="G41" s="36">
        <f t="shared" si="5"/>
        <v>0.79292078015892131</v>
      </c>
      <c r="H41" s="37">
        <f t="shared" si="18"/>
        <v>2856.3063000000002</v>
      </c>
      <c r="I41" s="36">
        <f t="shared" si="6"/>
        <v>-0.42945992871982952</v>
      </c>
      <c r="J41" s="24"/>
      <c r="K41" s="24"/>
      <c r="L41" s="24"/>
      <c r="M41" s="24"/>
      <c r="N41" s="24"/>
      <c r="O41" s="24"/>
      <c r="P41" s="24"/>
      <c r="Q41" s="24"/>
      <c r="R41" s="24"/>
      <c r="S41" s="24"/>
      <c r="T41" s="24"/>
      <c r="U41" s="24"/>
      <c r="V41" s="24"/>
      <c r="W41" s="24"/>
      <c r="X41" s="24"/>
    </row>
    <row r="42" spans="1:24" ht="14.4">
      <c r="A42" s="120" t="s">
        <v>96</v>
      </c>
      <c r="B42" s="127"/>
      <c r="C42" s="140">
        <f>C10/C19</f>
        <v>8.051970876223951</v>
      </c>
      <c r="D42" s="37">
        <f t="shared" ref="D42:H42" si="19">D10/D19</f>
        <v>7.4381024860476908</v>
      </c>
      <c r="E42" s="36">
        <f t="shared" si="8"/>
        <v>8.2530240922029208E-2</v>
      </c>
      <c r="F42" s="37">
        <f t="shared" si="19"/>
        <v>7.9314475025484201</v>
      </c>
      <c r="G42" s="36">
        <f t="shared" si="5"/>
        <v>-6.2201132434176076E-2</v>
      </c>
      <c r="H42" s="37">
        <f t="shared" si="19"/>
        <v>9.7828089025326168</v>
      </c>
      <c r="I42" s="36">
        <f t="shared" si="6"/>
        <v>-0.18924640340310728</v>
      </c>
      <c r="J42" s="24"/>
      <c r="K42" s="24"/>
      <c r="L42" s="24"/>
      <c r="M42" s="24"/>
      <c r="N42" s="24"/>
      <c r="O42" s="24"/>
      <c r="P42" s="24"/>
      <c r="Q42" s="24"/>
      <c r="R42" s="24"/>
      <c r="S42" s="24"/>
      <c r="T42" s="24"/>
      <c r="U42" s="24"/>
      <c r="V42" s="24"/>
      <c r="W42" s="24"/>
      <c r="X42" s="24"/>
    </row>
    <row r="43" spans="1:24" ht="14.4">
      <c r="A43" s="120" t="s">
        <v>97</v>
      </c>
      <c r="B43" s="127"/>
      <c r="C43" s="140">
        <f>C4/C19</f>
        <v>31.44890785839819</v>
      </c>
      <c r="D43" s="37">
        <f t="shared" ref="D43:H43" si="20">D4/D19</f>
        <v>27.588280060882798</v>
      </c>
      <c r="E43" s="36">
        <f t="shared" si="8"/>
        <v>0.13993724106742503</v>
      </c>
      <c r="F43" s="37">
        <f t="shared" si="20"/>
        <v>22.948267074413863</v>
      </c>
      <c r="G43" s="36">
        <f t="shared" si="5"/>
        <v>0.20219448254732539</v>
      </c>
      <c r="H43" s="37">
        <f t="shared" si="20"/>
        <v>18.927858787413658</v>
      </c>
      <c r="I43" s="36">
        <f t="shared" si="6"/>
        <v>0.21240692527110519</v>
      </c>
      <c r="J43" s="24"/>
      <c r="K43" s="24"/>
      <c r="L43" s="233"/>
      <c r="M43" s="24"/>
      <c r="N43" s="24"/>
      <c r="O43" s="24"/>
      <c r="P43" s="24"/>
      <c r="Q43" s="24"/>
      <c r="R43" s="24"/>
      <c r="S43" s="24"/>
      <c r="T43" s="24"/>
      <c r="U43" s="24"/>
      <c r="V43" s="24"/>
      <c r="W43" s="24"/>
      <c r="X43" s="24"/>
    </row>
    <row r="44" spans="1:24" ht="15" thickBot="1">
      <c r="A44" s="129" t="s">
        <v>103</v>
      </c>
      <c r="B44" s="180"/>
      <c r="C44" s="134">
        <f>C3/C40</f>
        <v>10.44989830439803</v>
      </c>
      <c r="D44" s="87">
        <f t="shared" ref="D44:H44" si="21">D3/D40</f>
        <v>6.2249619703006163</v>
      </c>
      <c r="E44" s="88">
        <f t="shared" si="8"/>
        <v>0.67870877834348964</v>
      </c>
      <c r="F44" s="87">
        <f t="shared" si="21"/>
        <v>3.7305127735555357</v>
      </c>
      <c r="G44" s="88">
        <f t="shared" si="5"/>
        <v>0.66866121312530225</v>
      </c>
      <c r="H44" s="87">
        <f t="shared" si="21"/>
        <v>6.557176997245179</v>
      </c>
      <c r="I44" s="88">
        <f t="shared" si="6"/>
        <v>-0.43107944544995352</v>
      </c>
      <c r="J44" s="24"/>
      <c r="K44" s="24"/>
      <c r="L44" s="24"/>
      <c r="M44" s="24"/>
      <c r="N44" s="24"/>
      <c r="O44" s="24"/>
      <c r="P44" s="24"/>
      <c r="Q44" s="24"/>
      <c r="R44" s="24"/>
      <c r="S44" s="24"/>
      <c r="T44" s="24"/>
      <c r="U44" s="24"/>
      <c r="V44" s="24"/>
      <c r="W44" s="24"/>
      <c r="X44" s="24"/>
    </row>
    <row r="45" spans="1:24" ht="15" thickBot="1">
      <c r="A45" s="101"/>
      <c r="B45" s="181"/>
      <c r="C45" s="102"/>
      <c r="D45" s="102"/>
      <c r="E45" s="102"/>
      <c r="F45" s="102"/>
      <c r="G45" s="102"/>
      <c r="H45" s="102"/>
      <c r="I45" s="103"/>
      <c r="J45" s="24"/>
      <c r="K45" s="24"/>
      <c r="L45" s="24"/>
      <c r="M45" s="24"/>
      <c r="N45" s="24"/>
      <c r="O45" s="24"/>
      <c r="P45" s="24"/>
      <c r="Q45" s="24"/>
      <c r="R45" s="24"/>
      <c r="S45" s="24"/>
      <c r="T45" s="24"/>
      <c r="U45" s="24"/>
      <c r="V45" s="24"/>
      <c r="W45" s="24"/>
      <c r="X45" s="24"/>
    </row>
    <row r="46" spans="1:24" ht="13.8">
      <c r="A46" s="24"/>
      <c r="B46" s="24"/>
      <c r="C46" s="24"/>
      <c r="D46" s="24"/>
      <c r="E46" s="24"/>
      <c r="F46" s="24"/>
      <c r="G46" s="24"/>
      <c r="H46" s="24"/>
      <c r="I46" s="24"/>
      <c r="J46" s="24"/>
      <c r="K46" s="24"/>
      <c r="L46" s="24"/>
      <c r="M46" s="24"/>
      <c r="N46" s="24"/>
      <c r="O46" s="24"/>
      <c r="P46" s="24"/>
      <c r="Q46" s="24"/>
      <c r="R46" s="24"/>
      <c r="S46" s="24"/>
      <c r="T46" s="24"/>
      <c r="U46" s="24"/>
      <c r="V46" s="24"/>
      <c r="W46" s="24"/>
      <c r="X46" s="24"/>
    </row>
    <row r="47" spans="1:24" ht="13.8">
      <c r="A47" s="24"/>
      <c r="B47" s="24"/>
      <c r="C47" s="24"/>
      <c r="D47" s="24"/>
      <c r="E47" s="24"/>
      <c r="F47" s="24"/>
      <c r="G47" s="24"/>
      <c r="H47" s="24"/>
      <c r="I47" s="24"/>
      <c r="J47" s="24"/>
      <c r="K47" s="24"/>
      <c r="L47" s="24"/>
      <c r="M47" s="24"/>
      <c r="N47" s="24"/>
      <c r="O47" s="24"/>
      <c r="P47" s="24"/>
      <c r="Q47" s="24"/>
      <c r="R47" s="24"/>
      <c r="S47" s="24"/>
      <c r="T47" s="24"/>
      <c r="U47" s="24"/>
      <c r="V47" s="24"/>
      <c r="W47" s="24"/>
      <c r="X47" s="24"/>
    </row>
    <row r="48" spans="1:24" ht="13.8">
      <c r="A48" s="24"/>
      <c r="B48" s="24"/>
      <c r="C48" s="24"/>
      <c r="D48" s="24"/>
      <c r="E48" s="24"/>
      <c r="F48" s="24"/>
      <c r="G48" s="24"/>
      <c r="H48" s="24"/>
      <c r="I48" s="24"/>
      <c r="J48" s="24"/>
      <c r="K48" s="24"/>
      <c r="L48" s="24"/>
      <c r="M48" s="24"/>
      <c r="N48" s="24"/>
      <c r="O48" s="24"/>
      <c r="P48" s="24"/>
      <c r="Q48" s="24"/>
      <c r="R48" s="24"/>
      <c r="S48" s="24"/>
      <c r="T48" s="24"/>
      <c r="U48" s="24"/>
      <c r="V48" s="24"/>
      <c r="W48" s="24"/>
      <c r="X48" s="24"/>
    </row>
    <row r="49" spans="1:24" ht="13.8">
      <c r="A49" s="24"/>
      <c r="B49" s="29"/>
      <c r="C49" s="24"/>
      <c r="D49" s="24"/>
      <c r="E49" s="24"/>
      <c r="F49" s="24"/>
      <c r="G49" s="24"/>
      <c r="H49" s="24"/>
      <c r="I49" s="24"/>
      <c r="J49" s="24"/>
      <c r="K49" s="24"/>
      <c r="L49" s="24"/>
      <c r="M49" s="24"/>
      <c r="N49" s="24"/>
      <c r="O49" s="24"/>
      <c r="P49" s="24"/>
      <c r="Q49" s="24"/>
      <c r="R49" s="24"/>
      <c r="S49" s="24"/>
      <c r="T49" s="24"/>
      <c r="U49" s="24"/>
      <c r="V49" s="24"/>
      <c r="W49" s="24"/>
      <c r="X49" s="24"/>
    </row>
    <row r="50" spans="1:24" ht="13.8">
      <c r="A50" s="24"/>
      <c r="B50" s="24"/>
      <c r="C50" s="24"/>
      <c r="D50" s="24"/>
      <c r="E50" s="24"/>
      <c r="F50" s="24"/>
      <c r="G50" s="24"/>
      <c r="H50" s="24"/>
      <c r="I50" s="24"/>
      <c r="J50" s="24"/>
      <c r="K50" s="24"/>
      <c r="L50" s="24"/>
      <c r="M50" s="24"/>
      <c r="N50" s="24"/>
      <c r="O50" s="24"/>
      <c r="P50" s="24"/>
      <c r="Q50" s="24"/>
      <c r="R50" s="24"/>
      <c r="S50" s="24"/>
      <c r="T50" s="24"/>
      <c r="U50" s="24"/>
      <c r="V50" s="24"/>
      <c r="W50" s="24"/>
      <c r="X50" s="24"/>
    </row>
    <row r="51" spans="1:24" ht="13.8">
      <c r="A51" s="24"/>
      <c r="B51" s="24"/>
      <c r="C51" s="24"/>
      <c r="D51" s="24"/>
      <c r="E51" s="24"/>
      <c r="F51" s="24"/>
      <c r="G51" s="24"/>
      <c r="H51" s="24"/>
      <c r="I51" s="24"/>
      <c r="J51" s="24"/>
      <c r="K51" s="24"/>
      <c r="L51" s="24"/>
      <c r="M51" s="24"/>
      <c r="N51" s="24"/>
      <c r="O51" s="24"/>
      <c r="P51" s="24"/>
      <c r="Q51" s="24"/>
      <c r="R51" s="24"/>
      <c r="S51" s="24"/>
      <c r="T51" s="24"/>
      <c r="U51" s="24"/>
      <c r="V51" s="24"/>
      <c r="W51" s="24"/>
      <c r="X51" s="24"/>
    </row>
    <row r="52" spans="1:24" ht="13.8">
      <c r="A52" s="24"/>
      <c r="B52" s="24"/>
      <c r="C52" s="24"/>
      <c r="D52" s="24"/>
      <c r="E52" s="24"/>
      <c r="F52" s="24"/>
      <c r="G52" s="24"/>
      <c r="H52" s="24"/>
      <c r="I52" s="24"/>
      <c r="J52" s="24"/>
      <c r="K52" s="24"/>
      <c r="L52" s="24"/>
      <c r="M52" s="24"/>
      <c r="N52" s="24"/>
      <c r="O52" s="24"/>
      <c r="P52" s="24"/>
      <c r="Q52" s="24"/>
      <c r="R52" s="24"/>
      <c r="S52" s="24"/>
      <c r="T52" s="24"/>
      <c r="U52" s="24"/>
      <c r="V52" s="24"/>
      <c r="W52" s="24"/>
      <c r="X52" s="24"/>
    </row>
    <row r="53" spans="1:24" ht="13.8">
      <c r="A53" s="24"/>
      <c r="B53" s="24"/>
      <c r="C53" s="24"/>
      <c r="D53" s="24"/>
      <c r="E53" s="24"/>
      <c r="F53" s="24"/>
      <c r="G53" s="24"/>
      <c r="H53" s="24"/>
      <c r="I53" s="24"/>
      <c r="J53" s="24"/>
      <c r="K53" s="24"/>
      <c r="L53" s="24"/>
      <c r="M53" s="24"/>
      <c r="N53" s="24"/>
      <c r="O53" s="24"/>
      <c r="P53" s="24"/>
      <c r="Q53" s="24"/>
      <c r="R53" s="24"/>
      <c r="S53" s="24"/>
      <c r="T53" s="24"/>
      <c r="U53" s="24"/>
      <c r="V53" s="24"/>
      <c r="W53" s="24"/>
      <c r="X53" s="24"/>
    </row>
    <row r="54" spans="1:24" ht="13.8">
      <c r="A54" s="24"/>
      <c r="B54" s="24"/>
      <c r="C54" s="24"/>
      <c r="D54" s="24"/>
      <c r="E54" s="24"/>
      <c r="F54" s="24"/>
      <c r="G54" s="24"/>
      <c r="H54" s="24"/>
      <c r="I54" s="24"/>
      <c r="J54" s="24"/>
      <c r="K54" s="24"/>
      <c r="L54" s="24"/>
      <c r="M54" s="24"/>
      <c r="N54" s="24"/>
      <c r="O54" s="24"/>
      <c r="P54" s="24"/>
      <c r="Q54" s="24"/>
      <c r="R54" s="24"/>
      <c r="S54" s="24"/>
      <c r="T54" s="24"/>
      <c r="U54" s="24"/>
      <c r="V54" s="24"/>
      <c r="W54" s="24"/>
      <c r="X54" s="24"/>
    </row>
    <row r="55" spans="1:24" ht="13.8">
      <c r="A55" s="24"/>
      <c r="B55" s="24"/>
      <c r="C55" s="24"/>
      <c r="D55" s="24"/>
      <c r="E55" s="24"/>
      <c r="F55" s="24"/>
      <c r="G55" s="24"/>
      <c r="H55" s="24"/>
      <c r="I55" s="24"/>
      <c r="J55" s="24"/>
      <c r="K55" s="24"/>
      <c r="L55" s="24"/>
      <c r="M55" s="24"/>
      <c r="N55" s="24"/>
      <c r="O55" s="24"/>
      <c r="P55" s="24"/>
      <c r="Q55" s="24"/>
      <c r="R55" s="24"/>
      <c r="S55" s="24"/>
      <c r="T55" s="24"/>
      <c r="U55" s="24"/>
      <c r="V55" s="24"/>
      <c r="W55" s="24"/>
      <c r="X55" s="24"/>
    </row>
    <row r="56" spans="1:24" ht="13.8">
      <c r="A56" s="24"/>
      <c r="B56" s="24"/>
      <c r="C56" s="24"/>
      <c r="D56" s="24"/>
      <c r="E56" s="24"/>
      <c r="F56" s="24"/>
      <c r="G56" s="24"/>
      <c r="H56" s="24"/>
      <c r="I56" s="24"/>
      <c r="J56" s="24"/>
      <c r="K56" s="24"/>
      <c r="L56" s="24"/>
      <c r="M56" s="24"/>
      <c r="N56" s="24"/>
      <c r="O56" s="24"/>
      <c r="P56" s="24"/>
      <c r="Q56" s="24"/>
      <c r="R56" s="24"/>
      <c r="S56" s="24"/>
      <c r="T56" s="24"/>
      <c r="U56" s="24"/>
      <c r="V56" s="24"/>
      <c r="W56" s="24"/>
      <c r="X56" s="24"/>
    </row>
    <row r="57" spans="1:24" ht="13.8">
      <c r="A57" s="24"/>
      <c r="B57" s="24"/>
      <c r="C57" s="24"/>
      <c r="D57" s="24"/>
      <c r="E57" s="24"/>
      <c r="F57" s="24"/>
      <c r="G57" s="24"/>
      <c r="H57" s="24"/>
      <c r="I57" s="24"/>
      <c r="J57" s="24"/>
      <c r="K57" s="24"/>
      <c r="L57" s="24"/>
      <c r="M57" s="24"/>
      <c r="N57" s="24"/>
      <c r="O57" s="24"/>
      <c r="P57" s="24"/>
      <c r="Q57" s="24"/>
      <c r="R57" s="24"/>
      <c r="S57" s="24"/>
      <c r="T57" s="24"/>
      <c r="U57" s="24"/>
      <c r="V57" s="24"/>
      <c r="W57" s="24"/>
      <c r="X57" s="24"/>
    </row>
    <row r="58" spans="1:24" ht="13.8">
      <c r="A58" s="24"/>
      <c r="B58" s="24"/>
      <c r="C58" s="24"/>
      <c r="D58" s="24"/>
      <c r="E58" s="24"/>
      <c r="F58" s="24"/>
      <c r="G58" s="24"/>
      <c r="H58" s="24"/>
      <c r="I58" s="24"/>
      <c r="J58" s="24"/>
      <c r="K58" s="24"/>
      <c r="L58" s="24"/>
      <c r="M58" s="24"/>
      <c r="N58" s="24"/>
      <c r="O58" s="24"/>
      <c r="P58" s="24"/>
      <c r="Q58" s="24"/>
      <c r="R58" s="24"/>
      <c r="S58" s="24"/>
      <c r="T58" s="24"/>
      <c r="U58" s="24"/>
      <c r="V58" s="24"/>
      <c r="W58" s="24"/>
      <c r="X58" s="24"/>
    </row>
    <row r="59" spans="1:24" ht="13.8">
      <c r="A59" s="24"/>
      <c r="B59" s="24"/>
      <c r="C59" s="24"/>
      <c r="D59" s="24"/>
      <c r="E59" s="24"/>
      <c r="F59" s="24"/>
      <c r="G59" s="24"/>
      <c r="H59" s="24"/>
      <c r="I59" s="24"/>
      <c r="J59" s="24"/>
      <c r="K59" s="24"/>
      <c r="L59" s="24"/>
      <c r="M59" s="24"/>
      <c r="N59" s="24"/>
      <c r="O59" s="24"/>
      <c r="P59" s="24"/>
      <c r="Q59" s="24"/>
      <c r="R59" s="24"/>
      <c r="S59" s="24"/>
      <c r="T59" s="24"/>
      <c r="U59" s="24"/>
      <c r="V59" s="24"/>
      <c r="W59" s="24"/>
      <c r="X59" s="24"/>
    </row>
    <row r="60" spans="1:24" ht="13.8">
      <c r="A60" s="24"/>
      <c r="B60" s="24"/>
      <c r="C60" s="24"/>
      <c r="D60" s="24"/>
      <c r="E60" s="24"/>
      <c r="F60" s="24"/>
      <c r="G60" s="24"/>
      <c r="H60" s="24"/>
      <c r="I60" s="24"/>
      <c r="J60" s="24"/>
      <c r="K60" s="24"/>
      <c r="L60" s="24"/>
      <c r="M60" s="24"/>
      <c r="N60" s="24"/>
      <c r="O60" s="24"/>
      <c r="P60" s="24"/>
      <c r="Q60" s="24"/>
      <c r="R60" s="24"/>
      <c r="S60" s="24"/>
      <c r="T60" s="24"/>
      <c r="U60" s="24"/>
      <c r="V60" s="24"/>
      <c r="W60" s="24"/>
      <c r="X60" s="24"/>
    </row>
    <row r="61" spans="1:24" ht="13.8">
      <c r="A61" s="24"/>
      <c r="B61" s="24"/>
      <c r="C61" s="24"/>
      <c r="D61" s="24"/>
      <c r="E61" s="24"/>
      <c r="F61" s="24"/>
      <c r="G61" s="24"/>
      <c r="H61" s="24"/>
      <c r="I61" s="24"/>
      <c r="J61" s="24"/>
      <c r="K61" s="24"/>
      <c r="L61" s="24"/>
      <c r="M61" s="24"/>
      <c r="N61" s="24"/>
      <c r="O61" s="24"/>
      <c r="P61" s="24"/>
      <c r="Q61" s="24"/>
      <c r="R61" s="24"/>
      <c r="S61" s="24"/>
      <c r="T61" s="24"/>
      <c r="U61" s="24"/>
      <c r="V61" s="24"/>
      <c r="W61" s="24"/>
      <c r="X61" s="24"/>
    </row>
    <row r="62" spans="1:24" ht="13.8">
      <c r="A62" s="24"/>
      <c r="B62" s="24"/>
      <c r="C62" s="24"/>
      <c r="D62" s="24"/>
      <c r="E62" s="24"/>
      <c r="F62" s="24"/>
      <c r="G62" s="24"/>
      <c r="H62" s="24"/>
      <c r="I62" s="24"/>
      <c r="J62" s="24"/>
      <c r="K62" s="24"/>
      <c r="L62" s="24"/>
      <c r="M62" s="24"/>
      <c r="N62" s="24"/>
      <c r="O62" s="24"/>
      <c r="P62" s="24"/>
      <c r="Q62" s="24"/>
      <c r="R62" s="24"/>
      <c r="S62" s="24"/>
      <c r="T62" s="24"/>
      <c r="U62" s="24"/>
      <c r="V62" s="24"/>
      <c r="W62" s="24"/>
      <c r="X62" s="24"/>
    </row>
    <row r="63" spans="1:24" ht="13.8">
      <c r="A63" s="24"/>
      <c r="B63" s="24"/>
      <c r="C63" s="24"/>
      <c r="D63" s="24"/>
      <c r="E63" s="24"/>
      <c r="F63" s="24"/>
      <c r="G63" s="24"/>
      <c r="H63" s="24"/>
      <c r="I63" s="24"/>
      <c r="J63" s="24"/>
      <c r="K63" s="24"/>
      <c r="L63" s="24"/>
      <c r="M63" s="24"/>
      <c r="N63" s="24"/>
      <c r="O63" s="24"/>
      <c r="P63" s="24"/>
      <c r="Q63" s="24"/>
      <c r="R63" s="24"/>
      <c r="S63" s="24"/>
      <c r="T63" s="24"/>
      <c r="U63" s="24"/>
      <c r="V63" s="24"/>
      <c r="W63" s="24"/>
      <c r="X63" s="24"/>
    </row>
    <row r="64" spans="1:24" ht="13.8">
      <c r="A64" s="24"/>
      <c r="B64" s="24"/>
      <c r="C64" s="24"/>
      <c r="D64" s="24"/>
      <c r="E64" s="24"/>
      <c r="F64" s="24"/>
      <c r="G64" s="24"/>
      <c r="H64" s="24"/>
      <c r="I64" s="24"/>
      <c r="J64" s="24"/>
      <c r="K64" s="24"/>
      <c r="L64" s="24"/>
      <c r="M64" s="24"/>
      <c r="N64" s="24"/>
      <c r="O64" s="24"/>
      <c r="P64" s="24"/>
      <c r="Q64" s="24"/>
      <c r="R64" s="24"/>
      <c r="S64" s="24"/>
      <c r="T64" s="24"/>
      <c r="U64" s="24"/>
      <c r="V64" s="24"/>
      <c r="W64" s="24"/>
      <c r="X64" s="24"/>
    </row>
    <row r="65" spans="1:24" ht="13.8">
      <c r="A65" s="24"/>
      <c r="B65" s="24"/>
      <c r="C65" s="24"/>
      <c r="D65" s="24"/>
      <c r="E65" s="24"/>
      <c r="F65" s="24"/>
      <c r="G65" s="24"/>
      <c r="H65" s="24"/>
      <c r="I65" s="24"/>
      <c r="J65" s="24"/>
      <c r="K65" s="24"/>
      <c r="L65" s="24"/>
      <c r="M65" s="24"/>
      <c r="N65" s="24"/>
      <c r="O65" s="24"/>
      <c r="P65" s="24"/>
      <c r="Q65" s="24"/>
      <c r="R65" s="24"/>
      <c r="S65" s="24"/>
      <c r="T65" s="24"/>
      <c r="U65" s="24"/>
      <c r="V65" s="24"/>
      <c r="W65" s="24"/>
      <c r="X65" s="24"/>
    </row>
    <row r="66" spans="1:24" ht="13.8">
      <c r="A66" s="24"/>
      <c r="B66" s="24"/>
      <c r="C66" s="24"/>
      <c r="D66" s="24"/>
      <c r="E66" s="24"/>
      <c r="F66" s="24"/>
      <c r="G66" s="24"/>
      <c r="H66" s="24"/>
      <c r="I66" s="24"/>
      <c r="J66" s="24"/>
      <c r="K66" s="24"/>
      <c r="L66" s="24"/>
      <c r="M66" s="24"/>
      <c r="N66" s="24"/>
      <c r="O66" s="24"/>
      <c r="P66" s="24"/>
      <c r="Q66" s="24"/>
      <c r="R66" s="24"/>
      <c r="S66" s="24"/>
      <c r="T66" s="24"/>
      <c r="U66" s="24"/>
      <c r="V66" s="24"/>
      <c r="W66" s="24"/>
      <c r="X66" s="24"/>
    </row>
    <row r="67" spans="1:24" ht="13.8">
      <c r="A67" s="24"/>
      <c r="B67" s="24"/>
      <c r="C67" s="24"/>
      <c r="D67" s="24"/>
      <c r="E67" s="24"/>
      <c r="F67" s="24"/>
      <c r="G67" s="24"/>
      <c r="H67" s="24"/>
      <c r="I67" s="24"/>
      <c r="J67" s="24"/>
      <c r="K67" s="24"/>
      <c r="L67" s="24"/>
      <c r="M67" s="24"/>
      <c r="N67" s="24"/>
      <c r="O67" s="24"/>
      <c r="P67" s="24"/>
      <c r="Q67" s="24"/>
      <c r="R67" s="24"/>
      <c r="S67" s="24"/>
      <c r="T67" s="24"/>
      <c r="U67" s="24"/>
      <c r="V67" s="24"/>
      <c r="W67" s="24"/>
      <c r="X67" s="24"/>
    </row>
    <row r="68" spans="1:24" ht="13.8">
      <c r="A68" s="24"/>
      <c r="B68" s="24"/>
      <c r="C68" s="24"/>
      <c r="D68" s="24"/>
      <c r="E68" s="24"/>
      <c r="F68" s="24"/>
      <c r="G68" s="24"/>
      <c r="H68" s="24"/>
      <c r="I68" s="24"/>
      <c r="J68" s="24"/>
      <c r="K68" s="24"/>
      <c r="L68" s="24"/>
      <c r="M68" s="24"/>
      <c r="N68" s="24"/>
      <c r="O68" s="24"/>
      <c r="P68" s="24"/>
      <c r="Q68" s="24"/>
      <c r="R68" s="24"/>
      <c r="S68" s="24"/>
      <c r="T68" s="24"/>
      <c r="U68" s="24"/>
      <c r="V68" s="24"/>
      <c r="W68" s="24"/>
      <c r="X68" s="24"/>
    </row>
    <row r="69" spans="1:24" ht="13.8">
      <c r="A69" s="24"/>
      <c r="B69" s="24"/>
      <c r="C69" s="24"/>
      <c r="D69" s="24"/>
      <c r="E69" s="24"/>
      <c r="F69" s="24"/>
      <c r="G69" s="24"/>
      <c r="H69" s="24"/>
      <c r="I69" s="24"/>
      <c r="J69" s="24"/>
      <c r="K69" s="24"/>
      <c r="L69" s="24"/>
      <c r="M69" s="24"/>
      <c r="N69" s="24"/>
      <c r="O69" s="24"/>
      <c r="P69" s="24"/>
      <c r="Q69" s="24"/>
      <c r="R69" s="24"/>
      <c r="S69" s="24"/>
      <c r="T69" s="24"/>
      <c r="U69" s="24"/>
      <c r="V69" s="24"/>
      <c r="W69" s="24"/>
      <c r="X69" s="24"/>
    </row>
    <row r="70" spans="1:24" ht="13.8">
      <c r="A70" s="24"/>
      <c r="B70" s="24"/>
      <c r="C70" s="24"/>
      <c r="D70" s="24"/>
      <c r="E70" s="24"/>
      <c r="F70" s="24"/>
      <c r="G70" s="24"/>
      <c r="H70" s="24"/>
      <c r="I70" s="24"/>
      <c r="J70" s="24"/>
      <c r="K70" s="24"/>
      <c r="L70" s="24"/>
      <c r="M70" s="24"/>
      <c r="N70" s="24"/>
      <c r="O70" s="24"/>
      <c r="P70" s="24"/>
      <c r="Q70" s="24"/>
      <c r="R70" s="24"/>
      <c r="S70" s="24"/>
      <c r="T70" s="24"/>
      <c r="U70" s="24"/>
      <c r="V70" s="24"/>
      <c r="W70" s="24"/>
      <c r="X70" s="24"/>
    </row>
    <row r="71" spans="1:24" ht="13.8">
      <c r="A71" s="24"/>
      <c r="B71" s="24"/>
      <c r="C71" s="24"/>
      <c r="D71" s="24"/>
      <c r="E71" s="24"/>
      <c r="F71" s="24"/>
      <c r="G71" s="24"/>
      <c r="H71" s="24"/>
      <c r="I71" s="24"/>
      <c r="J71" s="24"/>
      <c r="K71" s="24"/>
      <c r="L71" s="24"/>
      <c r="M71" s="24"/>
      <c r="N71" s="24"/>
      <c r="O71" s="24"/>
      <c r="P71" s="24"/>
      <c r="Q71" s="24"/>
      <c r="R71" s="24"/>
      <c r="S71" s="24"/>
      <c r="T71" s="24"/>
      <c r="U71" s="24"/>
      <c r="V71" s="24"/>
      <c r="W71" s="24"/>
      <c r="X71" s="24"/>
    </row>
    <row r="72" spans="1:24" ht="13.8">
      <c r="A72" s="24"/>
      <c r="B72" s="24"/>
      <c r="C72" s="24"/>
      <c r="D72" s="24"/>
      <c r="E72" s="24"/>
      <c r="F72" s="24"/>
      <c r="G72" s="24"/>
      <c r="H72" s="24"/>
      <c r="I72" s="24"/>
      <c r="J72" s="24"/>
      <c r="K72" s="24"/>
      <c r="L72" s="24"/>
      <c r="M72" s="24"/>
      <c r="N72" s="24"/>
      <c r="O72" s="24"/>
      <c r="P72" s="24"/>
      <c r="Q72" s="24"/>
      <c r="R72" s="24"/>
      <c r="S72" s="24"/>
      <c r="T72" s="24"/>
      <c r="U72" s="24"/>
      <c r="V72" s="24"/>
      <c r="W72" s="24"/>
      <c r="X72" s="24"/>
    </row>
    <row r="73" spans="1:24" ht="13.8">
      <c r="A73" s="24"/>
      <c r="B73" s="24"/>
      <c r="C73" s="24"/>
      <c r="D73" s="24"/>
      <c r="E73" s="24"/>
      <c r="F73" s="24"/>
      <c r="G73" s="24"/>
      <c r="H73" s="24"/>
      <c r="I73" s="24"/>
      <c r="J73" s="24"/>
      <c r="K73" s="24"/>
      <c r="L73" s="24"/>
      <c r="M73" s="24"/>
      <c r="N73" s="24"/>
      <c r="O73" s="24"/>
      <c r="P73" s="24"/>
      <c r="Q73" s="24"/>
      <c r="R73" s="24"/>
      <c r="S73" s="24"/>
      <c r="T73" s="24"/>
      <c r="U73" s="24"/>
      <c r="V73" s="24"/>
      <c r="W73" s="24"/>
      <c r="X73" s="24"/>
    </row>
    <row r="74" spans="1:24" ht="13.8">
      <c r="A74" s="24"/>
      <c r="B74" s="24"/>
      <c r="C74" s="24"/>
      <c r="D74" s="24"/>
      <c r="E74" s="24"/>
      <c r="F74" s="24"/>
      <c r="G74" s="24"/>
      <c r="H74" s="24"/>
      <c r="I74" s="24"/>
      <c r="J74" s="24"/>
      <c r="K74" s="24"/>
      <c r="L74" s="24"/>
      <c r="M74" s="24"/>
      <c r="N74" s="24"/>
      <c r="O74" s="24"/>
      <c r="P74" s="24"/>
      <c r="Q74" s="24"/>
      <c r="R74" s="24"/>
      <c r="S74" s="24"/>
      <c r="T74" s="24"/>
      <c r="U74" s="24"/>
      <c r="V74" s="24"/>
      <c r="W74" s="24"/>
      <c r="X74" s="24"/>
    </row>
    <row r="75" spans="1:24" ht="13.8">
      <c r="A75" s="24"/>
      <c r="B75" s="24"/>
      <c r="C75" s="24"/>
      <c r="D75" s="24"/>
      <c r="E75" s="24"/>
      <c r="F75" s="24"/>
      <c r="G75" s="24"/>
      <c r="H75" s="24"/>
      <c r="I75" s="24"/>
      <c r="J75" s="24"/>
      <c r="K75" s="24"/>
      <c r="L75" s="24"/>
      <c r="M75" s="24"/>
      <c r="N75" s="24"/>
      <c r="O75" s="24"/>
      <c r="P75" s="24"/>
      <c r="Q75" s="24"/>
      <c r="R75" s="24"/>
      <c r="S75" s="24"/>
      <c r="T75" s="24"/>
      <c r="U75" s="24"/>
      <c r="V75" s="24"/>
      <c r="W75" s="24"/>
      <c r="X75" s="24"/>
    </row>
    <row r="76" spans="1:24" ht="13.8">
      <c r="A76" s="24"/>
      <c r="B76" s="24"/>
      <c r="C76" s="24"/>
      <c r="D76" s="24"/>
      <c r="E76" s="24"/>
      <c r="F76" s="24"/>
      <c r="G76" s="24"/>
      <c r="H76" s="24"/>
      <c r="I76" s="24"/>
      <c r="J76" s="24"/>
      <c r="K76" s="24"/>
      <c r="L76" s="24"/>
      <c r="M76" s="24"/>
      <c r="N76" s="24"/>
      <c r="O76" s="24"/>
      <c r="P76" s="24"/>
      <c r="Q76" s="24"/>
      <c r="R76" s="24"/>
      <c r="S76" s="24"/>
      <c r="T76" s="24"/>
      <c r="U76" s="24"/>
      <c r="V76" s="24"/>
      <c r="W76" s="24"/>
      <c r="X76" s="24"/>
    </row>
    <row r="77" spans="1:24" ht="13.8">
      <c r="A77" s="24"/>
      <c r="B77" s="24"/>
      <c r="C77" s="24"/>
      <c r="D77" s="24"/>
      <c r="E77" s="24"/>
      <c r="F77" s="24"/>
      <c r="G77" s="24"/>
      <c r="H77" s="24"/>
      <c r="I77" s="24"/>
      <c r="J77" s="24"/>
      <c r="K77" s="24"/>
      <c r="L77" s="24"/>
      <c r="M77" s="24"/>
      <c r="N77" s="24"/>
      <c r="O77" s="24"/>
      <c r="P77" s="24"/>
      <c r="Q77" s="24"/>
      <c r="R77" s="24"/>
      <c r="S77" s="24"/>
      <c r="T77" s="24"/>
      <c r="U77" s="24"/>
      <c r="V77" s="24"/>
      <c r="W77" s="24"/>
      <c r="X77" s="24"/>
    </row>
    <row r="78" spans="1:24" ht="13.8">
      <c r="A78" s="24"/>
      <c r="B78" s="24"/>
      <c r="C78" s="24"/>
      <c r="D78" s="24"/>
      <c r="E78" s="24"/>
      <c r="F78" s="24"/>
      <c r="G78" s="24"/>
      <c r="H78" s="24"/>
      <c r="I78" s="24"/>
      <c r="J78" s="24"/>
      <c r="K78" s="24"/>
      <c r="L78" s="24"/>
      <c r="M78" s="24"/>
      <c r="N78" s="24"/>
      <c r="O78" s="24"/>
      <c r="P78" s="24"/>
      <c r="Q78" s="24"/>
      <c r="R78" s="24"/>
      <c r="S78" s="24"/>
      <c r="T78" s="24"/>
      <c r="U78" s="24"/>
      <c r="V78" s="24"/>
      <c r="W78" s="24"/>
      <c r="X78" s="24"/>
    </row>
    <row r="79" spans="1:24" ht="13.8">
      <c r="A79" s="24"/>
      <c r="B79" s="24"/>
      <c r="C79" s="24"/>
      <c r="D79" s="24"/>
      <c r="E79" s="24"/>
      <c r="F79" s="24"/>
      <c r="G79" s="24"/>
      <c r="H79" s="24"/>
      <c r="I79" s="24"/>
      <c r="J79" s="24"/>
      <c r="K79" s="24"/>
      <c r="L79" s="24"/>
      <c r="M79" s="24"/>
      <c r="N79" s="24"/>
      <c r="O79" s="24"/>
      <c r="P79" s="24"/>
      <c r="Q79" s="24"/>
      <c r="R79" s="24"/>
      <c r="S79" s="24"/>
      <c r="T79" s="24"/>
      <c r="U79" s="24"/>
      <c r="V79" s="24"/>
      <c r="W79" s="24"/>
      <c r="X79" s="24"/>
    </row>
    <row r="80" spans="1:24" ht="13.8">
      <c r="A80" s="24"/>
      <c r="B80" s="24"/>
      <c r="C80" s="24"/>
      <c r="D80" s="24"/>
      <c r="E80" s="24"/>
      <c r="F80" s="24"/>
      <c r="G80" s="24"/>
      <c r="H80" s="24"/>
      <c r="I80" s="24"/>
      <c r="J80" s="24"/>
      <c r="K80" s="24"/>
      <c r="L80" s="24"/>
      <c r="M80" s="24"/>
      <c r="N80" s="24"/>
      <c r="O80" s="24"/>
      <c r="P80" s="24"/>
      <c r="Q80" s="24"/>
      <c r="R80" s="24"/>
      <c r="S80" s="24"/>
      <c r="T80" s="24"/>
      <c r="U80" s="24"/>
      <c r="V80" s="24"/>
      <c r="W80" s="24"/>
      <c r="X80" s="24"/>
    </row>
    <row r="81" spans="1:24" ht="13.8">
      <c r="A81" s="24"/>
      <c r="B81" s="24"/>
      <c r="C81" s="24"/>
      <c r="D81" s="24"/>
      <c r="E81" s="24"/>
      <c r="F81" s="24"/>
      <c r="G81" s="24"/>
      <c r="H81" s="24"/>
      <c r="I81" s="24"/>
      <c r="J81" s="24"/>
      <c r="K81" s="24"/>
      <c r="L81" s="24"/>
      <c r="M81" s="24"/>
      <c r="N81" s="24"/>
      <c r="O81" s="24"/>
      <c r="P81" s="24"/>
      <c r="Q81" s="24"/>
      <c r="R81" s="24"/>
      <c r="S81" s="24"/>
      <c r="T81" s="24"/>
      <c r="U81" s="24"/>
      <c r="V81" s="24"/>
      <c r="W81" s="24"/>
      <c r="X81" s="24"/>
    </row>
    <row r="82" spans="1:24" ht="13.8">
      <c r="A82" s="24"/>
      <c r="B82" s="24"/>
      <c r="C82" s="24"/>
      <c r="D82" s="24"/>
      <c r="E82" s="24"/>
      <c r="F82" s="24"/>
      <c r="G82" s="24"/>
      <c r="H82" s="24"/>
      <c r="I82" s="24"/>
      <c r="J82" s="24"/>
      <c r="K82" s="24"/>
      <c r="L82" s="24"/>
      <c r="M82" s="24"/>
      <c r="N82" s="24"/>
      <c r="O82" s="24"/>
      <c r="P82" s="24"/>
      <c r="Q82" s="24"/>
      <c r="R82" s="24"/>
      <c r="S82" s="24"/>
      <c r="T82" s="24"/>
      <c r="U82" s="24"/>
      <c r="V82" s="24"/>
      <c r="W82" s="24"/>
      <c r="X82" s="24"/>
    </row>
    <row r="83" spans="1:24" ht="13.8">
      <c r="A83" s="24"/>
      <c r="B83" s="24"/>
      <c r="C83" s="24"/>
      <c r="D83" s="24"/>
      <c r="E83" s="24"/>
      <c r="F83" s="24"/>
      <c r="G83" s="24"/>
      <c r="H83" s="24"/>
      <c r="I83" s="24"/>
      <c r="J83" s="24"/>
      <c r="K83" s="24"/>
      <c r="L83" s="24"/>
      <c r="M83" s="24"/>
      <c r="N83" s="24"/>
      <c r="O83" s="24"/>
      <c r="P83" s="24"/>
      <c r="Q83" s="24"/>
      <c r="R83" s="24"/>
      <c r="S83" s="24"/>
      <c r="T83" s="24"/>
      <c r="U83" s="24"/>
      <c r="V83" s="24"/>
      <c r="W83" s="24"/>
      <c r="X83" s="24"/>
    </row>
    <row r="84" spans="1:24" ht="13.8">
      <c r="A84" s="24"/>
      <c r="B84" s="24"/>
      <c r="C84" s="24"/>
      <c r="D84" s="24"/>
      <c r="E84" s="24"/>
      <c r="F84" s="24"/>
      <c r="G84" s="24"/>
      <c r="H84" s="24"/>
      <c r="I84" s="24"/>
      <c r="J84" s="24"/>
      <c r="K84" s="24"/>
      <c r="L84" s="24"/>
      <c r="M84" s="24"/>
      <c r="N84" s="24"/>
      <c r="O84" s="24"/>
      <c r="P84" s="24"/>
      <c r="Q84" s="24"/>
      <c r="R84" s="24"/>
      <c r="S84" s="24"/>
      <c r="T84" s="24"/>
      <c r="U84" s="24"/>
      <c r="V84" s="24"/>
      <c r="W84" s="24"/>
      <c r="X84" s="24"/>
    </row>
    <row r="85" spans="1:24" ht="13.8">
      <c r="A85" s="24"/>
      <c r="B85" s="24"/>
      <c r="C85" s="24"/>
      <c r="D85" s="24"/>
      <c r="E85" s="24"/>
      <c r="F85" s="24"/>
      <c r="G85" s="24"/>
      <c r="H85" s="24"/>
      <c r="I85" s="24"/>
      <c r="J85" s="24"/>
      <c r="K85" s="24"/>
      <c r="L85" s="24"/>
      <c r="M85" s="24"/>
      <c r="N85" s="24"/>
      <c r="O85" s="24"/>
      <c r="P85" s="24"/>
      <c r="Q85" s="24"/>
      <c r="R85" s="24"/>
      <c r="S85" s="24"/>
      <c r="T85" s="24"/>
      <c r="U85" s="24"/>
      <c r="V85" s="24"/>
      <c r="W85" s="24"/>
      <c r="X85" s="24"/>
    </row>
    <row r="86" spans="1:24" ht="13.8">
      <c r="A86" s="24"/>
      <c r="B86" s="24"/>
      <c r="C86" s="24"/>
      <c r="D86" s="24"/>
      <c r="E86" s="24"/>
      <c r="F86" s="24"/>
      <c r="G86" s="24"/>
      <c r="H86" s="24"/>
      <c r="I86" s="24"/>
      <c r="J86" s="24"/>
      <c r="K86" s="24"/>
      <c r="L86" s="24"/>
      <c r="M86" s="24"/>
      <c r="N86" s="24"/>
      <c r="O86" s="24"/>
      <c r="P86" s="24"/>
      <c r="Q86" s="24"/>
      <c r="R86" s="24"/>
      <c r="S86" s="24"/>
      <c r="T86" s="24"/>
      <c r="U86" s="24"/>
      <c r="V86" s="24"/>
      <c r="W86" s="24"/>
      <c r="X86" s="24"/>
    </row>
    <row r="87" spans="1:24" ht="13.8">
      <c r="A87" s="24"/>
      <c r="B87" s="24"/>
      <c r="C87" s="24"/>
      <c r="D87" s="24"/>
      <c r="E87" s="24"/>
      <c r="F87" s="24"/>
      <c r="G87" s="24"/>
      <c r="H87" s="24"/>
      <c r="I87" s="24"/>
      <c r="J87" s="24"/>
      <c r="K87" s="24"/>
      <c r="L87" s="24"/>
      <c r="M87" s="24"/>
      <c r="N87" s="24"/>
      <c r="O87" s="24"/>
      <c r="P87" s="24"/>
      <c r="Q87" s="24"/>
      <c r="R87" s="24"/>
      <c r="S87" s="24"/>
      <c r="T87" s="24"/>
      <c r="U87" s="24"/>
      <c r="V87" s="24"/>
      <c r="W87" s="24"/>
      <c r="X87" s="24"/>
    </row>
    <row r="88" spans="1:24" ht="13.8">
      <c r="A88" s="24"/>
      <c r="B88" s="24"/>
      <c r="C88" s="24"/>
      <c r="D88" s="24"/>
      <c r="E88" s="24"/>
      <c r="F88" s="24"/>
      <c r="G88" s="24"/>
      <c r="H88" s="24"/>
      <c r="I88" s="24"/>
      <c r="J88" s="24"/>
      <c r="K88" s="24"/>
      <c r="L88" s="24"/>
      <c r="M88" s="24"/>
      <c r="N88" s="24"/>
      <c r="O88" s="24"/>
      <c r="P88" s="24"/>
      <c r="Q88" s="24"/>
      <c r="R88" s="24"/>
      <c r="S88" s="24"/>
      <c r="T88" s="24"/>
      <c r="U88" s="24"/>
      <c r="V88" s="24"/>
      <c r="W88" s="24"/>
      <c r="X88" s="24"/>
    </row>
    <row r="89" spans="1:24" ht="13.8">
      <c r="A89" s="24"/>
      <c r="B89" s="24"/>
      <c r="C89" s="24"/>
      <c r="D89" s="24"/>
      <c r="E89" s="24"/>
      <c r="F89" s="24"/>
      <c r="G89" s="24"/>
      <c r="H89" s="24"/>
      <c r="I89" s="24"/>
      <c r="J89" s="24"/>
      <c r="K89" s="24"/>
      <c r="L89" s="24"/>
      <c r="M89" s="24"/>
      <c r="N89" s="24"/>
      <c r="O89" s="24"/>
      <c r="P89" s="24"/>
      <c r="Q89" s="24"/>
      <c r="R89" s="24"/>
      <c r="S89" s="24"/>
      <c r="T89" s="24"/>
      <c r="U89" s="24"/>
      <c r="V89" s="24"/>
      <c r="W89" s="24"/>
      <c r="X89" s="24"/>
    </row>
    <row r="90" spans="1:24" ht="13.8">
      <c r="A90" s="24"/>
      <c r="B90" s="24"/>
      <c r="C90" s="24"/>
      <c r="D90" s="24"/>
      <c r="E90" s="24"/>
      <c r="F90" s="24"/>
      <c r="G90" s="24"/>
      <c r="H90" s="24"/>
      <c r="I90" s="24"/>
      <c r="J90" s="24"/>
      <c r="K90" s="24"/>
      <c r="L90" s="24"/>
      <c r="M90" s="24"/>
      <c r="N90" s="24"/>
      <c r="O90" s="24"/>
      <c r="P90" s="24"/>
      <c r="Q90" s="24"/>
      <c r="R90" s="24"/>
      <c r="S90" s="24"/>
      <c r="T90" s="24"/>
      <c r="U90" s="24"/>
      <c r="V90" s="24"/>
      <c r="W90" s="24"/>
      <c r="X90" s="24"/>
    </row>
    <row r="91" spans="1:24" ht="13.8">
      <c r="A91" s="24"/>
      <c r="B91" s="24"/>
      <c r="C91" s="24"/>
      <c r="D91" s="24"/>
      <c r="E91" s="24"/>
      <c r="F91" s="24"/>
      <c r="G91" s="24"/>
      <c r="H91" s="24"/>
      <c r="I91" s="24"/>
      <c r="J91" s="24"/>
      <c r="K91" s="24"/>
      <c r="L91" s="24"/>
      <c r="M91" s="24"/>
      <c r="N91" s="24"/>
      <c r="O91" s="24"/>
      <c r="P91" s="24"/>
      <c r="Q91" s="24"/>
      <c r="R91" s="24"/>
      <c r="S91" s="24"/>
      <c r="T91" s="24"/>
      <c r="U91" s="24"/>
      <c r="V91" s="24"/>
      <c r="W91" s="24"/>
      <c r="X91" s="24"/>
    </row>
    <row r="92" spans="1:24" ht="13.8">
      <c r="A92" s="24"/>
      <c r="B92" s="24"/>
      <c r="C92" s="24"/>
      <c r="D92" s="24"/>
      <c r="E92" s="24"/>
      <c r="F92" s="24"/>
      <c r="G92" s="24"/>
      <c r="H92" s="24"/>
      <c r="I92" s="24"/>
      <c r="J92" s="24"/>
      <c r="K92" s="24"/>
      <c r="L92" s="24"/>
      <c r="M92" s="24"/>
      <c r="N92" s="24"/>
      <c r="O92" s="24"/>
      <c r="P92" s="24"/>
      <c r="Q92" s="24"/>
      <c r="R92" s="24"/>
      <c r="S92" s="24"/>
      <c r="T92" s="24"/>
      <c r="U92" s="24"/>
      <c r="V92" s="24"/>
      <c r="W92" s="24"/>
      <c r="X92" s="24"/>
    </row>
    <row r="93" spans="1:24" ht="13.8">
      <c r="A93" s="24"/>
      <c r="B93" s="24"/>
      <c r="C93" s="24"/>
      <c r="D93" s="24"/>
      <c r="E93" s="24"/>
      <c r="F93" s="24"/>
      <c r="G93" s="24"/>
      <c r="H93" s="24"/>
      <c r="I93" s="24"/>
      <c r="J93" s="24"/>
      <c r="K93" s="24"/>
      <c r="L93" s="24"/>
      <c r="M93" s="24"/>
      <c r="N93" s="24"/>
      <c r="O93" s="24"/>
      <c r="P93" s="24"/>
      <c r="Q93" s="24"/>
      <c r="R93" s="24"/>
      <c r="S93" s="24"/>
      <c r="T93" s="24"/>
      <c r="U93" s="24"/>
      <c r="V93" s="24"/>
      <c r="W93" s="24"/>
      <c r="X93" s="24"/>
    </row>
    <row r="94" spans="1:24" ht="13.8">
      <c r="A94" s="24"/>
      <c r="B94" s="24"/>
      <c r="C94" s="24"/>
      <c r="D94" s="24"/>
      <c r="E94" s="24"/>
      <c r="F94" s="24"/>
      <c r="G94" s="24"/>
      <c r="H94" s="24"/>
      <c r="I94" s="24"/>
      <c r="J94" s="24"/>
      <c r="K94" s="24"/>
      <c r="L94" s="24"/>
      <c r="M94" s="24"/>
      <c r="N94" s="24"/>
      <c r="O94" s="24"/>
      <c r="P94" s="24"/>
      <c r="Q94" s="24"/>
      <c r="R94" s="24"/>
      <c r="S94" s="24"/>
      <c r="T94" s="24"/>
      <c r="U94" s="24"/>
      <c r="V94" s="24"/>
      <c r="W94" s="24"/>
      <c r="X94" s="24"/>
    </row>
    <row r="95" spans="1:24" ht="13.8">
      <c r="A95" s="24"/>
      <c r="B95" s="24"/>
      <c r="C95" s="24"/>
      <c r="D95" s="24"/>
      <c r="E95" s="24"/>
      <c r="F95" s="24"/>
      <c r="G95" s="24"/>
      <c r="H95" s="24"/>
      <c r="I95" s="24"/>
      <c r="J95" s="24"/>
      <c r="K95" s="24"/>
      <c r="L95" s="24"/>
      <c r="M95" s="24"/>
      <c r="N95" s="24"/>
      <c r="O95" s="24"/>
      <c r="P95" s="24"/>
      <c r="Q95" s="24"/>
      <c r="R95" s="24"/>
      <c r="S95" s="24"/>
      <c r="T95" s="24"/>
      <c r="U95" s="24"/>
      <c r="V95" s="24"/>
      <c r="W95" s="24"/>
      <c r="X95" s="24"/>
    </row>
    <row r="96" spans="1:24" ht="13.8">
      <c r="A96" s="24"/>
      <c r="B96" s="24"/>
      <c r="C96" s="24"/>
      <c r="D96" s="24"/>
      <c r="E96" s="24"/>
      <c r="F96" s="24"/>
      <c r="G96" s="24"/>
      <c r="H96" s="24"/>
      <c r="I96" s="24"/>
      <c r="J96" s="24"/>
      <c r="K96" s="24"/>
      <c r="L96" s="24"/>
      <c r="M96" s="24"/>
      <c r="N96" s="24"/>
      <c r="O96" s="24"/>
      <c r="P96" s="24"/>
      <c r="Q96" s="24"/>
      <c r="R96" s="24"/>
      <c r="S96" s="24"/>
      <c r="T96" s="24"/>
      <c r="U96" s="24"/>
      <c r="V96" s="24"/>
      <c r="W96" s="24"/>
      <c r="X96" s="24"/>
    </row>
    <row r="97" spans="1:24" ht="13.8">
      <c r="A97" s="24"/>
      <c r="B97" s="24"/>
      <c r="C97" s="24"/>
      <c r="D97" s="24"/>
      <c r="E97" s="24"/>
      <c r="F97" s="24"/>
      <c r="G97" s="24"/>
      <c r="H97" s="24"/>
      <c r="I97" s="24"/>
      <c r="J97" s="24"/>
      <c r="K97" s="24"/>
      <c r="L97" s="24"/>
      <c r="M97" s="24"/>
      <c r="N97" s="24"/>
      <c r="O97" s="24"/>
      <c r="P97" s="24"/>
      <c r="Q97" s="24"/>
      <c r="R97" s="24"/>
      <c r="S97" s="24"/>
      <c r="T97" s="24"/>
      <c r="U97" s="24"/>
      <c r="V97" s="24"/>
      <c r="W97" s="24"/>
      <c r="X97" s="24"/>
    </row>
    <row r="98" spans="1:24" ht="13.8">
      <c r="A98" s="24"/>
      <c r="B98" s="24"/>
      <c r="C98" s="24"/>
      <c r="D98" s="24"/>
      <c r="E98" s="24"/>
      <c r="F98" s="24"/>
      <c r="G98" s="24"/>
      <c r="H98" s="24"/>
      <c r="I98" s="24"/>
      <c r="J98" s="24"/>
      <c r="K98" s="24"/>
      <c r="L98" s="24"/>
      <c r="M98" s="24"/>
      <c r="N98" s="24"/>
      <c r="O98" s="24"/>
      <c r="P98" s="24"/>
      <c r="Q98" s="24"/>
      <c r="R98" s="24"/>
      <c r="S98" s="24"/>
      <c r="T98" s="24"/>
      <c r="U98" s="24"/>
      <c r="V98" s="24"/>
      <c r="W98" s="24"/>
      <c r="X98" s="24"/>
    </row>
    <row r="99" spans="1:24" ht="13.8">
      <c r="A99" s="24"/>
      <c r="B99" s="24"/>
      <c r="C99" s="24"/>
      <c r="D99" s="24"/>
      <c r="E99" s="24"/>
      <c r="F99" s="24"/>
      <c r="G99" s="24"/>
      <c r="H99" s="24"/>
      <c r="I99" s="24"/>
      <c r="J99" s="24"/>
      <c r="K99" s="24"/>
      <c r="L99" s="24"/>
      <c r="M99" s="24"/>
      <c r="N99" s="24"/>
      <c r="O99" s="24"/>
      <c r="P99" s="24"/>
      <c r="Q99" s="24"/>
      <c r="R99" s="24"/>
      <c r="S99" s="24"/>
      <c r="T99" s="24"/>
      <c r="U99" s="24"/>
      <c r="V99" s="24"/>
      <c r="W99" s="24"/>
      <c r="X99" s="24"/>
    </row>
    <row r="100" spans="1:24" ht="13.8">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spans="1:24" ht="13.8">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spans="1:24" ht="13.8">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spans="1:24" ht="13.8">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spans="1:24" ht="13.8">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spans="1:24" ht="13.8">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spans="1:24" ht="13.8">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spans="1:24" ht="13.8">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spans="1:24" ht="13.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spans="1:24" ht="13.8">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spans="1:24" ht="13.8">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spans="1:24" ht="13.8">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spans="1:24" ht="13.8">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spans="1:24" ht="13.8">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spans="1:24" ht="13.8">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spans="1:24" ht="13.8">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spans="1:24" ht="13.8">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spans="1:24" ht="13.8">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spans="1:24" ht="13.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spans="1:24" ht="13.8">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spans="1:24" ht="13.8">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spans="1:24" ht="13.8">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spans="1:24" ht="13.8">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spans="1:24" ht="13.8">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spans="1:24" ht="13.8">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spans="1:24" ht="13.8">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spans="1:24" ht="13.8">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spans="1:24" ht="13.8">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spans="1:24" ht="13.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spans="1:24" ht="13.8">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spans="1:24" ht="13.8">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spans="1:24" ht="13.8">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spans="1:24" ht="13.8">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spans="1:24" ht="13.8">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spans="1:24" ht="13.8">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spans="1:24" ht="13.8">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spans="1:24" ht="13.8">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spans="1:24" ht="13.8">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spans="1:24" ht="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spans="1:24" ht="13.8">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spans="1:24" ht="13.8">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spans="1:24" ht="13.8">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spans="1:24" ht="13.8">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spans="1:24" ht="13.8">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row r="144" spans="1:24" ht="13.8">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row>
    <row r="145" spans="1:24" ht="13.8">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row>
    <row r="146" spans="1:24" ht="13.8">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row>
    <row r="147" spans="1:24" ht="13.8">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row>
    <row r="148" spans="1:24" ht="13.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row>
    <row r="149" spans="1:24" ht="13.8">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row>
    <row r="150" spans="1:24" ht="13.8">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row>
    <row r="151" spans="1:24" ht="13.8">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row>
    <row r="152" spans="1:24" ht="13.8">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row>
    <row r="153" spans="1:24" ht="13.8">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row>
    <row r="154" spans="1:24" ht="13.8">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row>
    <row r="155" spans="1:24" ht="13.8">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row>
    <row r="156" spans="1:24" ht="13.8">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row>
    <row r="157" spans="1:24" ht="13.8">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row>
    <row r="158" spans="1:24" ht="13.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row>
    <row r="159" spans="1:24" ht="13.8">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row>
    <row r="160" spans="1:24" ht="13.8">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row>
    <row r="161" spans="1:24" ht="13.8">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row>
    <row r="162" spans="1:24" ht="13.8">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row>
    <row r="163" spans="1:24" ht="13.8">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row>
    <row r="164" spans="1:24" ht="13.8">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row>
    <row r="165" spans="1:24" ht="13.8">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row>
    <row r="166" spans="1:24" ht="13.8">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row>
    <row r="167" spans="1:24" ht="13.8">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row>
    <row r="168" spans="1:24" ht="13.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row>
    <row r="169" spans="1:24" ht="13.8">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row>
    <row r="170" spans="1:24" ht="13.8">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row>
    <row r="171" spans="1:24" ht="13.8">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row>
    <row r="172" spans="1:24" ht="13.8">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row>
    <row r="173" spans="1:24" ht="13.8">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row>
    <row r="174" spans="1:24" ht="13.8">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5" spans="1:24" ht="13.8">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row>
    <row r="176" spans="1:24" ht="13.8">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row>
    <row r="177" spans="1:24" ht="13.8">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row>
    <row r="178" spans="1:24" ht="13.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row>
    <row r="179" spans="1:24" ht="13.8">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row>
    <row r="180" spans="1:24" ht="13.8">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row>
    <row r="181" spans="1:24" ht="13.8">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row>
    <row r="182" spans="1:24" ht="13.8">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row>
    <row r="183" spans="1:24" ht="13.8">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row>
    <row r="184" spans="1:24" ht="13.8">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row>
    <row r="185" spans="1:24" ht="13.8">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row>
    <row r="186" spans="1:24" ht="13.8">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row>
    <row r="187" spans="1:24" ht="13.8">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row>
    <row r="188" spans="1:24" ht="13.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row>
    <row r="189" spans="1:24" ht="13.8">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row>
    <row r="190" spans="1:24" ht="13.8">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row>
    <row r="191" spans="1:24" ht="13.8">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row>
    <row r="192" spans="1:24" ht="13.8">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row>
    <row r="193" spans="1:24" ht="13.8">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row>
    <row r="194" spans="1:24" ht="13.8">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row>
    <row r="195" spans="1:24" ht="13.8">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row>
    <row r="196" spans="1:24" ht="13.8">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row>
    <row r="197" spans="1:24" ht="13.8">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row>
    <row r="198" spans="1:24" ht="13.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row>
    <row r="199" spans="1:24" ht="13.8">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row>
    <row r="200" spans="1:24" ht="13.8">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row>
    <row r="201" spans="1:24" ht="13.8">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row>
    <row r="202" spans="1:24" ht="13.8">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row>
    <row r="203" spans="1:24" ht="13.8">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row>
    <row r="204" spans="1:24" ht="13.8">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row>
    <row r="205" spans="1:24" ht="13.8">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row>
    <row r="206" spans="1:24" ht="13.8">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row>
    <row r="207" spans="1:24" ht="13.8">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row>
    <row r="208" spans="1:24" ht="13.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row>
    <row r="209" spans="1:24" ht="13.8">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row>
    <row r="210" spans="1:24" ht="13.8">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row>
    <row r="211" spans="1:24" ht="13.8">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row>
    <row r="212" spans="1:24" ht="13.8">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row>
    <row r="213" spans="1:24" ht="13.8">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row>
    <row r="214" spans="1:24" ht="13.8">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row>
    <row r="215" spans="1:24" ht="13.8">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row>
    <row r="216" spans="1:24" ht="13.8">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row>
    <row r="217" spans="1:24" ht="13.8">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row>
    <row r="218" spans="1:24" ht="13.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row>
    <row r="219" spans="1:24" ht="13.8">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row>
    <row r="220" spans="1:24" ht="13.8">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row>
    <row r="221" spans="1:24" ht="13.8">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row>
    <row r="222" spans="1:24" ht="13.8">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row>
    <row r="223" spans="1:24" ht="13.8">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row>
    <row r="224" spans="1:24" ht="13.8">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row>
    <row r="225" spans="1:24" ht="13.8">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row>
    <row r="226" spans="1:24" ht="13.8">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row>
    <row r="227" spans="1:24" ht="13.8">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row>
    <row r="228" spans="1:24" ht="13.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row>
    <row r="229" spans="1:24" ht="13.8">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row>
    <row r="230" spans="1:24" ht="13.8">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row>
    <row r="231" spans="1:24" ht="13.8">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row>
    <row r="232" spans="1:24" ht="13.8">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row>
    <row r="233" spans="1:24" ht="13.8">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row>
    <row r="234" spans="1:24" ht="13.8">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row>
    <row r="235" spans="1:24" ht="13.8">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row>
    <row r="236" spans="1:24" ht="13.8">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row>
    <row r="237" spans="1:24" ht="13.8">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row>
    <row r="238" spans="1:24" ht="1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row>
    <row r="239" spans="1:24" ht="13.8">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row>
    <row r="240" spans="1:24" ht="13.8">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row>
    <row r="241" spans="1:24" ht="13.8">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row>
    <row r="242" spans="1:24" ht="13.8">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row>
    <row r="243" spans="1:24" ht="13.8">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row>
    <row r="244" spans="1:24" ht="13.8">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row>
    <row r="245" spans="1:24" ht="13.8">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row>
    <row r="246" spans="1:24" ht="13.8">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row>
    <row r="247" spans="1:24" ht="13.8">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row>
    <row r="248" spans="1:24" ht="13.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row>
    <row r="249" spans="1:24" ht="13.8">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row>
    <row r="250" spans="1:24" ht="13.8">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row>
    <row r="251" spans="1:24" ht="13.8">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row>
    <row r="252" spans="1:24" ht="13.8">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row>
    <row r="253" spans="1:24" ht="13.8">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row>
    <row r="254" spans="1:24" ht="13.8">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row>
    <row r="255" spans="1:24" ht="13.8">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row>
    <row r="256" spans="1:24" ht="13.8">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row>
    <row r="257" spans="1:24" ht="13.8">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row>
    <row r="258" spans="1:24" ht="13.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row>
    <row r="259" spans="1:24" ht="13.8">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row>
    <row r="260" spans="1:24" ht="13.8">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row>
    <row r="261" spans="1:24" ht="13.8">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row>
    <row r="262" spans="1:24" ht="13.8">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row>
    <row r="263" spans="1:24" ht="13.8">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row>
    <row r="264" spans="1:24" ht="13.8">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row>
    <row r="265" spans="1:24" ht="13.8">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row>
    <row r="266" spans="1:24" ht="13.8">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row>
    <row r="267" spans="1:24" ht="13.8">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row>
    <row r="268" spans="1:24" ht="13.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row>
    <row r="269" spans="1:24" ht="13.8">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row>
    <row r="270" spans="1:24" ht="13.8">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row>
    <row r="271" spans="1:24" ht="13.8">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row>
    <row r="272" spans="1:24" ht="13.8">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row>
    <row r="273" spans="1:24" ht="13.8">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row>
    <row r="274" spans="1:24" ht="13.8">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row>
    <row r="275" spans="1:24" ht="13.8">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row>
    <row r="276" spans="1:24" ht="13.8">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row>
    <row r="277" spans="1:24" ht="13.8">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row>
    <row r="278" spans="1:24" ht="13.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row>
    <row r="279" spans="1:24" ht="13.8">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row>
    <row r="280" spans="1:24" ht="13.8">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row>
    <row r="281" spans="1:24" ht="13.8">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row>
    <row r="282" spans="1:24" ht="13.8">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row>
    <row r="283" spans="1:24" ht="13.8">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row>
    <row r="284" spans="1:24" ht="13.8">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row>
    <row r="285" spans="1:24" ht="13.8">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row>
    <row r="286" spans="1:24" ht="13.8">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row>
    <row r="287" spans="1:24" ht="13.8">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row>
    <row r="288" spans="1:24" ht="13.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row>
    <row r="289" spans="1:24" ht="13.8">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row>
    <row r="290" spans="1:24" ht="13.8">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row>
    <row r="291" spans="1:24" ht="13.8">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row>
    <row r="292" spans="1:24" ht="13.8">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row>
    <row r="293" spans="1:24" ht="13.8">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row>
    <row r="294" spans="1:24" ht="13.8">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row>
    <row r="295" spans="1:24" ht="13.8">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row>
    <row r="296" spans="1:24" ht="13.8">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row>
    <row r="297" spans="1:24" ht="13.8">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row>
    <row r="298" spans="1:24" ht="13.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row>
    <row r="299" spans="1:24" ht="13.8">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row>
    <row r="300" spans="1:24" ht="13.8">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row>
    <row r="301" spans="1:24" ht="13.8">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row>
    <row r="302" spans="1:24" ht="13.8">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row>
    <row r="303" spans="1:24" ht="13.8">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row>
    <row r="304" spans="1:24" ht="13.8">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row>
    <row r="305" spans="1:24" ht="13.8">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row>
    <row r="306" spans="1:24" ht="13.8">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row>
    <row r="307" spans="1:24" ht="13.8">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row>
    <row r="308" spans="1:24" ht="13.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row>
    <row r="309" spans="1:24" ht="13.8">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row>
    <row r="310" spans="1:24" ht="13.8">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row>
    <row r="311" spans="1:24" ht="13.8">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row>
    <row r="312" spans="1:24" ht="13.8">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row>
    <row r="313" spans="1:24" ht="13.8">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row>
    <row r="314" spans="1:24" ht="13.8">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row>
    <row r="315" spans="1:24" ht="13.8">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row>
    <row r="316" spans="1:24" ht="13.8">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row>
    <row r="317" spans="1:24" ht="13.8">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row>
    <row r="318" spans="1:24" ht="13.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row>
    <row r="319" spans="1:24" ht="13.8">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row>
    <row r="320" spans="1:24" ht="13.8">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row>
    <row r="321" spans="1:24" ht="13.8">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row>
    <row r="322" spans="1:24" ht="13.8">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row>
    <row r="323" spans="1:24" ht="13.8">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row>
    <row r="324" spans="1:24" ht="13.8">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row>
    <row r="325" spans="1:24" ht="13.8">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row>
    <row r="326" spans="1:24" ht="13.8">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row>
    <row r="327" spans="1:24" ht="13.8">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row>
    <row r="328" spans="1:24" ht="13.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row>
    <row r="329" spans="1:24" ht="13.8">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row>
    <row r="330" spans="1:24" ht="13.8">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row>
    <row r="331" spans="1:24" ht="13.8">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row>
    <row r="332" spans="1:24" ht="13.8">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row>
    <row r="333" spans="1:24" ht="13.8">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row>
    <row r="334" spans="1:24" ht="13.8">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row>
    <row r="335" spans="1:24" ht="13.8">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row>
    <row r="336" spans="1:24" ht="13.8">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row>
    <row r="337" spans="1:24" ht="13.8">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row>
    <row r="338" spans="1:24" ht="1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row>
    <row r="339" spans="1:24" ht="13.8">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row>
    <row r="340" spans="1:24" ht="13.8">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row>
    <row r="341" spans="1:24" ht="13.8">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row>
    <row r="342" spans="1:24" ht="13.8">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row>
    <row r="343" spans="1:24" ht="13.8">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row>
    <row r="344" spans="1:24" ht="13.8">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row>
    <row r="345" spans="1:24" ht="13.8">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row>
    <row r="346" spans="1:24" ht="13.8">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row>
    <row r="347" spans="1:24" ht="13.8">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row>
    <row r="348" spans="1:24" ht="13.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row>
    <row r="349" spans="1:24" ht="13.8">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row>
    <row r="350" spans="1:24" ht="13.8">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row>
    <row r="351" spans="1:24" ht="13.8">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row>
    <row r="352" spans="1:24" ht="13.8">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row>
    <row r="353" spans="1:24" ht="13.8">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row>
    <row r="354" spans="1:24" ht="13.8">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row>
    <row r="355" spans="1:24" ht="13.8">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row>
    <row r="356" spans="1:24" ht="13.8">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row>
    <row r="357" spans="1:24" ht="13.8">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row>
    <row r="358" spans="1:24" ht="13.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row>
    <row r="359" spans="1:24" ht="13.8">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row>
    <row r="360" spans="1:24" ht="13.8">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row>
    <row r="361" spans="1:24" ht="13.8">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row>
    <row r="362" spans="1:24" ht="13.8">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row>
    <row r="363" spans="1:24" ht="13.8">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row>
    <row r="364" spans="1:24" ht="13.8">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row>
    <row r="365" spans="1:24" ht="13.8">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row>
    <row r="366" spans="1:24" ht="13.8">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row>
    <row r="367" spans="1:24" ht="13.8">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row>
    <row r="368" spans="1:24" ht="13.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row>
    <row r="369" spans="1:24" ht="13.8">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row>
    <row r="370" spans="1:24" ht="13.8">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row>
    <row r="371" spans="1:24" ht="13.8">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row>
    <row r="372" spans="1:24" ht="13.8">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row>
    <row r="373" spans="1:24" ht="13.8">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row>
    <row r="374" spans="1:24" ht="13.8">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row>
    <row r="375" spans="1:24" ht="13.8">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row>
    <row r="376" spans="1:24" ht="13.8">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row>
    <row r="377" spans="1:24" ht="13.8">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row>
    <row r="378" spans="1:24" ht="13.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row>
    <row r="379" spans="1:24" ht="13.8">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row>
    <row r="380" spans="1:24" ht="13.8">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row>
    <row r="381" spans="1:24" ht="13.8">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row>
    <row r="382" spans="1:24" ht="13.8">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row>
    <row r="383" spans="1:24" ht="13.8">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row>
    <row r="384" spans="1:24" ht="13.8">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row>
    <row r="385" spans="1:24" ht="13.8">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row>
    <row r="386" spans="1:24" ht="13.8">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row>
    <row r="387" spans="1:24" ht="13.8">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row>
    <row r="388" spans="1:24" ht="13.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row>
    <row r="389" spans="1:24" ht="13.8">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row>
    <row r="390" spans="1:24" ht="13.8">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row>
    <row r="391" spans="1:24" ht="13.8">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row>
    <row r="392" spans="1:24" ht="13.8">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row>
    <row r="393" spans="1:24" ht="13.8">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row>
    <row r="394" spans="1:24" ht="13.8">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row>
    <row r="395" spans="1:24" ht="13.8">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row>
    <row r="396" spans="1:24" ht="13.8">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row>
    <row r="397" spans="1:24" ht="13.8">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row>
    <row r="398" spans="1:24" ht="13.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row>
    <row r="399" spans="1:24" ht="13.8">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row>
    <row r="400" spans="1:24" ht="13.8">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row>
    <row r="401" spans="1:24" ht="13.8">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row>
    <row r="402" spans="1:24" ht="13.8">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row>
    <row r="403" spans="1:24" ht="13.8">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row>
    <row r="404" spans="1:24" ht="13.8">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row>
    <row r="405" spans="1:24" ht="13.8">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row>
    <row r="406" spans="1:24" ht="13.8">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row>
    <row r="407" spans="1:24" ht="13.8">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row>
    <row r="408" spans="1:24" ht="13.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row>
    <row r="409" spans="1:24" ht="13.8">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row>
    <row r="410" spans="1:24" ht="13.8">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row>
    <row r="411" spans="1:24" ht="13.8">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row>
    <row r="412" spans="1:24" ht="13.8">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row>
    <row r="413" spans="1:24" ht="13.8">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row>
    <row r="414" spans="1:24" ht="13.8">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row>
    <row r="415" spans="1:24" ht="13.8">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row>
    <row r="416" spans="1:24" ht="13.8">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row>
    <row r="417" spans="1:24" ht="13.8">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row>
    <row r="418" spans="1:24" ht="13.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row>
    <row r="419" spans="1:24" ht="13.8">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row>
    <row r="420" spans="1:24" ht="13.8">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row>
    <row r="421" spans="1:24" ht="13.8">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row>
    <row r="422" spans="1:24" ht="13.8">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row>
    <row r="423" spans="1:24" ht="13.8">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row>
    <row r="424" spans="1:24" ht="13.8">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row>
    <row r="425" spans="1:24" ht="13.8">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row>
    <row r="426" spans="1:24" ht="13.8">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row>
    <row r="427" spans="1:24" ht="13.8">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row>
    <row r="428" spans="1:24" ht="13.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row>
    <row r="429" spans="1:24" ht="13.8">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row>
    <row r="430" spans="1:24" ht="13.8">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row>
    <row r="431" spans="1:24" ht="13.8">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row>
    <row r="432" spans="1:24" ht="13.8">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row>
    <row r="433" spans="1:24" ht="13.8">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row>
    <row r="434" spans="1:24" ht="13.8">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row>
    <row r="435" spans="1:24" ht="13.8">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row>
    <row r="436" spans="1:24" ht="13.8">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row>
    <row r="437" spans="1:24" ht="13.8">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row>
    <row r="438" spans="1:24" ht="1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row>
    <row r="439" spans="1:24" ht="13.8">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row>
    <row r="440" spans="1:24" ht="13.8">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row>
    <row r="441" spans="1:24" ht="13.8">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row>
    <row r="442" spans="1:24" ht="13.8">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row>
    <row r="443" spans="1:24" ht="13.8">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row>
    <row r="444" spans="1:24" ht="13.8">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row>
    <row r="445" spans="1:24" ht="13.8">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row>
    <row r="446" spans="1:24" ht="13.8">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row>
    <row r="447" spans="1:24" ht="13.8">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row>
    <row r="448" spans="1:24" ht="13.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row>
    <row r="449" spans="1:24" ht="13.8">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row>
    <row r="450" spans="1:24" ht="13.8">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row>
    <row r="451" spans="1:24" ht="13.8">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row>
    <row r="452" spans="1:24" ht="13.8">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row>
    <row r="453" spans="1:24" ht="13.8">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row>
    <row r="454" spans="1:24" ht="13.8">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row>
    <row r="455" spans="1:24" ht="13.8">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row>
    <row r="456" spans="1:24" ht="13.8">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row>
    <row r="457" spans="1:24" ht="13.8">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row>
    <row r="458" spans="1:24" ht="13.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row>
    <row r="459" spans="1:24" ht="13.8">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row>
    <row r="460" spans="1:24" ht="13.8">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row>
    <row r="461" spans="1:24" ht="13.8">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row>
    <row r="462" spans="1:24" ht="13.8">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row>
    <row r="463" spans="1:24" ht="13.8">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row>
    <row r="464" spans="1:24" ht="13.8">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row>
    <row r="465" spans="1:24" ht="13.8">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row>
    <row r="466" spans="1:24" ht="13.8">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row>
    <row r="467" spans="1:24" ht="13.8">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row>
    <row r="468" spans="1:24" ht="13.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row>
    <row r="469" spans="1:24" ht="13.8">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row>
    <row r="470" spans="1:24" ht="13.8">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row>
    <row r="471" spans="1:24" ht="13.8">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row>
    <row r="472" spans="1:24" ht="13.8">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row>
    <row r="473" spans="1:24" ht="13.8">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row>
    <row r="474" spans="1:24" ht="13.8">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row>
    <row r="475" spans="1:24" ht="13.8">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row>
    <row r="476" spans="1:24" ht="13.8">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row>
    <row r="477" spans="1:24" ht="13.8">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row>
    <row r="478" spans="1:24" ht="13.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row>
    <row r="479" spans="1:24" ht="13.8">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row>
    <row r="480" spans="1:24" ht="13.8">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row>
    <row r="481" spans="1:24" ht="13.8">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row>
    <row r="482" spans="1:24" ht="13.8">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row>
    <row r="483" spans="1:24" ht="13.8">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row>
    <row r="484" spans="1:24" ht="13.8">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row>
    <row r="485" spans="1:24" ht="13.8">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row>
    <row r="486" spans="1:24" ht="13.8">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row>
    <row r="487" spans="1:24" ht="13.8">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row>
    <row r="488" spans="1:24" ht="13.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row>
    <row r="489" spans="1:24" ht="13.8">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row>
    <row r="490" spans="1:24" ht="13.8">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row>
    <row r="491" spans="1:24" ht="13.8">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row>
    <row r="492" spans="1:24" ht="13.8">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row>
    <row r="493" spans="1:24" ht="13.8">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row>
    <row r="494" spans="1:24" ht="13.8">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row>
    <row r="495" spans="1:24" ht="13.8">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row>
    <row r="496" spans="1:24" ht="13.8">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row>
    <row r="497" spans="1:24" ht="13.8">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row>
    <row r="498" spans="1:24" ht="13.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row>
    <row r="499" spans="1:24" ht="13.8">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row>
    <row r="500" spans="1:24" ht="13.8">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row>
    <row r="501" spans="1:24" ht="13.8">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row>
    <row r="502" spans="1:24" ht="13.8">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row>
    <row r="503" spans="1:24" ht="13.8">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row>
    <row r="504" spans="1:24" ht="13.8">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row>
    <row r="505" spans="1:24" ht="13.8">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row>
    <row r="506" spans="1:24" ht="13.8">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row>
    <row r="507" spans="1:24" ht="13.8">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row>
    <row r="508" spans="1:24" ht="13.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row>
    <row r="509" spans="1:24" ht="13.8">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row>
    <row r="510" spans="1:24" ht="13.8">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row>
    <row r="511" spans="1:24" ht="13.8">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row>
    <row r="512" spans="1:24" ht="13.8">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row>
    <row r="513" spans="1:24" ht="13.8">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row>
    <row r="514" spans="1:24" ht="13.8">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row>
    <row r="515" spans="1:24" ht="13.8">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row>
    <row r="516" spans="1:24" ht="13.8">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row>
    <row r="517" spans="1:24" ht="13.8">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row>
    <row r="518" spans="1:24" ht="13.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row>
    <row r="519" spans="1:24" ht="13.8">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row>
    <row r="520" spans="1:24" ht="13.8">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row>
    <row r="521" spans="1:24" ht="13.8">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row>
    <row r="522" spans="1:24" ht="13.8">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row>
    <row r="523" spans="1:24" ht="13.8">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row>
    <row r="524" spans="1:24" ht="13.8">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row>
    <row r="525" spans="1:24" ht="13.8">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row>
    <row r="526" spans="1:24" ht="13.8">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row>
    <row r="527" spans="1:24" ht="13.8">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row>
    <row r="528" spans="1:24" ht="13.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row>
    <row r="529" spans="1:24" ht="13.8">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row>
    <row r="530" spans="1:24" ht="13.8">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row>
    <row r="531" spans="1:24" ht="13.8">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row>
    <row r="532" spans="1:24" ht="13.8">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row>
    <row r="533" spans="1:24" ht="13.8">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row>
    <row r="534" spans="1:24" ht="13.8">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row>
    <row r="535" spans="1:24" ht="13.8">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row>
    <row r="536" spans="1:24" ht="13.8">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row>
    <row r="537" spans="1:24" ht="13.8">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row>
    <row r="538" spans="1:24" ht="1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row>
    <row r="539" spans="1:24" ht="13.8">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row>
    <row r="540" spans="1:24" ht="13.8">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row>
    <row r="541" spans="1:24" ht="13.8">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row>
    <row r="542" spans="1:24" ht="13.8">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row>
    <row r="543" spans="1:24" ht="13.8">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row>
    <row r="544" spans="1:24" ht="13.8">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row>
    <row r="545" spans="1:24" ht="13.8">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row>
    <row r="546" spans="1:24" ht="13.8">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row>
    <row r="547" spans="1:24" ht="13.8">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row>
    <row r="548" spans="1:24" ht="13.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row>
    <row r="549" spans="1:24" ht="13.8">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row>
    <row r="550" spans="1:24" ht="13.8">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row>
    <row r="551" spans="1:24" ht="13.8">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row>
    <row r="552" spans="1:24" ht="13.8">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row>
    <row r="553" spans="1:24" ht="13.8">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row>
    <row r="554" spans="1:24" ht="13.8">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row>
    <row r="555" spans="1:24" ht="13.8">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row>
    <row r="556" spans="1:24" ht="13.8">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row>
    <row r="557" spans="1:24" ht="13.8">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row>
    <row r="558" spans="1:24" ht="13.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row>
    <row r="559" spans="1:24" ht="13.8">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row>
    <row r="560" spans="1:24" ht="13.8">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row>
    <row r="561" spans="1:24" ht="13.8">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row>
    <row r="562" spans="1:24" ht="13.8">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row>
    <row r="563" spans="1:24" ht="13.8">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row>
    <row r="564" spans="1:24" ht="13.8">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row>
    <row r="565" spans="1:24" ht="13.8">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row>
    <row r="566" spans="1:24" ht="13.8">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row>
    <row r="567" spans="1:24" ht="13.8">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row>
    <row r="568" spans="1:24" ht="13.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row>
    <row r="569" spans="1:24" ht="13.8">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row>
    <row r="570" spans="1:24" ht="13.8">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row>
    <row r="571" spans="1:24" ht="13.8">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row>
    <row r="572" spans="1:24" ht="13.8">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row>
    <row r="573" spans="1:24" ht="13.8">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row>
    <row r="574" spans="1:24" ht="13.8">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row>
    <row r="575" spans="1:24" ht="13.8">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row>
    <row r="576" spans="1:24" ht="13.8">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row>
    <row r="577" spans="1:24" ht="13.8">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row>
    <row r="578" spans="1:24" ht="13.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row>
    <row r="579" spans="1:24" ht="13.8">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row>
    <row r="580" spans="1:24" ht="13.8">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row>
    <row r="581" spans="1:24" ht="13.8">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row>
    <row r="582" spans="1:24" ht="13.8">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row>
    <row r="583" spans="1:24" ht="13.8">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row>
    <row r="584" spans="1:24" ht="13.8">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row>
    <row r="585" spans="1:24" ht="13.8">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row>
    <row r="586" spans="1:24" ht="13.8">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row>
    <row r="587" spans="1:24" ht="13.8">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row>
    <row r="588" spans="1:24" ht="13.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row>
    <row r="589" spans="1:24" ht="13.8">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row>
    <row r="590" spans="1:24" ht="13.8">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row>
    <row r="591" spans="1:24" ht="13.8">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row>
    <row r="592" spans="1:24" ht="13.8">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row>
    <row r="593" spans="1:24" ht="13.8">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row>
    <row r="594" spans="1:24" ht="13.8">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row>
    <row r="595" spans="1:24" ht="13.8">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row>
    <row r="596" spans="1:24" ht="13.8">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row>
    <row r="597" spans="1:24" ht="13.8">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row>
    <row r="598" spans="1:24" ht="13.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row>
    <row r="599" spans="1:24" ht="13.8">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row>
    <row r="600" spans="1:24" ht="13.8">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row>
    <row r="601" spans="1:24" ht="13.8">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row>
    <row r="602" spans="1:24" ht="13.8">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row>
    <row r="603" spans="1:24" ht="13.8">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row>
    <row r="604" spans="1:24" ht="13.8">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row>
    <row r="605" spans="1:24" ht="13.8">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row>
    <row r="606" spans="1:24" ht="13.8">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row>
    <row r="607" spans="1:24" ht="13.8">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row>
    <row r="608" spans="1:24" ht="13.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row>
    <row r="609" spans="1:24" ht="13.8">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row>
    <row r="610" spans="1:24" ht="13.8">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row>
    <row r="611" spans="1:24" ht="13.8">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row>
    <row r="612" spans="1:24" ht="13.8">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row>
    <row r="613" spans="1:24" ht="13.8">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row>
    <row r="614" spans="1:24" ht="13.8">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row>
    <row r="615" spans="1:24" ht="13.8">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row>
    <row r="616" spans="1:24" ht="13.8">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row>
    <row r="617" spans="1:24" ht="13.8">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row>
    <row r="618" spans="1:24" ht="13.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row>
    <row r="619" spans="1:24" ht="13.8">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row>
    <row r="620" spans="1:24" ht="13.8">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row>
    <row r="621" spans="1:24" ht="13.8">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row>
    <row r="622" spans="1:24" ht="13.8">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row>
    <row r="623" spans="1:24" ht="13.8">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row>
    <row r="624" spans="1:24" ht="13.8">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row>
    <row r="625" spans="1:24" ht="13.8">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row>
    <row r="626" spans="1:24" ht="13.8">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row>
    <row r="627" spans="1:24" ht="13.8">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row>
    <row r="628" spans="1:24" ht="13.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row>
    <row r="629" spans="1:24" ht="13.8">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row>
    <row r="630" spans="1:24" ht="13.8">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row>
    <row r="631" spans="1:24" ht="13.8">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row>
    <row r="632" spans="1:24" ht="13.8">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row>
    <row r="633" spans="1:24" ht="13.8">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row>
    <row r="634" spans="1:24" ht="13.8">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row>
    <row r="635" spans="1:24" ht="13.8">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row>
    <row r="636" spans="1:24" ht="13.8">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row>
    <row r="637" spans="1:24" ht="13.8">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row>
    <row r="638" spans="1:24" ht="1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row>
    <row r="639" spans="1:24" ht="13.8">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row>
    <row r="640" spans="1:24" ht="13.8">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row>
    <row r="641" spans="1:24" ht="13.8">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row>
    <row r="642" spans="1:24" ht="13.8">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row>
    <row r="643" spans="1:24" ht="13.8">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row>
    <row r="644" spans="1:24" ht="13.8">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row>
    <row r="645" spans="1:24" ht="13.8">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row>
    <row r="646" spans="1:24" ht="13.8">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row>
    <row r="647" spans="1:24" ht="13.8">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row>
    <row r="648" spans="1:24" ht="13.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row>
    <row r="649" spans="1:24" ht="13.8">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row>
    <row r="650" spans="1:24" ht="13.8">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row>
    <row r="651" spans="1:24" ht="13.8">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row>
    <row r="652" spans="1:24" ht="13.8">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row>
    <row r="653" spans="1:24" ht="13.8">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row>
    <row r="654" spans="1:24" ht="13.8">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row>
    <row r="655" spans="1:24" ht="13.8">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row>
    <row r="656" spans="1:24" ht="13.8">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row>
    <row r="657" spans="1:24" ht="13.8">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row>
    <row r="658" spans="1:24" ht="13.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row>
    <row r="659" spans="1:24" ht="13.8">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row>
    <row r="660" spans="1:24" ht="13.8">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row>
    <row r="661" spans="1:24" ht="13.8">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row>
    <row r="662" spans="1:24" ht="13.8">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row>
    <row r="663" spans="1:24" ht="13.8">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row>
    <row r="664" spans="1:24" ht="13.8">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row>
    <row r="665" spans="1:24" ht="13.8">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row>
    <row r="666" spans="1:24" ht="13.8">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row>
    <row r="667" spans="1:24" ht="13.8">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row>
    <row r="668" spans="1:24" ht="13.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row>
    <row r="669" spans="1:24" ht="13.8">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row>
    <row r="670" spans="1:24" ht="13.8">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row>
    <row r="671" spans="1:24" ht="13.8">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row>
    <row r="672" spans="1:24" ht="13.8">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row>
    <row r="673" spans="1:24" ht="13.8">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row>
    <row r="674" spans="1:24" ht="13.8">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row>
    <row r="675" spans="1:24" ht="13.8">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row>
    <row r="676" spans="1:24" ht="13.8">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row>
    <row r="677" spans="1:24" ht="13.8">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row>
    <row r="678" spans="1:24" ht="13.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row>
    <row r="679" spans="1:24" ht="13.8">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row>
    <row r="680" spans="1:24" ht="13.8">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row>
    <row r="681" spans="1:24" ht="13.8">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row>
    <row r="682" spans="1:24" ht="13.8">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row>
    <row r="683" spans="1:24" ht="13.8">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row>
    <row r="684" spans="1:24" ht="13.8">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row>
    <row r="685" spans="1:24" ht="13.8">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row>
    <row r="686" spans="1:24" ht="13.8">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row>
    <row r="687" spans="1:24" ht="13.8">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row>
    <row r="688" spans="1:24" ht="13.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row>
    <row r="689" spans="1:24" ht="13.8">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row>
    <row r="690" spans="1:24" ht="13.8">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row>
    <row r="691" spans="1:24" ht="13.8">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row>
    <row r="692" spans="1:24" ht="13.8">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row>
    <row r="693" spans="1:24" ht="13.8">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row>
    <row r="694" spans="1:24" ht="13.8">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row>
    <row r="695" spans="1:24" ht="13.8">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row>
    <row r="696" spans="1:24" ht="13.8">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row>
    <row r="697" spans="1:24" ht="13.8">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row>
    <row r="698" spans="1:24" ht="13.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row>
    <row r="699" spans="1:24" ht="13.8">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row>
    <row r="700" spans="1:24" ht="13.8">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row>
    <row r="701" spans="1:24" ht="13.8">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row>
    <row r="702" spans="1:24" ht="13.8">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row>
    <row r="703" spans="1:24" ht="13.8">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row>
    <row r="704" spans="1:24" ht="13.8">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row>
    <row r="705" spans="1:24" ht="13.8">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row>
    <row r="706" spans="1:24" ht="13.8">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row>
    <row r="707" spans="1:24" ht="13.8">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row>
    <row r="708" spans="1:24" ht="13.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row>
    <row r="709" spans="1:24" ht="13.8">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row>
    <row r="710" spans="1:24" ht="13.8">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row>
    <row r="711" spans="1:24" ht="13.8">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row>
    <row r="712" spans="1:24" ht="13.8">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row>
    <row r="713" spans="1:24" ht="13.8">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row>
    <row r="714" spans="1:24" ht="13.8">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row>
    <row r="715" spans="1:24" ht="13.8">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row>
    <row r="716" spans="1:24" ht="13.8">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row>
    <row r="717" spans="1:24" ht="13.8">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row>
    <row r="718" spans="1:24" ht="13.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row>
    <row r="719" spans="1:24" ht="13.8">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row>
    <row r="720" spans="1:24" ht="13.8">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row>
    <row r="721" spans="1:24" ht="13.8">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row>
    <row r="722" spans="1:24" ht="13.8">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row>
    <row r="723" spans="1:24" ht="13.8">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row>
    <row r="724" spans="1:24" ht="13.8">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row>
    <row r="725" spans="1:24" ht="13.8">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row>
    <row r="726" spans="1:24" ht="13.8">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row>
    <row r="727" spans="1:24" ht="13.8">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row>
    <row r="728" spans="1:24" ht="13.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row>
    <row r="729" spans="1:24" ht="13.8">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row>
    <row r="730" spans="1:24" ht="13.8">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row>
    <row r="731" spans="1:24" ht="13.8">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row>
    <row r="732" spans="1:24" ht="13.8">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row>
    <row r="733" spans="1:24" ht="13.8">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row>
    <row r="734" spans="1:24" ht="13.8">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row>
    <row r="735" spans="1:24" ht="13.8">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row>
    <row r="736" spans="1:24" ht="13.8">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row>
    <row r="737" spans="1:24" ht="13.8">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row>
    <row r="738" spans="1:24" ht="1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row>
    <row r="739" spans="1:24" ht="13.8">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row>
    <row r="740" spans="1:24" ht="13.8">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row>
    <row r="741" spans="1:24" ht="13.8">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row>
    <row r="742" spans="1:24" ht="13.8">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row>
    <row r="743" spans="1:24" ht="13.8">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row>
    <row r="744" spans="1:24" ht="13.8">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row>
    <row r="745" spans="1:24" ht="13.8">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row>
    <row r="746" spans="1:24" ht="13.8">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row>
    <row r="747" spans="1:24" ht="13.8">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row>
    <row r="748" spans="1:24" ht="13.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row>
    <row r="749" spans="1:24" ht="13.8">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row>
    <row r="750" spans="1:24" ht="13.8">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row>
    <row r="751" spans="1:24" ht="13.8">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row>
    <row r="752" spans="1:24" ht="13.8">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row>
    <row r="753" spans="1:24" ht="13.8">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row>
    <row r="754" spans="1:24" ht="13.8">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row>
    <row r="755" spans="1:24" ht="13.8">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row>
    <row r="756" spans="1:24" ht="13.8">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row>
    <row r="757" spans="1:24" ht="13.8">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row>
    <row r="758" spans="1:24" ht="13.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row>
    <row r="759" spans="1:24" ht="13.8">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row>
    <row r="760" spans="1:24" ht="13.8">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row>
    <row r="761" spans="1:24" ht="13.8">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row>
    <row r="762" spans="1:24" ht="13.8">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row>
    <row r="763" spans="1:24" ht="13.8">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row>
    <row r="764" spans="1:24" ht="13.8">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row>
    <row r="765" spans="1:24" ht="13.8">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row>
    <row r="766" spans="1:24" ht="13.8">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row>
    <row r="767" spans="1:24" ht="13.8">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row>
    <row r="768" spans="1:24" ht="13.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row>
    <row r="769" spans="1:24" ht="13.8">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row>
    <row r="770" spans="1:24" ht="13.8">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row>
    <row r="771" spans="1:24" ht="13.8">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row>
    <row r="772" spans="1:24" ht="13.8">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row>
    <row r="773" spans="1:24" ht="13.8">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row>
    <row r="774" spans="1:24" ht="13.8">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row>
    <row r="775" spans="1:24" ht="13.8">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row>
    <row r="776" spans="1:24" ht="13.8">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row>
    <row r="777" spans="1:24" ht="13.8">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row>
    <row r="778" spans="1:24" ht="13.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row>
    <row r="779" spans="1:24" ht="13.8">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row>
    <row r="780" spans="1:24" ht="13.8">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row>
    <row r="781" spans="1:24" ht="13.8">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row>
    <row r="782" spans="1:24" ht="13.8">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row>
    <row r="783" spans="1:24" ht="13.8">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row>
    <row r="784" spans="1:24" ht="13.8">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row>
    <row r="785" spans="1:24" ht="13.8">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row>
    <row r="786" spans="1:24" ht="13.8">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row>
    <row r="787" spans="1:24" ht="13.8">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row>
    <row r="788" spans="1:24" ht="13.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row>
    <row r="789" spans="1:24" ht="13.8">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row>
    <row r="790" spans="1:24" ht="13.8">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row>
    <row r="791" spans="1:24" ht="13.8">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row>
    <row r="792" spans="1:24" ht="13.8">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row>
    <row r="793" spans="1:24" ht="13.8">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row>
    <row r="794" spans="1:24" ht="13.8">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row>
    <row r="795" spans="1:24" ht="13.8">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row>
    <row r="796" spans="1:24" ht="13.8">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row>
    <row r="797" spans="1:24" ht="13.8">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row>
    <row r="798" spans="1:24" ht="13.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row>
    <row r="799" spans="1:24" ht="13.8">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row>
    <row r="800" spans="1:24" ht="13.8">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row>
    <row r="801" spans="1:24" ht="13.8">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row>
    <row r="802" spans="1:24" ht="13.8">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row>
    <row r="803" spans="1:24" ht="13.8">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row>
    <row r="804" spans="1:24" ht="13.8">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row>
    <row r="805" spans="1:24" ht="13.8">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row>
    <row r="806" spans="1:24" ht="13.8">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row>
    <row r="807" spans="1:24" ht="13.8">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row>
    <row r="808" spans="1:24" ht="13.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row>
    <row r="809" spans="1:24" ht="13.8">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row>
    <row r="810" spans="1:24" ht="13.8">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row>
    <row r="811" spans="1:24" ht="13.8">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row>
    <row r="812" spans="1:24" ht="13.8">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row>
    <row r="813" spans="1:24" ht="13.8">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row>
    <row r="814" spans="1:24" ht="13.8">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row>
    <row r="815" spans="1:24" ht="13.8">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row>
    <row r="816" spans="1:24" ht="13.8">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row>
    <row r="817" spans="1:24" ht="13.8">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row>
    <row r="818" spans="1:24" ht="13.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row>
    <row r="819" spans="1:24" ht="13.8">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row>
    <row r="820" spans="1:24" ht="13.8">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row>
    <row r="821" spans="1:24" ht="13.8">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row>
    <row r="822" spans="1:24" ht="13.8">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row>
    <row r="823" spans="1:24" ht="13.8">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row>
    <row r="824" spans="1:24" ht="13.8">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row>
    <row r="825" spans="1:24" ht="13.8">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row>
    <row r="826" spans="1:24" ht="13.8">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row>
    <row r="827" spans="1:24" ht="13.8">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row>
    <row r="828" spans="1:24" ht="13.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row>
    <row r="829" spans="1:24" ht="13.8">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row>
    <row r="830" spans="1:24" ht="13.8">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row>
    <row r="831" spans="1:24" ht="13.8">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row>
    <row r="832" spans="1:24" ht="13.8">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row>
    <row r="833" spans="1:24" ht="13.8">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row>
    <row r="834" spans="1:24" ht="13.8">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row>
    <row r="835" spans="1:24" ht="13.8">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row>
    <row r="836" spans="1:24" ht="13.8">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row>
    <row r="837" spans="1:24" ht="13.8">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row>
    <row r="838" spans="1:24" ht="1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row>
    <row r="839" spans="1:24" ht="13.8">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row>
    <row r="840" spans="1:24" ht="13.8">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row>
    <row r="841" spans="1:24" ht="13.8">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row>
    <row r="842" spans="1:24" ht="13.8">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row>
    <row r="843" spans="1:24" ht="13.8">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row>
    <row r="844" spans="1:24" ht="13.8">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row>
    <row r="845" spans="1:24" ht="13.8">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row>
    <row r="846" spans="1:24" ht="13.8">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row>
    <row r="847" spans="1:24" ht="13.8">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row>
    <row r="848" spans="1:24" ht="13.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row>
    <row r="849" spans="1:24" ht="13.8">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row>
    <row r="850" spans="1:24" ht="13.8">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row>
    <row r="851" spans="1:24" ht="13.8">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row>
    <row r="852" spans="1:24" ht="13.8">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row>
    <row r="853" spans="1:24" ht="13.8">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row>
    <row r="854" spans="1:24" ht="13.8">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row>
    <row r="855" spans="1:24" ht="13.8">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row>
    <row r="856" spans="1:24" ht="13.8">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row>
    <row r="857" spans="1:24" ht="13.8">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row>
    <row r="858" spans="1:24" ht="13.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row>
    <row r="859" spans="1:24" ht="13.8">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row>
    <row r="860" spans="1:24" ht="13.8">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row>
    <row r="861" spans="1:24" ht="13.8">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row>
    <row r="862" spans="1:24" ht="13.8">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row>
    <row r="863" spans="1:24" ht="13.8">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row>
    <row r="864" spans="1:24" ht="13.8">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row>
    <row r="865" spans="1:24" ht="13.8">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row>
    <row r="866" spans="1:24" ht="13.8">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row>
    <row r="867" spans="1:24" ht="13.8">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row>
    <row r="868" spans="1:24" ht="13.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row>
    <row r="869" spans="1:24" ht="13.8">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row>
    <row r="870" spans="1:24" ht="13.8">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row>
    <row r="871" spans="1:24" ht="13.8">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row>
    <row r="872" spans="1:24" ht="13.8">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row>
    <row r="873" spans="1:24" ht="13.8">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row>
    <row r="874" spans="1:24" ht="13.8">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row>
    <row r="875" spans="1:24" ht="13.8">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row>
    <row r="876" spans="1:24" ht="13.8">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row>
    <row r="877" spans="1:24" ht="13.8">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row>
    <row r="878" spans="1:24" ht="13.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row>
    <row r="879" spans="1:24" ht="13.8">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row>
    <row r="880" spans="1:24" ht="13.8">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row>
    <row r="881" spans="1:24" ht="13.8">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row>
    <row r="882" spans="1:24" ht="13.8">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row>
    <row r="883" spans="1:24" ht="13.8">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row>
    <row r="884" spans="1:24" ht="13.8">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row>
    <row r="885" spans="1:24" ht="13.8">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row>
    <row r="886" spans="1:24" ht="13.8">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row>
    <row r="887" spans="1:24" ht="13.8">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row>
    <row r="888" spans="1:24" ht="13.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row>
    <row r="889" spans="1:24" ht="13.8">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row>
    <row r="890" spans="1:24" ht="13.8">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row>
    <row r="891" spans="1:24" ht="13.8">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row>
    <row r="892" spans="1:24" ht="13.8">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row>
    <row r="893" spans="1:24" ht="13.8">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row>
    <row r="894" spans="1:24" ht="13.8">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row>
    <row r="895" spans="1:24" ht="13.8">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row>
    <row r="896" spans="1:24" ht="13.8">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row>
    <row r="897" spans="1:24" ht="13.8">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row>
    <row r="898" spans="1:24" ht="13.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row>
    <row r="899" spans="1:24" ht="13.8">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row>
    <row r="900" spans="1:24" ht="13.8">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row>
    <row r="901" spans="1:24" ht="13.8">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row>
    <row r="902" spans="1:24" ht="13.8">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row>
    <row r="903" spans="1:24" ht="13.8">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row>
    <row r="904" spans="1:24" ht="13.8">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row>
    <row r="905" spans="1:24" ht="13.8">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row>
    <row r="906" spans="1:24" ht="13.8">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row>
    <row r="907" spans="1:24" ht="13.8">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row>
    <row r="908" spans="1:24" ht="13.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row>
    <row r="909" spans="1:24" ht="13.8">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row>
    <row r="910" spans="1:24" ht="13.8">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row>
    <row r="911" spans="1:24" ht="13.8">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row>
    <row r="912" spans="1:24" ht="13.8">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row>
    <row r="913" spans="1:24" ht="13.8">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row>
    <row r="914" spans="1:24" ht="13.8">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row>
    <row r="915" spans="1:24" ht="13.8">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row>
    <row r="916" spans="1:24" ht="13.8">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row>
    <row r="917" spans="1:24" ht="13.8">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row>
    <row r="918" spans="1:24" ht="13.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row>
    <row r="919" spans="1:24" ht="13.8">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row>
    <row r="920" spans="1:24" ht="13.8">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row>
    <row r="921" spans="1:24" ht="13.8">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row>
    <row r="922" spans="1:24" ht="13.8">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row>
    <row r="923" spans="1:24" ht="13.8">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row>
    <row r="924" spans="1:24" ht="13.8">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row>
    <row r="925" spans="1:24" ht="13.8">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row>
    <row r="926" spans="1:24" ht="13.8">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row>
    <row r="927" spans="1:24" ht="13.8">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row>
    <row r="928" spans="1:24" ht="13.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row>
    <row r="929" spans="1:24" ht="13.8">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row>
    <row r="930" spans="1:24" ht="13.8">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row>
    <row r="931" spans="1:24" ht="13.8">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row>
    <row r="932" spans="1:24" ht="13.8">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row>
    <row r="933" spans="1:24" ht="13.8">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row>
    <row r="934" spans="1:24" ht="13.8">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row>
    <row r="935" spans="1:24" ht="13.8">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row>
    <row r="936" spans="1:24" ht="13.8">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row>
    <row r="937" spans="1:24" ht="13.8">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row>
    <row r="938" spans="1:24" ht="1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row>
    <row r="939" spans="1:24" ht="13.8">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row>
    <row r="940" spans="1:24" ht="13.8">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row>
    <row r="941" spans="1:24" ht="13.8">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row>
    <row r="942" spans="1:24" ht="13.8">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row>
    <row r="943" spans="1:24" ht="13.8">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row>
    <row r="944" spans="1:24" ht="13.8">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row>
    <row r="945" spans="1:24" ht="13.8">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row>
    <row r="946" spans="1:24" ht="13.8">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row>
    <row r="947" spans="1:24" ht="13.8">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row>
    <row r="948" spans="1:24" ht="13.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row>
    <row r="949" spans="1:24" ht="13.8">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row>
    <row r="950" spans="1:24" ht="13.8">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row>
    <row r="951" spans="1:24" ht="13.8">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row>
    <row r="952" spans="1:24" ht="13.8">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row>
    <row r="953" spans="1:24" ht="13.8">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row>
    <row r="954" spans="1:24" ht="13.8">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row>
    <row r="955" spans="1:24" ht="13.8">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row>
    <row r="956" spans="1:24" ht="13.8">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row>
    <row r="957" spans="1:24" ht="13.8">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row>
    <row r="958" spans="1:24" ht="13.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row>
    <row r="959" spans="1:24" ht="13.8">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row>
    <row r="960" spans="1:24" ht="13.8">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row>
    <row r="961" spans="1:24" ht="13.8">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row>
    <row r="962" spans="1:24" ht="13.8">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row>
    <row r="963" spans="1:24" ht="13.8">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row>
    <row r="964" spans="1:24" ht="13.8">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row>
    <row r="965" spans="1:24" ht="13.8">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row>
    <row r="966" spans="1:24" ht="13.8">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row>
    <row r="967" spans="1:24" ht="13.8">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row>
    <row r="968" spans="1:24" ht="13.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row>
    <row r="969" spans="1:24" ht="13.8">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row>
    <row r="970" spans="1:24" ht="13.8">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row>
    <row r="971" spans="1:24" ht="13.8">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row>
    <row r="972" spans="1:24" ht="13.8">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row>
    <row r="973" spans="1:24" ht="13.8">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row>
    <row r="974" spans="1:24" ht="13.8">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row>
    <row r="975" spans="1:24" ht="13.8">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row>
    <row r="976" spans="1:24" ht="13.8">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row>
    <row r="977" spans="1:24" ht="13.8">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row>
    <row r="978" spans="1:24" ht="13.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row>
    <row r="979" spans="1:24" ht="13.8">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row>
    <row r="980" spans="1:24" ht="13.8">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row>
    <row r="981" spans="1:24" ht="13.8">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row>
    <row r="982" spans="1:24" ht="13.8">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row>
    <row r="983" spans="1:24" ht="13.8">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row>
    <row r="984" spans="1:24" ht="13.8">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row>
    <row r="985" spans="1:24" ht="13.8">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row>
    <row r="986" spans="1:24" ht="13.8">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row>
    <row r="987" spans="1:24" ht="13.8">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row>
    <row r="988" spans="1:24" ht="13.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row>
    <row r="989" spans="1:24" ht="13.8">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row>
    <row r="990" spans="1:24" ht="13.8">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row>
    <row r="991" spans="1:24" ht="13.8">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row>
    <row r="992" spans="1:24" ht="13.8">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row>
  </sheetData>
  <mergeCells count="6">
    <mergeCell ref="E1:E2"/>
    <mergeCell ref="G1:G2"/>
    <mergeCell ref="I1:I2"/>
    <mergeCell ref="E20:E21"/>
    <mergeCell ref="G20:G21"/>
    <mergeCell ref="I20:I21"/>
  </mergeCells>
  <pageMargins left="0.7" right="0.7" top="0.75" bottom="0.75" header="0.3" footer="0.3"/>
  <pageSetup scale="79" orientation="portrait" horizontalDpi="300" verticalDpi="300" r:id="rId1"/>
  <ignoredErrors>
    <ignoredError sqref="E22:E44 G22:G38 H22:H44 G39:G44"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C5725-41E2-43A9-B959-60C4D98DAA33}">
  <sheetPr>
    <tabColor rgb="FFFFFF00"/>
    <pageSetUpPr fitToPage="1"/>
  </sheetPr>
  <dimension ref="A1:K71"/>
  <sheetViews>
    <sheetView workbookViewId="0"/>
  </sheetViews>
  <sheetFormatPr defaultRowHeight="16.2" customHeight="1"/>
  <cols>
    <col min="1" max="1" width="34.8984375" bestFit="1" customWidth="1"/>
    <col min="2" max="5" width="11.3984375" bestFit="1" customWidth="1"/>
    <col min="7" max="7" width="41.3984375" bestFit="1" customWidth="1"/>
    <col min="8" max="11" width="8.8984375" bestFit="1" customWidth="1"/>
  </cols>
  <sheetData>
    <row r="1" spans="1:11" ht="13.8">
      <c r="A1" s="104" t="s">
        <v>113</v>
      </c>
      <c r="B1" s="104"/>
      <c r="C1" s="104"/>
      <c r="D1" s="104"/>
      <c r="E1" s="104"/>
      <c r="F1" s="104"/>
      <c r="G1" s="104" t="s">
        <v>113</v>
      </c>
      <c r="H1" s="104"/>
      <c r="I1" s="104"/>
      <c r="J1" s="104"/>
      <c r="K1" s="104"/>
    </row>
    <row r="2" spans="1:11" ht="13.95" customHeight="1">
      <c r="A2" s="105"/>
      <c r="B2" s="153"/>
      <c r="C2" s="153"/>
      <c r="D2" s="153"/>
      <c r="E2" s="153"/>
      <c r="F2" s="104"/>
      <c r="G2" s="105"/>
      <c r="H2" s="153"/>
      <c r="I2" s="153"/>
      <c r="J2" s="153"/>
      <c r="K2" s="153"/>
    </row>
    <row r="3" spans="1:11" ht="17.399999999999999">
      <c r="A3" s="106" t="s">
        <v>77</v>
      </c>
      <c r="B3" s="154" t="s">
        <v>108</v>
      </c>
      <c r="C3" s="154" t="s">
        <v>109</v>
      </c>
      <c r="D3" s="154" t="s">
        <v>110</v>
      </c>
      <c r="E3" s="154" t="s">
        <v>111</v>
      </c>
      <c r="F3" s="104"/>
      <c r="G3" s="106" t="s">
        <v>76</v>
      </c>
      <c r="H3" s="154" t="s">
        <v>108</v>
      </c>
      <c r="I3" s="154" t="s">
        <v>109</v>
      </c>
      <c r="J3" s="154" t="s">
        <v>110</v>
      </c>
      <c r="K3" s="154" t="s">
        <v>111</v>
      </c>
    </row>
    <row r="4" spans="1:11" ht="16.2" customHeight="1">
      <c r="A4" s="42" t="s">
        <v>0</v>
      </c>
      <c r="B4" s="43">
        <v>25920</v>
      </c>
      <c r="C4" s="43">
        <v>25494</v>
      </c>
      <c r="D4" s="43">
        <v>23183</v>
      </c>
      <c r="E4" s="43">
        <v>23222.9</v>
      </c>
      <c r="F4" s="44"/>
      <c r="G4" s="47" t="s">
        <v>67</v>
      </c>
      <c r="H4" s="48">
        <v>1085</v>
      </c>
      <c r="I4" s="48">
        <v>4579</v>
      </c>
      <c r="J4" s="48">
        <v>2583.8000000000002</v>
      </c>
      <c r="K4" s="48">
        <v>4709.2</v>
      </c>
    </row>
    <row r="5" spans="1:11" ht="16.2" customHeight="1">
      <c r="A5" s="42" t="s">
        <v>1</v>
      </c>
      <c r="B5" s="45">
        <v>1.67E-2</v>
      </c>
      <c r="C5" s="45">
        <v>9.9699999999999997E-2</v>
      </c>
      <c r="D5" s="45">
        <v>-1.6999999999999999E-3</v>
      </c>
      <c r="E5" s="45">
        <v>0.20899999999999999</v>
      </c>
      <c r="F5" s="44"/>
      <c r="G5" s="47" t="s">
        <v>99</v>
      </c>
      <c r="H5" s="48">
        <v>2383</v>
      </c>
      <c r="I5" s="48">
        <v>2488</v>
      </c>
      <c r="J5" s="48">
        <v>2115</v>
      </c>
      <c r="K5" s="48">
        <v>1872.4</v>
      </c>
    </row>
    <row r="6" spans="1:11" ht="16.2" customHeight="1">
      <c r="A6" s="42" t="s">
        <v>2</v>
      </c>
      <c r="B6" s="43">
        <v>11210</v>
      </c>
      <c r="C6" s="43">
        <v>10931</v>
      </c>
      <c r="D6" s="43">
        <v>9975</v>
      </c>
      <c r="E6" s="43">
        <v>10642.7</v>
      </c>
      <c r="F6" s="44"/>
      <c r="G6" s="47" t="s">
        <v>66</v>
      </c>
      <c r="H6" s="46">
        <v>56</v>
      </c>
      <c r="I6" s="46">
        <v>53</v>
      </c>
      <c r="J6" s="46">
        <v>52</v>
      </c>
      <c r="K6" s="46">
        <v>55.6</v>
      </c>
    </row>
    <row r="7" spans="1:11" ht="16.2" customHeight="1">
      <c r="A7" s="42" t="s">
        <v>3</v>
      </c>
      <c r="B7" s="43">
        <v>14710</v>
      </c>
      <c r="C7" s="43">
        <v>14563</v>
      </c>
      <c r="D7" s="43">
        <v>13208</v>
      </c>
      <c r="E7" s="43">
        <v>12580.2</v>
      </c>
      <c r="F7" s="44"/>
      <c r="G7" s="47" t="s">
        <v>65</v>
      </c>
      <c r="H7" s="48">
        <v>1130</v>
      </c>
      <c r="I7" s="46">
        <v>919.1</v>
      </c>
      <c r="J7" s="46">
        <v>673</v>
      </c>
      <c r="K7" s="46">
        <v>511</v>
      </c>
    </row>
    <row r="8" spans="1:11" ht="16.2" customHeight="1">
      <c r="A8" s="42" t="s">
        <v>4</v>
      </c>
      <c r="B8" s="43">
        <v>2412</v>
      </c>
      <c r="C8" s="43">
        <v>2435</v>
      </c>
      <c r="D8" s="43">
        <v>2492</v>
      </c>
      <c r="E8" s="43">
        <v>2707.5</v>
      </c>
      <c r="F8" s="44"/>
      <c r="G8" s="47" t="s">
        <v>64</v>
      </c>
      <c r="H8" s="48">
        <v>4599</v>
      </c>
      <c r="I8" s="48">
        <v>7986</v>
      </c>
      <c r="J8" s="48">
        <v>5424.2</v>
      </c>
      <c r="K8" s="48">
        <v>7148.5</v>
      </c>
    </row>
    <row r="9" spans="1:11" ht="16.2" customHeight="1">
      <c r="A9" s="42" t="s">
        <v>5</v>
      </c>
      <c r="B9" s="43">
        <v>11712</v>
      </c>
      <c r="C9" s="43">
        <v>11647</v>
      </c>
      <c r="D9" s="43">
        <v>9372</v>
      </c>
      <c r="E9" s="43">
        <v>10356</v>
      </c>
      <c r="F9" s="44"/>
      <c r="G9" s="47" t="s">
        <v>123</v>
      </c>
      <c r="H9" s="48">
        <v>25295</v>
      </c>
      <c r="I9" s="48">
        <v>24908</v>
      </c>
      <c r="J9" s="48">
        <v>23773.599999999999</v>
      </c>
      <c r="K9" s="48">
        <v>24720.6</v>
      </c>
    </row>
    <row r="10" spans="1:11" ht="16.2" customHeight="1">
      <c r="A10" s="42" t="s">
        <v>34</v>
      </c>
      <c r="B10" s="41" t="s">
        <v>112</v>
      </c>
      <c r="C10" s="41" t="s">
        <v>112</v>
      </c>
      <c r="D10" s="43">
        <v>1299</v>
      </c>
      <c r="E10" s="43">
        <v>1194</v>
      </c>
      <c r="F10" s="44"/>
      <c r="G10" s="47" t="s">
        <v>62</v>
      </c>
      <c r="H10" s="48">
        <v>2710</v>
      </c>
      <c r="I10" s="48">
        <v>1080</v>
      </c>
      <c r="J10" s="48">
        <v>1064.5</v>
      </c>
      <c r="K10" s="48">
        <v>1201.2</v>
      </c>
    </row>
    <row r="11" spans="1:11" ht="16.2" customHeight="1">
      <c r="A11" s="42" t="s">
        <v>6</v>
      </c>
      <c r="B11" s="43">
        <v>-1367</v>
      </c>
      <c r="C11" s="43">
        <v>-1125</v>
      </c>
      <c r="D11" s="43">
        <v>-1546</v>
      </c>
      <c r="E11" s="43">
        <v>-1228.0999999999999</v>
      </c>
      <c r="F11" s="44"/>
      <c r="G11" s="47" t="s">
        <v>61</v>
      </c>
      <c r="H11" s="48">
        <v>3145</v>
      </c>
      <c r="I11" s="48">
        <v>3040</v>
      </c>
      <c r="J11" s="48">
        <v>2900.4</v>
      </c>
      <c r="K11" s="48">
        <v>2782.5</v>
      </c>
    </row>
    <row r="12" spans="1:11" ht="16.2" customHeight="1">
      <c r="A12" s="42" t="s">
        <v>7</v>
      </c>
      <c r="B12" s="43">
        <v>1506</v>
      </c>
      <c r="C12" s="43">
        <v>1361</v>
      </c>
      <c r="D12" s="43">
        <v>1207</v>
      </c>
      <c r="E12" s="43">
        <v>1185.8</v>
      </c>
      <c r="F12" s="44"/>
      <c r="G12" s="47" t="s">
        <v>60</v>
      </c>
      <c r="H12" s="48">
        <v>6095</v>
      </c>
      <c r="I12" s="48">
        <v>5618</v>
      </c>
      <c r="J12" s="48">
        <v>4707.2</v>
      </c>
      <c r="K12" s="48">
        <v>4449.5</v>
      </c>
    </row>
    <row r="13" spans="1:11" ht="16.2" customHeight="1">
      <c r="A13" s="42" t="s">
        <v>8</v>
      </c>
      <c r="B13" s="43">
        <v>10345</v>
      </c>
      <c r="C13" s="43">
        <v>10522</v>
      </c>
      <c r="D13" s="43">
        <v>7825</v>
      </c>
      <c r="E13" s="43">
        <v>9127.9</v>
      </c>
      <c r="F13" s="44"/>
      <c r="G13" s="47" t="s">
        <v>59</v>
      </c>
      <c r="H13" s="48">
        <v>50584</v>
      </c>
      <c r="I13" s="48">
        <v>48160</v>
      </c>
      <c r="J13" s="48">
        <v>45011.4</v>
      </c>
      <c r="K13" s="48">
        <v>46705.8</v>
      </c>
    </row>
    <row r="14" spans="1:11" ht="16.2" customHeight="1">
      <c r="A14" s="42" t="s">
        <v>9</v>
      </c>
      <c r="B14" s="43">
        <v>2121</v>
      </c>
      <c r="C14" s="43">
        <v>2053</v>
      </c>
      <c r="D14" s="43">
        <v>1648</v>
      </c>
      <c r="E14" s="43">
        <v>1582.7</v>
      </c>
      <c r="F14" s="44"/>
      <c r="G14" s="47" t="s">
        <v>58</v>
      </c>
      <c r="H14" s="48">
        <v>55182</v>
      </c>
      <c r="I14" s="48">
        <v>56147</v>
      </c>
      <c r="J14" s="48">
        <v>50435.6</v>
      </c>
      <c r="K14" s="48">
        <v>53854.3</v>
      </c>
    </row>
    <row r="15" spans="1:11" ht="16.2" customHeight="1">
      <c r="A15" s="42" t="s">
        <v>10</v>
      </c>
      <c r="B15" s="43">
        <v>8224</v>
      </c>
      <c r="C15" s="43">
        <v>8469</v>
      </c>
      <c r="D15" s="43">
        <v>6177</v>
      </c>
      <c r="E15" s="43">
        <v>7545.2</v>
      </c>
      <c r="F15" s="44"/>
      <c r="G15" s="47" t="s">
        <v>57</v>
      </c>
      <c r="H15" s="48">
        <v>1029</v>
      </c>
      <c r="I15" s="48">
        <v>1103</v>
      </c>
      <c r="J15" s="46">
        <v>980.2</v>
      </c>
      <c r="K15" s="48">
        <v>1006.8</v>
      </c>
    </row>
    <row r="16" spans="1:11" ht="16.2" customHeight="1">
      <c r="A16" s="42" t="s">
        <v>33</v>
      </c>
      <c r="B16" s="41">
        <v>1</v>
      </c>
      <c r="C16" s="41">
        <v>0</v>
      </c>
      <c r="D16" s="41" t="s">
        <v>112</v>
      </c>
      <c r="E16" s="41" t="s">
        <v>112</v>
      </c>
      <c r="F16" s="41"/>
      <c r="G16" s="47" t="s">
        <v>56</v>
      </c>
      <c r="H16" s="48">
        <v>1611</v>
      </c>
      <c r="I16" s="48">
        <v>1903</v>
      </c>
      <c r="J16" s="48">
        <v>1630.8</v>
      </c>
      <c r="K16" s="48">
        <v>1710.3</v>
      </c>
    </row>
    <row r="17" spans="1:11" ht="16.2" customHeight="1">
      <c r="A17" s="42" t="s">
        <v>11</v>
      </c>
      <c r="B17" s="43">
        <v>8223</v>
      </c>
      <c r="C17" s="43">
        <v>8469</v>
      </c>
      <c r="D17" s="43">
        <v>6177</v>
      </c>
      <c r="E17" s="43">
        <v>7545.2</v>
      </c>
      <c r="F17" s="44"/>
      <c r="G17" s="47" t="s">
        <v>55</v>
      </c>
      <c r="H17" s="46" t="s">
        <v>112</v>
      </c>
      <c r="I17" s="48">
        <v>2192</v>
      </c>
      <c r="J17" s="46">
        <v>661</v>
      </c>
      <c r="K17" s="46">
        <v>706</v>
      </c>
    </row>
    <row r="18" spans="1:11" ht="16.2" customHeight="1">
      <c r="A18" s="42" t="s">
        <v>12</v>
      </c>
      <c r="B18" s="41">
        <v>11.39</v>
      </c>
      <c r="C18" s="41">
        <v>11.56</v>
      </c>
      <c r="D18" s="41">
        <v>8.33</v>
      </c>
      <c r="E18" s="41">
        <v>10.039999999999999</v>
      </c>
      <c r="F18" s="44"/>
      <c r="G18" s="47" t="s">
        <v>54</v>
      </c>
      <c r="H18" s="46">
        <v>361</v>
      </c>
      <c r="I18" s="46">
        <v>705</v>
      </c>
      <c r="J18" s="46">
        <v>274.89999999999998</v>
      </c>
      <c r="K18" s="46">
        <v>360.7</v>
      </c>
    </row>
    <row r="19" spans="1:11" ht="16.2" customHeight="1">
      <c r="A19" s="42" t="s">
        <v>13</v>
      </c>
      <c r="B19" s="41">
        <v>11.39</v>
      </c>
      <c r="C19" s="41">
        <v>11.56</v>
      </c>
      <c r="D19" s="41">
        <v>8.33</v>
      </c>
      <c r="E19" s="41">
        <v>10.039999999999999</v>
      </c>
      <c r="F19" s="44"/>
      <c r="G19" s="47" t="s">
        <v>53</v>
      </c>
      <c r="H19" s="46" t="s">
        <v>112</v>
      </c>
      <c r="I19" s="46" t="s">
        <v>112</v>
      </c>
      <c r="J19" s="48">
        <v>1886</v>
      </c>
      <c r="K19" s="48">
        <v>1947</v>
      </c>
    </row>
    <row r="20" spans="1:11" ht="16.2" customHeight="1">
      <c r="A20" s="42" t="s">
        <v>14</v>
      </c>
      <c r="B20" s="41">
        <v>718.3</v>
      </c>
      <c r="C20" s="41">
        <v>727.9</v>
      </c>
      <c r="D20" s="41">
        <v>736.5</v>
      </c>
      <c r="E20" s="41">
        <v>746.3</v>
      </c>
      <c r="F20" s="44"/>
      <c r="G20" s="47" t="s">
        <v>52</v>
      </c>
      <c r="H20" s="48">
        <v>3861</v>
      </c>
      <c r="I20" s="48">
        <v>6859</v>
      </c>
      <c r="J20" s="48">
        <v>3802.1</v>
      </c>
      <c r="K20" s="48">
        <v>4020</v>
      </c>
    </row>
    <row r="21" spans="1:11" ht="16.2" customHeight="1">
      <c r="A21" s="42" t="s">
        <v>15</v>
      </c>
      <c r="B21" s="41">
        <v>721.9</v>
      </c>
      <c r="C21" s="41">
        <v>732.3</v>
      </c>
      <c r="D21" s="41">
        <v>741.3</v>
      </c>
      <c r="E21" s="41">
        <v>751.8</v>
      </c>
      <c r="F21" s="44"/>
      <c r="G21" s="47" t="s">
        <v>51</v>
      </c>
      <c r="H21" s="48">
        <v>38424</v>
      </c>
      <c r="I21" s="48">
        <v>37153</v>
      </c>
      <c r="J21" s="48">
        <v>35903.5</v>
      </c>
      <c r="K21" s="48">
        <v>35622.699999999997</v>
      </c>
    </row>
    <row r="22" spans="1:11" ht="16.2" customHeight="1">
      <c r="A22" s="42" t="s">
        <v>92</v>
      </c>
      <c r="B22" s="45">
        <v>0.5675</v>
      </c>
      <c r="C22" s="45">
        <v>0.57120000000000004</v>
      </c>
      <c r="D22" s="45">
        <v>0.56969999999999998</v>
      </c>
      <c r="E22" s="45">
        <v>0.54169999999999996</v>
      </c>
      <c r="F22" s="44"/>
      <c r="G22" s="47" t="s">
        <v>50</v>
      </c>
      <c r="H22" s="46">
        <v>778</v>
      </c>
      <c r="I22" s="46">
        <v>790</v>
      </c>
      <c r="J22" s="46">
        <v>757.8</v>
      </c>
      <c r="K22" s="46">
        <v>738.3</v>
      </c>
    </row>
    <row r="23" spans="1:11" ht="16.2" customHeight="1">
      <c r="A23" s="42" t="s">
        <v>17</v>
      </c>
      <c r="B23" s="45">
        <v>0.45190000000000002</v>
      </c>
      <c r="C23" s="45">
        <v>0.45689999999999997</v>
      </c>
      <c r="D23" s="45">
        <v>0.40429999999999999</v>
      </c>
      <c r="E23" s="45">
        <v>0.44590000000000002</v>
      </c>
      <c r="F23" s="44"/>
      <c r="G23" s="47" t="s">
        <v>49</v>
      </c>
      <c r="H23" s="48">
        <v>1914</v>
      </c>
      <c r="I23" s="48">
        <v>1681</v>
      </c>
      <c r="J23" s="48">
        <v>1997.5</v>
      </c>
      <c r="K23" s="48">
        <v>2075.6</v>
      </c>
    </row>
    <row r="24" spans="1:11" ht="16.2" customHeight="1">
      <c r="A24" s="42" t="s">
        <v>18</v>
      </c>
      <c r="B24" s="45">
        <v>0.39910000000000001</v>
      </c>
      <c r="C24" s="45">
        <v>0.41270000000000001</v>
      </c>
      <c r="D24" s="45">
        <v>0.33750000000000002</v>
      </c>
      <c r="E24" s="45">
        <v>0.3931</v>
      </c>
      <c r="F24" s="44"/>
      <c r="G24" s="47" t="s">
        <v>48</v>
      </c>
      <c r="H24" s="48">
        <v>1115</v>
      </c>
      <c r="I24" s="48">
        <v>1313</v>
      </c>
      <c r="J24" s="48">
        <v>1843.7</v>
      </c>
      <c r="K24" s="48">
        <v>2977.8</v>
      </c>
    </row>
    <row r="25" spans="1:11" ht="16.2" customHeight="1">
      <c r="A25" s="42" t="s">
        <v>19</v>
      </c>
      <c r="B25" s="45">
        <v>0.31719999999999998</v>
      </c>
      <c r="C25" s="45">
        <v>0.3322</v>
      </c>
      <c r="D25" s="45">
        <v>0.26640000000000003</v>
      </c>
      <c r="E25" s="45">
        <v>0.32490000000000002</v>
      </c>
      <c r="F25" s="44"/>
      <c r="G25" s="47" t="s">
        <v>47</v>
      </c>
      <c r="H25" s="48">
        <v>55119</v>
      </c>
      <c r="I25" s="48">
        <v>53995</v>
      </c>
      <c r="J25" s="48">
        <v>52636.9</v>
      </c>
      <c r="K25" s="48">
        <v>54435.3</v>
      </c>
    </row>
    <row r="26" spans="1:11" ht="16.2" customHeight="1">
      <c r="A26" s="42" t="s">
        <v>20</v>
      </c>
      <c r="B26" s="45">
        <v>0.2621</v>
      </c>
      <c r="C26" s="45">
        <v>0.2883</v>
      </c>
      <c r="D26" s="45">
        <v>0.2384</v>
      </c>
      <c r="E26" s="45">
        <v>0.31040000000000001</v>
      </c>
      <c r="F26" s="44"/>
      <c r="G26" s="47" t="s">
        <v>46</v>
      </c>
      <c r="H26" s="48">
        <v>58979</v>
      </c>
      <c r="I26" s="48">
        <v>60854</v>
      </c>
      <c r="J26" s="48">
        <v>56439</v>
      </c>
      <c r="K26" s="48">
        <v>58455.3</v>
      </c>
    </row>
    <row r="27" spans="1:11" ht="16.2" customHeight="1">
      <c r="A27" s="42" t="s">
        <v>21</v>
      </c>
      <c r="B27" s="43">
        <v>13809</v>
      </c>
      <c r="C27" s="43">
        <v>13625</v>
      </c>
      <c r="D27" s="43">
        <v>11243</v>
      </c>
      <c r="E27" s="43">
        <v>12224.1</v>
      </c>
      <c r="F27" s="44"/>
      <c r="G27" s="47" t="s">
        <v>45</v>
      </c>
      <c r="H27" s="48">
        <v>9281</v>
      </c>
      <c r="I27" s="48">
        <v>8893</v>
      </c>
      <c r="J27" s="48">
        <v>8547.1</v>
      </c>
      <c r="K27" s="48">
        <v>8231.6</v>
      </c>
    </row>
    <row r="28" spans="1:11" ht="16.2" customHeight="1">
      <c r="A28" s="42" t="s">
        <v>22</v>
      </c>
      <c r="B28" s="43">
        <v>11712</v>
      </c>
      <c r="C28" s="43">
        <v>11647</v>
      </c>
      <c r="D28" s="43">
        <v>9372</v>
      </c>
      <c r="E28" s="43">
        <v>10356</v>
      </c>
      <c r="F28" s="44"/>
      <c r="G28" s="47" t="s">
        <v>44</v>
      </c>
      <c r="H28" s="46">
        <v>17</v>
      </c>
      <c r="I28" s="46">
        <v>17</v>
      </c>
      <c r="J28" s="46">
        <v>16.600000000000001</v>
      </c>
      <c r="K28" s="46">
        <v>16.600000000000001</v>
      </c>
    </row>
    <row r="29" spans="1:11" ht="16.2" customHeight="1">
      <c r="A29" s="42" t="s">
        <v>23</v>
      </c>
      <c r="B29" s="43">
        <v>8224</v>
      </c>
      <c r="C29" s="43">
        <v>8469</v>
      </c>
      <c r="D29" s="43">
        <v>6177</v>
      </c>
      <c r="E29" s="43">
        <v>7545.2</v>
      </c>
      <c r="F29" s="44"/>
      <c r="G29" s="47" t="s">
        <v>43</v>
      </c>
      <c r="H29" s="48">
        <v>66834</v>
      </c>
      <c r="I29" s="48">
        <v>63480</v>
      </c>
      <c r="J29" s="48">
        <v>59543.9</v>
      </c>
      <c r="K29" s="48">
        <v>57534.7</v>
      </c>
    </row>
    <row r="30" spans="1:11" ht="16.2" customHeight="1">
      <c r="A30" s="42" t="s">
        <v>24</v>
      </c>
      <c r="B30" s="43">
        <v>8224</v>
      </c>
      <c r="C30" s="43">
        <v>8469</v>
      </c>
      <c r="D30" s="43">
        <v>6177</v>
      </c>
      <c r="E30" s="43">
        <v>7545.2</v>
      </c>
      <c r="F30" s="44"/>
      <c r="G30" s="47" t="s">
        <v>42</v>
      </c>
      <c r="H30" s="48">
        <v>77375</v>
      </c>
      <c r="I30" s="48">
        <v>74640</v>
      </c>
      <c r="J30" s="48">
        <v>71624.399999999994</v>
      </c>
      <c r="K30" s="48">
        <v>67810.2</v>
      </c>
    </row>
    <row r="31" spans="1:11" ht="16.2" customHeight="1">
      <c r="A31" s="42" t="s">
        <v>25</v>
      </c>
      <c r="B31" s="41">
        <v>11.45</v>
      </c>
      <c r="C31" s="41">
        <v>11.63</v>
      </c>
      <c r="D31" s="41">
        <v>8.39</v>
      </c>
      <c r="E31" s="41">
        <v>10.11</v>
      </c>
      <c r="F31" s="44"/>
      <c r="G31" s="47" t="s">
        <v>41</v>
      </c>
      <c r="H31" s="48">
        <v>-3796</v>
      </c>
      <c r="I31" s="48">
        <v>-4706</v>
      </c>
      <c r="J31" s="48">
        <v>-6003.4</v>
      </c>
      <c r="K31" s="48">
        <v>-4601.01</v>
      </c>
    </row>
    <row r="32" spans="1:11" ht="16.2" customHeight="1">
      <c r="A32" s="42" t="s">
        <v>26</v>
      </c>
      <c r="B32" s="41">
        <v>11.45</v>
      </c>
      <c r="C32" s="41">
        <v>11.63</v>
      </c>
      <c r="D32" s="41">
        <v>8.39</v>
      </c>
      <c r="E32" s="41">
        <v>10.11</v>
      </c>
      <c r="F32" s="44"/>
      <c r="G32" s="47" t="s">
        <v>40</v>
      </c>
      <c r="H32" s="48">
        <v>-3797</v>
      </c>
      <c r="I32" s="48">
        <v>-4707</v>
      </c>
      <c r="J32" s="48">
        <v>-6003.4</v>
      </c>
      <c r="K32" s="48">
        <v>-4601</v>
      </c>
    </row>
    <row r="33" spans="1:11" ht="16.2" customHeight="1">
      <c r="A33" s="42" t="s">
        <v>27</v>
      </c>
      <c r="B33" s="41">
        <v>11.39</v>
      </c>
      <c r="C33" s="41">
        <v>11.56</v>
      </c>
      <c r="D33" s="41">
        <v>8.33</v>
      </c>
      <c r="E33" s="41">
        <v>10.039999999999999</v>
      </c>
      <c r="F33" s="44"/>
      <c r="G33" s="47" t="s">
        <v>39</v>
      </c>
      <c r="H33" s="48">
        <v>55182</v>
      </c>
      <c r="I33" s="48">
        <v>56147</v>
      </c>
      <c r="J33" s="48">
        <v>50435.6</v>
      </c>
      <c r="K33" s="48">
        <v>53854.3</v>
      </c>
    </row>
    <row r="34" spans="1:11" ht="16.2" customHeight="1">
      <c r="A34" s="42" t="s">
        <v>28</v>
      </c>
      <c r="B34" s="41">
        <v>721.9</v>
      </c>
      <c r="C34" s="41">
        <v>732.3</v>
      </c>
      <c r="D34" s="41">
        <v>741.3</v>
      </c>
      <c r="E34" s="41">
        <v>751.8</v>
      </c>
      <c r="F34" s="44"/>
      <c r="G34" s="47" t="s">
        <v>38</v>
      </c>
      <c r="H34" s="46">
        <v>715.2</v>
      </c>
      <c r="I34" s="46">
        <v>722.7</v>
      </c>
      <c r="J34" s="46">
        <v>731.3</v>
      </c>
      <c r="K34" s="46">
        <v>744.8</v>
      </c>
    </row>
    <row r="35" spans="1:11" ht="16.2" customHeight="1">
      <c r="A35" s="42" t="s">
        <v>29</v>
      </c>
      <c r="B35" s="41">
        <v>11.39</v>
      </c>
      <c r="C35" s="41">
        <v>11.56</v>
      </c>
      <c r="D35" s="41">
        <v>8.33</v>
      </c>
      <c r="E35" s="41">
        <v>10.039999999999999</v>
      </c>
      <c r="F35" s="44"/>
      <c r="G35" s="47" t="s">
        <v>37</v>
      </c>
      <c r="H35" s="48">
        <v>-6942</v>
      </c>
      <c r="I35" s="48">
        <v>-7747</v>
      </c>
      <c r="J35" s="48">
        <v>-8903.7999999999993</v>
      </c>
      <c r="K35" s="48">
        <v>-7383.5</v>
      </c>
    </row>
    <row r="36" spans="1:11" ht="16.2" customHeight="1">
      <c r="A36" s="42" t="s">
        <v>30</v>
      </c>
      <c r="B36" s="45">
        <v>0.53280000000000005</v>
      </c>
      <c r="C36" s="45">
        <v>0.53439999999999999</v>
      </c>
      <c r="D36" s="45">
        <v>0.48499999999999999</v>
      </c>
      <c r="E36" s="45">
        <v>0.52639999999999998</v>
      </c>
      <c r="F36" s="44"/>
      <c r="G36" s="47" t="s">
        <v>36</v>
      </c>
      <c r="H36" s="48">
        <v>37339</v>
      </c>
      <c r="I36" s="48">
        <v>34766</v>
      </c>
      <c r="J36" s="48">
        <v>33980.699999999997</v>
      </c>
      <c r="K36" s="48">
        <v>31619.5</v>
      </c>
    </row>
    <row r="37" spans="1:11" ht="16.2" customHeight="1">
      <c r="A37" s="42" t="s">
        <v>31</v>
      </c>
      <c r="B37" s="45">
        <v>0.36449999999999999</v>
      </c>
      <c r="C37" s="45">
        <v>0.377</v>
      </c>
      <c r="D37" s="45">
        <v>0.31859999999999999</v>
      </c>
      <c r="E37" s="45">
        <v>0.39360000000000001</v>
      </c>
      <c r="F37" s="42"/>
      <c r="G37" s="47" t="s">
        <v>35</v>
      </c>
      <c r="H37" s="48">
        <v>38424</v>
      </c>
      <c r="I37" s="48">
        <v>39345</v>
      </c>
      <c r="J37" s="48">
        <v>36564.5</v>
      </c>
      <c r="K37" s="48">
        <v>36328.699999999997</v>
      </c>
    </row>
    <row r="38" spans="1:11" ht="16.2" customHeight="1">
      <c r="A38" t="s">
        <v>67</v>
      </c>
      <c r="B38">
        <v>1085</v>
      </c>
      <c r="C38">
        <v>4579</v>
      </c>
      <c r="D38">
        <v>2583.8000000000002</v>
      </c>
      <c r="E38">
        <v>4709.2</v>
      </c>
    </row>
    <row r="39" spans="1:11" ht="16.2" customHeight="1">
      <c r="A39" t="s">
        <v>99</v>
      </c>
      <c r="B39">
        <v>2383</v>
      </c>
      <c r="C39">
        <v>2488</v>
      </c>
      <c r="D39">
        <v>2115</v>
      </c>
      <c r="E39">
        <v>1872.4</v>
      </c>
      <c r="G39" s="49" t="s">
        <v>115</v>
      </c>
    </row>
    <row r="40" spans="1:11" ht="16.2" customHeight="1">
      <c r="A40" t="s">
        <v>66</v>
      </c>
      <c r="B40">
        <v>56</v>
      </c>
      <c r="C40">
        <v>53</v>
      </c>
      <c r="D40">
        <v>52</v>
      </c>
      <c r="E40">
        <v>55.6</v>
      </c>
    </row>
    <row r="41" spans="1:11" ht="16.2" customHeight="1">
      <c r="A41" t="s">
        <v>65</v>
      </c>
      <c r="B41">
        <v>1130</v>
      </c>
      <c r="C41">
        <v>919.1</v>
      </c>
      <c r="D41">
        <v>673</v>
      </c>
      <c r="E41">
        <v>511</v>
      </c>
    </row>
    <row r="42" spans="1:11" ht="16.2" customHeight="1">
      <c r="A42" t="s">
        <v>64</v>
      </c>
      <c r="B42">
        <v>4599</v>
      </c>
      <c r="C42">
        <v>7986</v>
      </c>
      <c r="D42">
        <v>5424.2</v>
      </c>
      <c r="E42">
        <v>7148.5</v>
      </c>
    </row>
    <row r="43" spans="1:11" ht="16.2" customHeight="1">
      <c r="A43" t="s">
        <v>63</v>
      </c>
      <c r="B43">
        <v>25295</v>
      </c>
      <c r="C43">
        <v>24908</v>
      </c>
      <c r="D43">
        <v>23773.599999999999</v>
      </c>
      <c r="E43">
        <v>24720.6</v>
      </c>
    </row>
    <row r="44" spans="1:11" ht="16.2" customHeight="1">
      <c r="A44" t="s">
        <v>62</v>
      </c>
      <c r="B44">
        <v>2710</v>
      </c>
      <c r="C44">
        <v>1080</v>
      </c>
      <c r="D44">
        <v>1064.5</v>
      </c>
      <c r="E44">
        <v>1201.2</v>
      </c>
    </row>
    <row r="45" spans="1:11" ht="16.2" customHeight="1">
      <c r="A45" t="s">
        <v>61</v>
      </c>
      <c r="B45">
        <v>3145</v>
      </c>
      <c r="C45">
        <v>3040</v>
      </c>
      <c r="D45">
        <v>2900.4</v>
      </c>
      <c r="E45">
        <v>2782.5</v>
      </c>
    </row>
    <row r="46" spans="1:11" ht="16.2" customHeight="1">
      <c r="A46" t="s">
        <v>60</v>
      </c>
      <c r="B46">
        <v>6095</v>
      </c>
      <c r="C46">
        <v>5618</v>
      </c>
      <c r="D46">
        <v>4707.2</v>
      </c>
      <c r="E46">
        <v>4449.5</v>
      </c>
    </row>
    <row r="47" spans="1:11" ht="16.2" customHeight="1">
      <c r="A47" t="s">
        <v>59</v>
      </c>
      <c r="B47">
        <v>50584</v>
      </c>
      <c r="C47">
        <v>48160</v>
      </c>
      <c r="D47">
        <v>45011.4</v>
      </c>
      <c r="E47">
        <v>46705.8</v>
      </c>
    </row>
    <row r="48" spans="1:11" ht="16.2" customHeight="1">
      <c r="A48" t="s">
        <v>58</v>
      </c>
      <c r="B48">
        <v>55182</v>
      </c>
      <c r="C48">
        <v>56147</v>
      </c>
      <c r="D48">
        <v>50435.6</v>
      </c>
      <c r="E48">
        <v>53854.3</v>
      </c>
    </row>
    <row r="49" spans="1:5" ht="16.2" customHeight="1">
      <c r="A49" t="s">
        <v>57</v>
      </c>
      <c r="B49">
        <v>1029</v>
      </c>
      <c r="C49">
        <v>1103</v>
      </c>
      <c r="D49">
        <v>980.2</v>
      </c>
      <c r="E49">
        <v>1006.8</v>
      </c>
    </row>
    <row r="50" spans="1:5" ht="16.2" customHeight="1">
      <c r="A50" t="s">
        <v>56</v>
      </c>
      <c r="B50">
        <v>1611</v>
      </c>
      <c r="C50">
        <v>1903</v>
      </c>
      <c r="D50">
        <v>1630.8</v>
      </c>
      <c r="E50">
        <v>1710.3</v>
      </c>
    </row>
    <row r="51" spans="1:5" ht="16.2" customHeight="1">
      <c r="A51" t="s">
        <v>55</v>
      </c>
      <c r="B51" t="s">
        <v>112</v>
      </c>
      <c r="C51">
        <v>2192</v>
      </c>
      <c r="D51">
        <v>661</v>
      </c>
      <c r="E51">
        <v>706</v>
      </c>
    </row>
    <row r="52" spans="1:5" ht="16.2" customHeight="1">
      <c r="A52" t="s">
        <v>54</v>
      </c>
      <c r="B52">
        <v>361</v>
      </c>
      <c r="C52">
        <v>705</v>
      </c>
      <c r="D52">
        <v>274.89999999999998</v>
      </c>
      <c r="E52">
        <v>360.7</v>
      </c>
    </row>
    <row r="53" spans="1:5" ht="16.2" customHeight="1">
      <c r="A53" t="s">
        <v>53</v>
      </c>
      <c r="B53" t="s">
        <v>112</v>
      </c>
      <c r="C53" t="s">
        <v>112</v>
      </c>
      <c r="D53">
        <v>1886</v>
      </c>
      <c r="E53">
        <v>1947</v>
      </c>
    </row>
    <row r="54" spans="1:5" ht="16.2" customHeight="1">
      <c r="A54" t="s">
        <v>52</v>
      </c>
      <c r="B54">
        <v>3861</v>
      </c>
      <c r="C54">
        <v>6859</v>
      </c>
      <c r="D54">
        <v>3802.1</v>
      </c>
      <c r="E54">
        <v>4020</v>
      </c>
    </row>
    <row r="55" spans="1:5" ht="16.2" customHeight="1">
      <c r="A55" t="s">
        <v>51</v>
      </c>
      <c r="B55">
        <v>38424</v>
      </c>
      <c r="C55">
        <v>37153</v>
      </c>
      <c r="D55">
        <v>35903.5</v>
      </c>
      <c r="E55">
        <v>35622.699999999997</v>
      </c>
    </row>
    <row r="56" spans="1:5" ht="16.2" customHeight="1">
      <c r="A56" t="s">
        <v>50</v>
      </c>
      <c r="B56">
        <v>778</v>
      </c>
      <c r="C56">
        <v>790</v>
      </c>
      <c r="D56">
        <v>757.8</v>
      </c>
      <c r="E56">
        <v>738.3</v>
      </c>
    </row>
    <row r="57" spans="1:5" ht="16.2" customHeight="1">
      <c r="A57" t="s">
        <v>49</v>
      </c>
      <c r="B57">
        <v>1914</v>
      </c>
      <c r="C57">
        <v>1681</v>
      </c>
      <c r="D57">
        <v>1997.5</v>
      </c>
      <c r="E57">
        <v>2075.6</v>
      </c>
    </row>
    <row r="58" spans="1:5" ht="16.2" customHeight="1">
      <c r="A58" t="s">
        <v>48</v>
      </c>
      <c r="B58">
        <v>1115</v>
      </c>
      <c r="C58">
        <v>1313</v>
      </c>
      <c r="D58">
        <v>1843.7</v>
      </c>
      <c r="E58">
        <v>2977.8</v>
      </c>
    </row>
    <row r="59" spans="1:5" ht="16.2" customHeight="1">
      <c r="A59" t="s">
        <v>47</v>
      </c>
      <c r="B59">
        <v>55119</v>
      </c>
      <c r="C59">
        <v>53995</v>
      </c>
      <c r="D59">
        <v>52636.9</v>
      </c>
      <c r="E59">
        <v>54435.3</v>
      </c>
    </row>
    <row r="60" spans="1:5" ht="16.2" customHeight="1">
      <c r="A60" t="s">
        <v>46</v>
      </c>
      <c r="B60">
        <v>58979</v>
      </c>
      <c r="C60">
        <v>60854</v>
      </c>
      <c r="D60">
        <v>56439</v>
      </c>
      <c r="E60">
        <v>58455.3</v>
      </c>
    </row>
    <row r="61" spans="1:5" ht="16.2" customHeight="1">
      <c r="A61" t="s">
        <v>45</v>
      </c>
      <c r="B61">
        <v>9281</v>
      </c>
      <c r="C61">
        <v>8893</v>
      </c>
      <c r="D61">
        <v>8547.1</v>
      </c>
      <c r="E61">
        <v>8231.6</v>
      </c>
    </row>
    <row r="62" spans="1:5" ht="16.2" customHeight="1">
      <c r="A62" t="s">
        <v>44</v>
      </c>
      <c r="B62">
        <v>17</v>
      </c>
      <c r="C62">
        <v>17</v>
      </c>
      <c r="D62">
        <v>16.600000000000001</v>
      </c>
      <c r="E62">
        <v>16.600000000000001</v>
      </c>
    </row>
    <row r="63" spans="1:5" ht="16.2" customHeight="1">
      <c r="A63" t="s">
        <v>43</v>
      </c>
      <c r="B63">
        <v>66834</v>
      </c>
      <c r="C63">
        <v>63480</v>
      </c>
      <c r="D63">
        <v>59543.9</v>
      </c>
      <c r="E63">
        <v>57534.7</v>
      </c>
    </row>
    <row r="64" spans="1:5" ht="16.2" customHeight="1">
      <c r="A64" t="s">
        <v>42</v>
      </c>
      <c r="B64">
        <v>77375</v>
      </c>
      <c r="C64">
        <v>74640</v>
      </c>
      <c r="D64">
        <v>71624.399999999994</v>
      </c>
      <c r="E64">
        <v>67810.2</v>
      </c>
    </row>
    <row r="65" spans="1:5" ht="16.2" customHeight="1">
      <c r="A65" t="s">
        <v>41</v>
      </c>
      <c r="B65">
        <v>-3796</v>
      </c>
      <c r="C65">
        <v>-4706</v>
      </c>
      <c r="D65">
        <v>-6003.4</v>
      </c>
      <c r="E65">
        <v>-4601.01</v>
      </c>
    </row>
    <row r="66" spans="1:5" ht="16.2" customHeight="1">
      <c r="A66" t="s">
        <v>40</v>
      </c>
      <c r="B66">
        <v>-3797</v>
      </c>
      <c r="C66">
        <v>-4707</v>
      </c>
      <c r="D66">
        <v>-6003.4</v>
      </c>
      <c r="E66">
        <v>-4601</v>
      </c>
    </row>
    <row r="67" spans="1:5" ht="16.2" customHeight="1">
      <c r="A67" t="s">
        <v>39</v>
      </c>
      <c r="B67">
        <v>55182</v>
      </c>
      <c r="C67">
        <v>56147</v>
      </c>
      <c r="D67">
        <v>50435.6</v>
      </c>
      <c r="E67">
        <v>53854.3</v>
      </c>
    </row>
    <row r="68" spans="1:5" ht="16.2" customHeight="1">
      <c r="A68" t="s">
        <v>38</v>
      </c>
      <c r="B68">
        <v>715.2</v>
      </c>
      <c r="C68">
        <v>722.7</v>
      </c>
      <c r="D68">
        <v>731.3</v>
      </c>
      <c r="E68">
        <v>744.8</v>
      </c>
    </row>
    <row r="69" spans="1:5" ht="16.2" customHeight="1">
      <c r="A69" t="s">
        <v>37</v>
      </c>
      <c r="B69">
        <v>-6942</v>
      </c>
      <c r="C69">
        <v>-7747</v>
      </c>
      <c r="D69">
        <v>-8903.7999999999993</v>
      </c>
      <c r="E69">
        <v>-7383.5</v>
      </c>
    </row>
    <row r="70" spans="1:5" ht="16.2" customHeight="1">
      <c r="A70" t="s">
        <v>36</v>
      </c>
      <c r="B70">
        <v>37339</v>
      </c>
      <c r="C70">
        <v>34766</v>
      </c>
      <c r="D70">
        <v>33980.699999999997</v>
      </c>
      <c r="E70">
        <v>31619.5</v>
      </c>
    </row>
    <row r="71" spans="1:5" ht="16.2" customHeight="1">
      <c r="A71" t="s">
        <v>35</v>
      </c>
      <c r="B71">
        <v>38424</v>
      </c>
      <c r="C71">
        <v>39345</v>
      </c>
      <c r="D71">
        <v>36564.5</v>
      </c>
      <c r="E71">
        <v>36328.699999999997</v>
      </c>
    </row>
  </sheetData>
  <hyperlinks>
    <hyperlink ref="G39" r:id="rId1" display="https://stockrow.com/terms" xr:uid="{FFF63A5E-BE38-45ED-935A-7DDBCF443DE5}"/>
  </hyperlinks>
  <pageMargins left="0.7" right="0.7" top="0.75" bottom="0.75" header="0.3" footer="0.3"/>
  <pageSetup scale="49" orientation="portrait" horizontalDpi="300" verticalDpi="3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FDFEB-47D9-4D05-9D60-AD2610CA6DE7}">
  <sheetPr codeName="Sheet13">
    <tabColor rgb="FFFFFF00"/>
    <pageSetUpPr fitToPage="1"/>
  </sheetPr>
  <dimension ref="A1:X992"/>
  <sheetViews>
    <sheetView workbookViewId="0"/>
  </sheetViews>
  <sheetFormatPr defaultColWidth="13" defaultRowHeight="13.2"/>
  <cols>
    <col min="1" max="1" width="33.59765625" style="14" bestFit="1" customWidth="1"/>
    <col min="2" max="2" width="4.5" style="14" customWidth="1"/>
    <col min="3" max="4" width="10.19921875" style="14" bestFit="1" customWidth="1"/>
    <col min="5" max="5" width="10" style="14" bestFit="1" customWidth="1"/>
    <col min="6" max="6" width="10.19921875" style="14" bestFit="1" customWidth="1"/>
    <col min="7" max="7" width="12.59765625" style="14" customWidth="1"/>
    <col min="8" max="8" width="10.19921875" style="14" bestFit="1" customWidth="1"/>
    <col min="9" max="9" width="12.69921875" style="14" customWidth="1"/>
    <col min="10" max="10" width="8.19921875" style="14" customWidth="1"/>
    <col min="11" max="24" width="7.8984375" style="14" customWidth="1"/>
    <col min="25" max="16384" width="13" style="14"/>
  </cols>
  <sheetData>
    <row r="1" spans="1:24" ht="15" thickBot="1">
      <c r="A1" s="193" t="s">
        <v>78</v>
      </c>
      <c r="B1" s="194"/>
      <c r="C1" s="195" t="s">
        <v>104</v>
      </c>
      <c r="D1" s="195" t="s">
        <v>104</v>
      </c>
      <c r="E1" s="260" t="s">
        <v>117</v>
      </c>
      <c r="F1" s="195" t="s">
        <v>104</v>
      </c>
      <c r="G1" s="260" t="s">
        <v>114</v>
      </c>
      <c r="H1" s="195" t="s">
        <v>104</v>
      </c>
      <c r="I1" s="262" t="s">
        <v>116</v>
      </c>
      <c r="J1" s="24"/>
      <c r="K1" s="24"/>
      <c r="L1" s="24"/>
      <c r="M1" s="24"/>
      <c r="N1" s="24"/>
      <c r="O1" s="24"/>
      <c r="P1" s="24"/>
      <c r="Q1" s="24"/>
      <c r="R1" s="24"/>
      <c r="S1" s="24"/>
      <c r="T1" s="24"/>
      <c r="U1" s="24"/>
      <c r="V1" s="24"/>
      <c r="W1" s="24"/>
      <c r="X1" s="24"/>
    </row>
    <row r="2" spans="1:24" ht="14.4" thickBot="1">
      <c r="A2" s="196" t="s">
        <v>98</v>
      </c>
      <c r="B2" s="197"/>
      <c r="C2" s="198">
        <v>2024</v>
      </c>
      <c r="D2" s="198">
        <v>2023</v>
      </c>
      <c r="E2" s="261"/>
      <c r="F2" s="198">
        <v>2022</v>
      </c>
      <c r="G2" s="261"/>
      <c r="H2" s="198">
        <v>2021</v>
      </c>
      <c r="I2" s="263"/>
      <c r="J2" s="24"/>
      <c r="K2" s="24"/>
      <c r="L2" s="24"/>
      <c r="M2" s="24"/>
      <c r="N2" s="24"/>
      <c r="O2" s="24"/>
      <c r="P2" s="24"/>
      <c r="Q2" s="24"/>
      <c r="R2" s="24"/>
      <c r="S2" s="24"/>
      <c r="T2" s="24"/>
      <c r="U2" s="24"/>
      <c r="V2" s="24"/>
      <c r="W2" s="24"/>
      <c r="X2" s="24"/>
    </row>
    <row r="3" spans="1:24" ht="14.4">
      <c r="A3" s="118" t="s">
        <v>120</v>
      </c>
      <c r="B3" s="126"/>
      <c r="C3" s="123">
        <v>289.60000000000002</v>
      </c>
      <c r="D3" s="93">
        <v>296.51</v>
      </c>
      <c r="E3" s="85">
        <f>+(C3-D3)/D3</f>
        <v>-2.3304441671444364E-2</v>
      </c>
      <c r="F3" s="93">
        <v>263.52999999999997</v>
      </c>
      <c r="G3" s="85">
        <f>+(D3-F3)/F3</f>
        <v>0.12514704208249544</v>
      </c>
      <c r="H3" s="93">
        <v>267.20999999999998</v>
      </c>
      <c r="I3" s="85">
        <f>(F3-H3)/H3</f>
        <v>-1.3771939672916459E-2</v>
      </c>
      <c r="J3" s="27"/>
      <c r="K3" s="24"/>
      <c r="L3" s="24"/>
      <c r="M3" s="24"/>
      <c r="N3" s="24"/>
      <c r="O3" s="24"/>
      <c r="P3" s="24"/>
      <c r="Q3" s="24"/>
      <c r="R3" s="24"/>
      <c r="S3" s="24"/>
      <c r="T3" s="24"/>
      <c r="U3" s="24"/>
      <c r="V3" s="24"/>
      <c r="W3" s="24"/>
      <c r="X3" s="24"/>
    </row>
    <row r="4" spans="1:24" ht="14.4">
      <c r="A4" s="119" t="s">
        <v>0</v>
      </c>
      <c r="B4" s="127"/>
      <c r="C4" s="124">
        <f>_xlfn.XLOOKUP(A4,'M24-21'!$A$4:$A$71,'M24-21'!$B$4:$B$71)</f>
        <v>25920</v>
      </c>
      <c r="D4" s="107">
        <f>_xlfn.XLOOKUP(A4,'M24-21'!$A$4:$A$71,'M24-21'!$C$4:$C$71)</f>
        <v>25494</v>
      </c>
      <c r="E4" s="36">
        <f t="shared" ref="E4:E19" si="0">+(C4-D4)/D4</f>
        <v>1.670981407389974E-2</v>
      </c>
      <c r="F4" s="107">
        <f>_xlfn.XLOOKUP(A4,'M24-21'!$A$4:$A$71,'M24-21'!$D$4:$D$71)</f>
        <v>23183</v>
      </c>
      <c r="G4" s="36">
        <f t="shared" ref="G4:G19" si="1">+(D4-F4)/F4</f>
        <v>9.9685114092222749E-2</v>
      </c>
      <c r="H4" s="107">
        <f>_xlfn.XLOOKUP(A4,'M24-21'!$A$4:$A$71,'M24-21'!$E$4:$E$71)</f>
        <v>23222.9</v>
      </c>
      <c r="I4" s="36">
        <f t="shared" ref="I4:I19" si="2">(F4-H4)/H4</f>
        <v>-1.7181316717550974E-3</v>
      </c>
      <c r="J4" s="24"/>
      <c r="K4" s="24"/>
      <c r="L4" s="24"/>
      <c r="M4" s="24"/>
      <c r="N4" s="24"/>
      <c r="O4" s="24"/>
      <c r="P4" s="24"/>
      <c r="Q4" s="24"/>
      <c r="R4" s="24"/>
      <c r="S4" s="24"/>
      <c r="T4" s="24"/>
      <c r="U4" s="24"/>
      <c r="V4" s="24"/>
      <c r="W4" s="24"/>
      <c r="X4" s="24"/>
    </row>
    <row r="5" spans="1:24" ht="14.4">
      <c r="A5" s="119" t="s">
        <v>2</v>
      </c>
      <c r="B5" s="127"/>
      <c r="C5" s="124">
        <f>_xlfn.XLOOKUP(A5,'M24-21'!$A$4:$A$71,'M24-21'!$B$4:$B$71)</f>
        <v>11210</v>
      </c>
      <c r="D5" s="107">
        <f>_xlfn.XLOOKUP(A5,'M24-21'!$A$4:$A$71,'M24-21'!$C$4:$C$71)</f>
        <v>10931</v>
      </c>
      <c r="E5" s="36">
        <f t="shared" si="0"/>
        <v>2.5523739822523098E-2</v>
      </c>
      <c r="F5" s="107">
        <f>_xlfn.XLOOKUP(A5,'M24-21'!$A$4:$A$71,'M24-21'!$D$4:$D$71)</f>
        <v>9975</v>
      </c>
      <c r="G5" s="36">
        <f t="shared" si="1"/>
        <v>9.5839598997493738E-2</v>
      </c>
      <c r="H5" s="107">
        <f>_xlfn.XLOOKUP(A5,'M24-21'!$A$4:$A$71,'M24-21'!$E$4:$E$71)</f>
        <v>10642.7</v>
      </c>
      <c r="I5" s="36">
        <f t="shared" si="2"/>
        <v>-6.2737839082187857E-2</v>
      </c>
      <c r="J5" s="24"/>
      <c r="K5" s="24"/>
      <c r="L5" s="24"/>
      <c r="M5" s="24"/>
      <c r="N5" s="24"/>
      <c r="O5" s="24"/>
      <c r="P5" s="24"/>
      <c r="Q5" s="24"/>
      <c r="R5" s="24"/>
      <c r="S5" s="24"/>
      <c r="T5" s="24"/>
      <c r="U5" s="24"/>
      <c r="V5" s="24"/>
      <c r="W5" s="24"/>
      <c r="X5" s="24"/>
    </row>
    <row r="6" spans="1:24" ht="14.4">
      <c r="A6" s="120" t="s">
        <v>3</v>
      </c>
      <c r="B6" s="127"/>
      <c r="C6" s="124">
        <f>_xlfn.XLOOKUP(A6,'M24-21'!$A$4:$A$71,'M24-21'!$B$4:$B$71)</f>
        <v>14710</v>
      </c>
      <c r="D6" s="107">
        <f>_xlfn.XLOOKUP(A6,'M24-21'!$A$4:$A$71,'M24-21'!$C$4:$C$71)</f>
        <v>14563</v>
      </c>
      <c r="E6" s="36">
        <f t="shared" si="0"/>
        <v>1.0094074023209504E-2</v>
      </c>
      <c r="F6" s="107">
        <f>_xlfn.XLOOKUP(A6,'M24-21'!$A$4:$A$71,'M24-21'!$D$4:$D$71)</f>
        <v>13208</v>
      </c>
      <c r="G6" s="36">
        <f t="shared" si="1"/>
        <v>0.1025893397940642</v>
      </c>
      <c r="H6" s="107">
        <f>_xlfn.XLOOKUP(A6,'M24-21'!$A$4:$A$71,'M24-21'!$E$4:$E$71)</f>
        <v>12580.2</v>
      </c>
      <c r="I6" s="36">
        <f t="shared" si="2"/>
        <v>4.990381710942586E-2</v>
      </c>
      <c r="J6" s="24"/>
      <c r="K6" s="24"/>
      <c r="L6" s="24"/>
      <c r="M6" s="24"/>
      <c r="N6" s="24"/>
      <c r="O6" s="24"/>
      <c r="P6" s="24"/>
      <c r="Q6" s="24"/>
      <c r="R6" s="24"/>
      <c r="S6" s="24"/>
      <c r="T6" s="24"/>
      <c r="U6" s="24"/>
      <c r="V6" s="24"/>
      <c r="W6" s="24"/>
      <c r="X6" s="24"/>
    </row>
    <row r="7" spans="1:24" ht="14.4">
      <c r="A7" s="119" t="s">
        <v>4</v>
      </c>
      <c r="B7" s="127"/>
      <c r="C7" s="124">
        <f>_xlfn.XLOOKUP(A7,'M24-21'!$A$4:$A$71,'M24-21'!$B$4:$B$71)</f>
        <v>2412</v>
      </c>
      <c r="D7" s="107">
        <f>_xlfn.XLOOKUP(A7,'M24-21'!$A$4:$A$71,'M24-21'!$C$4:$C$71)</f>
        <v>2435</v>
      </c>
      <c r="E7" s="36">
        <f t="shared" si="0"/>
        <v>-9.4455852156057497E-3</v>
      </c>
      <c r="F7" s="107">
        <f>_xlfn.XLOOKUP(A7,'M24-21'!$A$4:$A$71,'M24-21'!$D$4:$D$71)</f>
        <v>2492</v>
      </c>
      <c r="G7" s="36">
        <f t="shared" si="1"/>
        <v>-2.2873194221508828E-2</v>
      </c>
      <c r="H7" s="107">
        <f>_xlfn.XLOOKUP(A7,'M24-21'!$A$4:$A$71,'M24-21'!$E$4:$E$71)</f>
        <v>2707.5</v>
      </c>
      <c r="I7" s="36">
        <f t="shared" si="2"/>
        <v>-7.9593721144967683E-2</v>
      </c>
      <c r="J7" s="24"/>
      <c r="K7" s="24"/>
      <c r="L7" s="24"/>
      <c r="M7" s="24"/>
      <c r="N7" s="24"/>
      <c r="O7" s="24"/>
      <c r="P7" s="24"/>
      <c r="Q7" s="24"/>
      <c r="R7" s="24"/>
      <c r="S7" s="24"/>
      <c r="T7" s="24"/>
      <c r="U7" s="24"/>
      <c r="V7" s="24"/>
      <c r="W7" s="24"/>
      <c r="X7" s="24"/>
    </row>
    <row r="8" spans="1:24" ht="14.4">
      <c r="A8" s="119" t="s">
        <v>5</v>
      </c>
      <c r="B8" s="127"/>
      <c r="C8" s="124">
        <f>_xlfn.XLOOKUP(A8,'M24-21'!$A$4:$A$71,'M24-21'!$B$4:$B$71)</f>
        <v>11712</v>
      </c>
      <c r="D8" s="107">
        <f>_xlfn.XLOOKUP(A8,'M24-21'!$A$4:$A$71,'M24-21'!$C$4:$C$71)</f>
        <v>11647</v>
      </c>
      <c r="E8" s="36">
        <f t="shared" si="0"/>
        <v>5.5808362668498326E-3</v>
      </c>
      <c r="F8" s="107">
        <f>_xlfn.XLOOKUP(A8,'M24-21'!$A$4:$A$71,'M24-21'!$D$4:$D$71)</f>
        <v>9372</v>
      </c>
      <c r="G8" s="36">
        <f t="shared" si="1"/>
        <v>0.2427443448570209</v>
      </c>
      <c r="H8" s="107">
        <f>_xlfn.XLOOKUP(A8,'M24-21'!$A$4:$A$71,'M24-21'!$E$4:$E$71)</f>
        <v>10356</v>
      </c>
      <c r="I8" s="36">
        <f t="shared" si="2"/>
        <v>-9.5017381228273468E-2</v>
      </c>
      <c r="J8" s="24"/>
      <c r="K8" s="24"/>
      <c r="L8" s="24"/>
      <c r="M8" s="24"/>
      <c r="N8" s="24"/>
      <c r="O8" s="24"/>
      <c r="P8" s="24"/>
      <c r="Q8" s="24"/>
      <c r="R8" s="24"/>
      <c r="S8" s="24"/>
      <c r="T8" s="24"/>
      <c r="U8" s="24"/>
      <c r="V8" s="24"/>
      <c r="W8" s="24"/>
      <c r="X8" s="24"/>
    </row>
    <row r="9" spans="1:24" ht="14.4">
      <c r="A9" s="121" t="s">
        <v>11</v>
      </c>
      <c r="B9" s="127"/>
      <c r="C9" s="124">
        <f>_xlfn.XLOOKUP(A9,'M24-21'!$A$4:$A$71,'M24-21'!$B$4:$B$71)</f>
        <v>8223</v>
      </c>
      <c r="D9" s="107">
        <f>_xlfn.XLOOKUP(A9,'M24-21'!$A$4:$A$71,'M24-21'!$C$4:$C$71)</f>
        <v>8469</v>
      </c>
      <c r="E9" s="36">
        <f t="shared" si="0"/>
        <v>-2.9047113000354233E-2</v>
      </c>
      <c r="F9" s="107">
        <f>_xlfn.XLOOKUP(A9,'M24-21'!$A$4:$A$71,'M24-21'!$D$4:$D$71)</f>
        <v>6177</v>
      </c>
      <c r="G9" s="36">
        <f t="shared" si="1"/>
        <v>0.37105390966488588</v>
      </c>
      <c r="H9" s="107">
        <f>_xlfn.XLOOKUP(A9,'M24-21'!$A$4:$A$71,'M24-21'!$E$4:$E$71)</f>
        <v>7545.2</v>
      </c>
      <c r="I9" s="36">
        <f t="shared" si="2"/>
        <v>-0.1813338281291417</v>
      </c>
      <c r="J9" s="24"/>
      <c r="K9" s="24"/>
      <c r="L9" s="24"/>
      <c r="M9" s="24"/>
      <c r="N9" s="24"/>
      <c r="O9" s="24"/>
      <c r="P9" s="24"/>
      <c r="Q9" s="24"/>
      <c r="R9" s="24"/>
      <c r="S9" s="24"/>
      <c r="T9" s="24"/>
      <c r="U9" s="24"/>
      <c r="V9" s="24"/>
      <c r="W9" s="24"/>
      <c r="X9" s="24"/>
    </row>
    <row r="10" spans="1:24" ht="14.4">
      <c r="A10" s="119" t="s">
        <v>67</v>
      </c>
      <c r="B10" s="127"/>
      <c r="C10" s="124">
        <f>_xlfn.XLOOKUP(A10,'M24-21'!$A$4:$A$71,'M24-21'!$B$4:$B$71)</f>
        <v>1085</v>
      </c>
      <c r="D10" s="107">
        <f>_xlfn.XLOOKUP(A10,'M24-21'!$A$4:$A$71,'M24-21'!$C$4:$C$71)</f>
        <v>4579</v>
      </c>
      <c r="E10" s="36">
        <f t="shared" si="0"/>
        <v>-0.76304870058964835</v>
      </c>
      <c r="F10" s="107">
        <f>_xlfn.XLOOKUP(A10,'M24-21'!$A$4:$A$71,'M24-21'!$D$4:$D$71)</f>
        <v>2583.8000000000002</v>
      </c>
      <c r="G10" s="36">
        <f t="shared" si="1"/>
        <v>0.7721959904017337</v>
      </c>
      <c r="H10" s="107">
        <f>_xlfn.XLOOKUP(A10,'M24-21'!$A$4:$A$71,'M24-21'!$E$4:$E$71)</f>
        <v>4709.2</v>
      </c>
      <c r="I10" s="36">
        <f t="shared" si="2"/>
        <v>-0.45132931283445166</v>
      </c>
      <c r="J10" s="24"/>
      <c r="K10" s="24"/>
      <c r="L10" s="24"/>
      <c r="M10" s="24"/>
      <c r="N10" s="24"/>
      <c r="O10" s="24"/>
      <c r="P10" s="24"/>
      <c r="Q10" s="24"/>
      <c r="R10" s="24"/>
      <c r="S10" s="24"/>
      <c r="T10" s="24"/>
      <c r="U10" s="24"/>
      <c r="V10" s="24"/>
      <c r="W10" s="24"/>
      <c r="X10" s="24"/>
    </row>
    <row r="11" spans="1:24" ht="14.4">
      <c r="A11" s="119" t="s">
        <v>99</v>
      </c>
      <c r="B11" s="127"/>
      <c r="C11" s="124">
        <f>_xlfn.XLOOKUP(A11,'M24-21'!$A$4:$A$71,'M24-21'!$B$4:$B$71)</f>
        <v>2383</v>
      </c>
      <c r="D11" s="107">
        <f>_xlfn.XLOOKUP(A11,'M24-21'!$A$4:$A$71,'M24-21'!$C$4:$C$71)</f>
        <v>2488</v>
      </c>
      <c r="E11" s="36">
        <f t="shared" si="0"/>
        <v>-4.2202572347266883E-2</v>
      </c>
      <c r="F11" s="107">
        <f>_xlfn.XLOOKUP(A11,'M24-21'!$A$4:$A$71,'M24-21'!$D$4:$D$71)</f>
        <v>2115</v>
      </c>
      <c r="G11" s="36">
        <f t="shared" si="1"/>
        <v>0.17635933806146573</v>
      </c>
      <c r="H11" s="107">
        <f>_xlfn.XLOOKUP(A11,'M24-21'!$A$4:$A$71,'M24-21'!$E$4:$E$71)</f>
        <v>1872.4</v>
      </c>
      <c r="I11" s="36">
        <f t="shared" si="2"/>
        <v>0.12956633198034603</v>
      </c>
      <c r="J11" s="24"/>
      <c r="K11" s="24"/>
      <c r="L11" s="24"/>
      <c r="M11" s="24"/>
      <c r="N11" s="24"/>
      <c r="O11" s="24"/>
      <c r="P11" s="24"/>
      <c r="Q11" s="24"/>
      <c r="R11" s="24"/>
      <c r="S11" s="24"/>
      <c r="T11" s="24"/>
      <c r="U11" s="24"/>
      <c r="V11" s="24"/>
      <c r="W11" s="24"/>
      <c r="X11" s="24"/>
    </row>
    <row r="12" spans="1:24" ht="14.4">
      <c r="A12" s="120" t="s">
        <v>66</v>
      </c>
      <c r="B12" s="127"/>
      <c r="C12" s="124">
        <f>_xlfn.XLOOKUP(A12,'M24-21'!$A$4:$A$71,'M24-21'!$B$4:$B$71)</f>
        <v>56</v>
      </c>
      <c r="D12" s="107">
        <f>_xlfn.XLOOKUP(A12,'M24-21'!$A$4:$A$71,'M24-21'!$C$4:$C$71)</f>
        <v>53</v>
      </c>
      <c r="E12" s="36">
        <f t="shared" si="0"/>
        <v>5.6603773584905662E-2</v>
      </c>
      <c r="F12" s="107">
        <f>_xlfn.XLOOKUP(A12,'M24-21'!$A$4:$A$71,'M24-21'!$D$4:$D$71)</f>
        <v>52</v>
      </c>
      <c r="G12" s="36">
        <f t="shared" si="1"/>
        <v>1.9230769230769232E-2</v>
      </c>
      <c r="H12" s="107">
        <f>_xlfn.XLOOKUP(A12,'M24-21'!$A$4:$A$71,'M24-21'!$E$4:$E$71)</f>
        <v>55.6</v>
      </c>
      <c r="I12" s="36">
        <f t="shared" si="2"/>
        <v>-6.4748201438848949E-2</v>
      </c>
      <c r="J12" s="24"/>
      <c r="K12" s="24"/>
      <c r="L12" s="24"/>
      <c r="M12" s="24"/>
      <c r="N12" s="24"/>
      <c r="O12" s="24"/>
      <c r="P12" s="24"/>
      <c r="Q12" s="24"/>
      <c r="R12" s="24"/>
      <c r="S12" s="24"/>
      <c r="T12" s="24"/>
      <c r="U12" s="24"/>
      <c r="V12" s="24"/>
      <c r="W12" s="24"/>
      <c r="X12" s="24"/>
    </row>
    <row r="13" spans="1:24" ht="14.4">
      <c r="A13" s="119" t="s">
        <v>64</v>
      </c>
      <c r="B13" s="127"/>
      <c r="C13" s="124">
        <f>_xlfn.XLOOKUP(A13,'M24-21'!$A$4:$A$71,'M24-21'!$B$4:$B$71)</f>
        <v>4599</v>
      </c>
      <c r="D13" s="107">
        <f>_xlfn.XLOOKUP(A13,'M24-21'!$A$4:$A$71,'M24-21'!$C$4:$C$71)</f>
        <v>7986</v>
      </c>
      <c r="E13" s="36">
        <f t="shared" si="0"/>
        <v>-0.42411720510894063</v>
      </c>
      <c r="F13" s="107">
        <f>_xlfn.XLOOKUP(A13,'M24-21'!$A$4:$A$71,'M24-21'!$D$4:$D$71)</f>
        <v>5424.2</v>
      </c>
      <c r="G13" s="36">
        <f t="shared" si="1"/>
        <v>0.47229084473286387</v>
      </c>
      <c r="H13" s="107">
        <f>_xlfn.XLOOKUP(A13,'M24-21'!$A$4:$A$71,'M24-21'!$E$4:$E$71)</f>
        <v>7148.5</v>
      </c>
      <c r="I13" s="36">
        <f t="shared" si="2"/>
        <v>-0.24121144296006158</v>
      </c>
      <c r="J13" s="24"/>
      <c r="K13" s="24"/>
      <c r="L13" s="24"/>
      <c r="M13" s="24"/>
      <c r="N13" s="24"/>
      <c r="O13" s="24"/>
      <c r="P13" s="24"/>
      <c r="Q13" s="24"/>
      <c r="R13" s="24"/>
      <c r="S13" s="24"/>
      <c r="T13" s="24"/>
      <c r="U13" s="24"/>
      <c r="V13" s="24"/>
      <c r="W13" s="24"/>
      <c r="X13" s="24"/>
    </row>
    <row r="14" spans="1:24" ht="14.4">
      <c r="A14" s="119" t="s">
        <v>58</v>
      </c>
      <c r="B14" s="127"/>
      <c r="C14" s="124">
        <f>_xlfn.XLOOKUP(A14,'M24-21'!$A$4:$A$71,'M24-21'!$B$4:$B$71)</f>
        <v>55182</v>
      </c>
      <c r="D14" s="107">
        <f>_xlfn.XLOOKUP(A14,'M24-21'!$A$4:$A$71,'M24-21'!$C$4:$C$71)</f>
        <v>56147</v>
      </c>
      <c r="E14" s="36">
        <f t="shared" si="0"/>
        <v>-1.7187026911500168E-2</v>
      </c>
      <c r="F14" s="107">
        <f>_xlfn.XLOOKUP(A14,'M24-21'!$A$4:$A$71,'M24-21'!$D$4:$D$71)</f>
        <v>50435.6</v>
      </c>
      <c r="G14" s="36">
        <f t="shared" si="1"/>
        <v>0.11324144056975631</v>
      </c>
      <c r="H14" s="107">
        <f>_xlfn.XLOOKUP(A14,'M24-21'!$A$4:$A$71,'M24-21'!$E$4:$E$71)</f>
        <v>53854.3</v>
      </c>
      <c r="I14" s="36">
        <f t="shared" si="2"/>
        <v>-6.3480539158433102E-2</v>
      </c>
      <c r="J14" s="24"/>
      <c r="K14" s="24"/>
      <c r="L14" s="24"/>
      <c r="M14" s="24"/>
      <c r="N14" s="24"/>
      <c r="O14" s="24"/>
      <c r="P14" s="24"/>
      <c r="Q14" s="24"/>
      <c r="R14" s="24"/>
      <c r="S14" s="24"/>
      <c r="T14" s="24"/>
      <c r="U14" s="24"/>
      <c r="V14" s="24"/>
      <c r="W14" s="24"/>
      <c r="X14" s="24"/>
    </row>
    <row r="15" spans="1:24" ht="14.4">
      <c r="A15" s="119" t="s">
        <v>52</v>
      </c>
      <c r="B15" s="127"/>
      <c r="C15" s="124">
        <f>_xlfn.XLOOKUP(A15,'M24-21'!$A$4:$A$71,'M24-21'!$B$4:$B$71)</f>
        <v>3861</v>
      </c>
      <c r="D15" s="107">
        <f>_xlfn.XLOOKUP(A15,'M24-21'!$A$4:$A$71,'M24-21'!$C$4:$C$71)</f>
        <v>6859</v>
      </c>
      <c r="E15" s="36">
        <f t="shared" si="0"/>
        <v>-0.43708995480390728</v>
      </c>
      <c r="F15" s="107">
        <f>_xlfn.XLOOKUP(A15,'M24-21'!$A$4:$A$71,'M24-21'!$D$4:$D$71)</f>
        <v>3802.1</v>
      </c>
      <c r="G15" s="36">
        <f t="shared" si="1"/>
        <v>0.80400305094553015</v>
      </c>
      <c r="H15" s="107">
        <f>_xlfn.XLOOKUP(A15,'M24-21'!$A$4:$A$71,'M24-21'!$E$4:$E$71)</f>
        <v>4020</v>
      </c>
      <c r="I15" s="36">
        <f t="shared" si="2"/>
        <v>-5.4203980099502509E-2</v>
      </c>
      <c r="J15" s="24"/>
      <c r="K15" s="24"/>
      <c r="L15" s="24"/>
      <c r="M15" s="24"/>
      <c r="N15" s="24"/>
      <c r="O15" s="24"/>
      <c r="P15" s="24"/>
      <c r="Q15" s="24"/>
      <c r="R15" s="24"/>
      <c r="S15" s="24"/>
      <c r="T15" s="24"/>
      <c r="U15" s="24"/>
      <c r="V15" s="24"/>
      <c r="W15" s="24"/>
      <c r="X15" s="24"/>
    </row>
    <row r="16" spans="1:24" ht="14.4">
      <c r="A16" s="119" t="s">
        <v>51</v>
      </c>
      <c r="B16" s="127"/>
      <c r="C16" s="124">
        <f>_xlfn.XLOOKUP(A16,'M24-21'!$A$4:$A$71,'M24-21'!$B$4:$B$71)</f>
        <v>38424</v>
      </c>
      <c r="D16" s="107">
        <f>_xlfn.XLOOKUP(A16,'M24-21'!$A$4:$A$71,'M24-21'!$C$4:$C$71)</f>
        <v>37153</v>
      </c>
      <c r="E16" s="36">
        <f t="shared" si="0"/>
        <v>3.4209888838048069E-2</v>
      </c>
      <c r="F16" s="107">
        <f>_xlfn.XLOOKUP(A16,'M24-21'!$A$4:$A$71,'M24-21'!$D$4:$D$71)</f>
        <v>35903.5</v>
      </c>
      <c r="G16" s="36">
        <f t="shared" si="1"/>
        <v>3.4801621011879065E-2</v>
      </c>
      <c r="H16" s="107">
        <f>_xlfn.XLOOKUP(A16,'M24-21'!$A$4:$A$71,'M24-21'!$E$4:$E$71)</f>
        <v>35622.699999999997</v>
      </c>
      <c r="I16" s="36">
        <f t="shared" si="2"/>
        <v>7.8826141757924843E-3</v>
      </c>
      <c r="J16" s="24"/>
      <c r="K16" s="24"/>
      <c r="L16" s="24"/>
      <c r="M16" s="24"/>
      <c r="N16" s="24"/>
      <c r="O16" s="24"/>
      <c r="P16" s="24"/>
      <c r="Q16" s="24"/>
      <c r="R16" s="24"/>
      <c r="S16" s="24"/>
      <c r="T16" s="24"/>
      <c r="U16" s="24"/>
      <c r="V16" s="24"/>
      <c r="W16" s="24"/>
      <c r="X16" s="24"/>
    </row>
    <row r="17" spans="1:24" ht="14.4">
      <c r="A17" s="119" t="s">
        <v>46</v>
      </c>
      <c r="B17" s="127"/>
      <c r="C17" s="124">
        <f>_xlfn.XLOOKUP(A17,'M24-21'!$A$4:$A$71,'M24-21'!$B$4:$B$71)</f>
        <v>58979</v>
      </c>
      <c r="D17" s="107">
        <f>_xlfn.XLOOKUP(A17,'M24-21'!$A$4:$A$71,'M24-21'!$C$4:$C$71)</f>
        <v>60854</v>
      </c>
      <c r="E17" s="36">
        <f t="shared" si="0"/>
        <v>-3.0811450356591184E-2</v>
      </c>
      <c r="F17" s="107">
        <f>_xlfn.XLOOKUP(A17,'M24-21'!$A$4:$A$71,'M24-21'!$D$4:$D$71)</f>
        <v>56439</v>
      </c>
      <c r="G17" s="36">
        <f t="shared" si="1"/>
        <v>7.8226049363029113E-2</v>
      </c>
      <c r="H17" s="107">
        <f>_xlfn.XLOOKUP(A17,'M24-21'!$A$4:$A$71,'M24-21'!$E$4:$E$71)</f>
        <v>58455.3</v>
      </c>
      <c r="I17" s="36">
        <f t="shared" si="2"/>
        <v>-3.44930228738883E-2</v>
      </c>
      <c r="J17" s="24"/>
      <c r="K17" s="24"/>
      <c r="L17" s="24"/>
      <c r="M17" s="24"/>
      <c r="N17" s="24"/>
      <c r="O17" s="24"/>
      <c r="P17" s="24"/>
      <c r="Q17" s="24"/>
      <c r="R17" s="24"/>
      <c r="S17" s="24"/>
      <c r="T17" s="24"/>
      <c r="U17" s="24"/>
      <c r="V17" s="24"/>
      <c r="W17" s="24"/>
      <c r="X17" s="24"/>
    </row>
    <row r="18" spans="1:24" ht="14.4">
      <c r="A18" s="119" t="s">
        <v>41</v>
      </c>
      <c r="B18" s="127"/>
      <c r="C18" s="124">
        <f>_xlfn.XLOOKUP(A18,'M24-21'!$A$4:$A$71,'M24-21'!$B$4:$B$71)</f>
        <v>-3796</v>
      </c>
      <c r="D18" s="107">
        <f>_xlfn.XLOOKUP(A18,'M24-21'!$A$4:$A$71,'M24-21'!$C$4:$C$71)</f>
        <v>-4706</v>
      </c>
      <c r="E18" s="36">
        <f t="shared" si="0"/>
        <v>-0.19337016574585636</v>
      </c>
      <c r="F18" s="107">
        <f>_xlfn.XLOOKUP(A18,'M24-21'!$A$4:$A$71,'M24-21'!$D$4:$D$71)</f>
        <v>-6003.4</v>
      </c>
      <c r="G18" s="36">
        <f t="shared" si="1"/>
        <v>-0.21611087050671282</v>
      </c>
      <c r="H18" s="107">
        <f>_xlfn.XLOOKUP(A18,'M24-21'!$A$4:$A$71,'M24-21'!$E$4:$E$71)</f>
        <v>-4601.01</v>
      </c>
      <c r="I18" s="36">
        <f t="shared" si="2"/>
        <v>0.30480046772339103</v>
      </c>
      <c r="J18" s="24"/>
      <c r="K18" s="24"/>
      <c r="L18" s="24"/>
      <c r="M18" s="24"/>
      <c r="N18" s="24"/>
      <c r="O18" s="24"/>
      <c r="P18" s="24"/>
      <c r="Q18" s="24"/>
      <c r="R18" s="24"/>
      <c r="S18" s="24"/>
      <c r="T18" s="24"/>
      <c r="U18" s="24"/>
      <c r="V18" s="24"/>
      <c r="W18" s="24"/>
      <c r="X18" s="24"/>
    </row>
    <row r="19" spans="1:24" ht="15" thickBot="1">
      <c r="A19" s="122" t="s">
        <v>14</v>
      </c>
      <c r="B19" s="128"/>
      <c r="C19" s="125">
        <f>_xlfn.XLOOKUP(A19,'M24-21'!$A$4:$A$71,'M24-21'!$B$4:$B$71)</f>
        <v>718.3</v>
      </c>
      <c r="D19" s="108">
        <f>_xlfn.XLOOKUP(A19,'M24-21'!$A$4:$A$71,'M24-21'!$C$4:$C$71)</f>
        <v>727.9</v>
      </c>
      <c r="E19" s="88">
        <f t="shared" si="0"/>
        <v>-1.3188624811100457E-2</v>
      </c>
      <c r="F19" s="108">
        <f>_xlfn.XLOOKUP(A19,'M24-21'!$A$4:$A$71,'M24-21'!$D$4:$D$71)</f>
        <v>736.5</v>
      </c>
      <c r="G19" s="88">
        <f t="shared" si="1"/>
        <v>-1.16768499660557E-2</v>
      </c>
      <c r="H19" s="108">
        <f>_xlfn.XLOOKUP(A19,'M24-21'!$A$4:$A$71,'M24-21'!$E$4:$E$71)</f>
        <v>746.3</v>
      </c>
      <c r="I19" s="88">
        <f t="shared" si="2"/>
        <v>-1.3131448479163815E-2</v>
      </c>
      <c r="J19" s="24"/>
      <c r="K19" s="24"/>
      <c r="L19" s="24"/>
      <c r="M19" s="24"/>
      <c r="N19" s="24"/>
      <c r="O19" s="24"/>
      <c r="P19" s="24"/>
      <c r="Q19" s="24"/>
      <c r="R19" s="24"/>
      <c r="S19" s="24"/>
      <c r="T19" s="24"/>
      <c r="U19" s="24"/>
      <c r="V19" s="24"/>
      <c r="W19" s="24"/>
      <c r="X19" s="24"/>
    </row>
    <row r="20" spans="1:24" ht="15" thickBot="1">
      <c r="A20" s="199" t="s">
        <v>81</v>
      </c>
      <c r="B20" s="200"/>
      <c r="C20" s="201" t="s">
        <v>104</v>
      </c>
      <c r="D20" s="195" t="s">
        <v>104</v>
      </c>
      <c r="E20" s="260" t="s">
        <v>117</v>
      </c>
      <c r="F20" s="195" t="s">
        <v>104</v>
      </c>
      <c r="G20" s="260" t="s">
        <v>114</v>
      </c>
      <c r="H20" s="195" t="s">
        <v>104</v>
      </c>
      <c r="I20" s="262" t="s">
        <v>116</v>
      </c>
      <c r="J20" s="24"/>
      <c r="K20" s="24"/>
      <c r="L20" s="24"/>
      <c r="M20" s="24"/>
      <c r="N20" s="24"/>
      <c r="O20" s="24"/>
      <c r="P20" s="24"/>
      <c r="Q20" s="24"/>
      <c r="R20" s="24"/>
      <c r="S20" s="24"/>
      <c r="T20" s="24"/>
      <c r="U20" s="24"/>
      <c r="V20" s="24"/>
      <c r="W20" s="24"/>
      <c r="X20" s="24"/>
    </row>
    <row r="21" spans="1:24" ht="15" thickBot="1">
      <c r="A21" s="202" t="s">
        <v>82</v>
      </c>
      <c r="B21" s="203"/>
      <c r="C21" s="204">
        <v>2024</v>
      </c>
      <c r="D21" s="198">
        <v>2023</v>
      </c>
      <c r="E21" s="261"/>
      <c r="F21" s="198">
        <v>2022</v>
      </c>
      <c r="G21" s="261"/>
      <c r="H21" s="198">
        <v>2021</v>
      </c>
      <c r="I21" s="263"/>
      <c r="J21" s="24"/>
      <c r="K21" s="24"/>
      <c r="L21" s="24"/>
      <c r="M21" s="24"/>
      <c r="N21" s="24"/>
      <c r="O21" s="24"/>
      <c r="P21" s="24"/>
      <c r="Q21" s="24"/>
      <c r="R21" s="24"/>
      <c r="S21" s="24"/>
      <c r="T21" s="24"/>
      <c r="U21" s="24"/>
      <c r="V21" s="24"/>
      <c r="W21" s="24"/>
      <c r="X21" s="24"/>
    </row>
    <row r="22" spans="1:24" ht="14.4">
      <c r="A22" s="118" t="s">
        <v>83</v>
      </c>
      <c r="B22" s="127"/>
      <c r="C22" s="131">
        <f>C13/C15</f>
        <v>1.1911421911421911</v>
      </c>
      <c r="D22" s="84">
        <f t="shared" ref="D22:F22" si="3">D13/D15</f>
        <v>1.1643096661320893</v>
      </c>
      <c r="E22" s="85">
        <f>(C22-D22)/D22</f>
        <v>2.304586639673031E-2</v>
      </c>
      <c r="F22" s="84">
        <f t="shared" si="3"/>
        <v>1.4266326503774229</v>
      </c>
      <c r="G22" s="94">
        <f>(D22-F22)/F22</f>
        <v>-0.18387563482157424</v>
      </c>
      <c r="H22" s="84">
        <f>H13/H15</f>
        <v>1.7782338308457712</v>
      </c>
      <c r="I22" s="85">
        <f>(F22-H22)/H22</f>
        <v>-0.19772494166367213</v>
      </c>
      <c r="J22" s="24"/>
      <c r="K22" s="24"/>
      <c r="L22" s="24"/>
      <c r="M22" s="24"/>
      <c r="N22" s="24"/>
      <c r="O22" s="24"/>
      <c r="P22" s="24"/>
      <c r="Q22" s="24"/>
      <c r="R22" s="24"/>
      <c r="S22" s="24"/>
      <c r="T22" s="24"/>
      <c r="U22" s="24"/>
      <c r="V22" s="24"/>
      <c r="W22" s="24"/>
      <c r="X22" s="24"/>
    </row>
    <row r="23" spans="1:24" ht="14.4">
      <c r="A23" s="120" t="s">
        <v>84</v>
      </c>
      <c r="B23" s="127"/>
      <c r="C23" s="132">
        <f>(C13-C12)/C15</f>
        <v>1.1766381766381766</v>
      </c>
      <c r="D23" s="38">
        <f t="shared" ref="D23:H23" si="4">(D13-D12)/D15</f>
        <v>1.1565825922146085</v>
      </c>
      <c r="E23" s="36">
        <f t="shared" ref="E23:E44" si="5">(C23-D23)/D23</f>
        <v>1.7340382397737789E-2</v>
      </c>
      <c r="F23" s="38">
        <f t="shared" si="4"/>
        <v>1.4129559980011046</v>
      </c>
      <c r="G23" s="91">
        <f t="shared" ref="G23:G44" si="6">(D23-F23)/F23</f>
        <v>-0.18144472025256636</v>
      </c>
      <c r="H23" s="38">
        <f t="shared" si="4"/>
        <v>1.7644029850746268</v>
      </c>
      <c r="I23" s="36">
        <f t="shared" ref="I23:I44" si="7">(F23-H23)/H23</f>
        <v>-0.19918748157108646</v>
      </c>
      <c r="J23" s="24"/>
      <c r="K23" s="24"/>
      <c r="L23" s="24"/>
      <c r="M23" s="24"/>
      <c r="N23" s="24"/>
      <c r="O23" s="24"/>
      <c r="P23" s="24"/>
      <c r="Q23" s="24"/>
      <c r="R23" s="24"/>
      <c r="S23" s="24"/>
      <c r="T23" s="24"/>
      <c r="U23" s="24"/>
      <c r="V23" s="24"/>
      <c r="W23" s="24"/>
      <c r="X23" s="24"/>
    </row>
    <row r="24" spans="1:24" ht="15" thickBot="1">
      <c r="A24" s="129" t="s">
        <v>85</v>
      </c>
      <c r="B24" s="180"/>
      <c r="C24" s="134">
        <f>C13-C15</f>
        <v>738</v>
      </c>
      <c r="D24" s="87">
        <f t="shared" ref="D24:H24" si="8">D13-D15</f>
        <v>1127</v>
      </c>
      <c r="E24" s="88">
        <f t="shared" si="5"/>
        <v>-0.34516415261756878</v>
      </c>
      <c r="F24" s="87">
        <f t="shared" si="8"/>
        <v>1622.1</v>
      </c>
      <c r="G24" s="97">
        <f t="shared" si="6"/>
        <v>-0.30522162628691196</v>
      </c>
      <c r="H24" s="87">
        <f t="shared" si="8"/>
        <v>3128.5</v>
      </c>
      <c r="I24" s="88">
        <f t="shared" si="7"/>
        <v>-0.48150871024452618</v>
      </c>
      <c r="J24" s="24"/>
      <c r="K24" s="24"/>
      <c r="L24" s="24"/>
      <c r="M24" s="24"/>
      <c r="N24" s="24"/>
      <c r="O24" s="24"/>
      <c r="P24" s="24"/>
      <c r="Q24" s="24"/>
      <c r="R24" s="24"/>
      <c r="S24" s="24"/>
      <c r="T24" s="24"/>
      <c r="U24" s="24"/>
      <c r="V24" s="24"/>
      <c r="W24" s="24"/>
      <c r="X24" s="24"/>
    </row>
    <row r="25" spans="1:24" ht="15" thickBot="1">
      <c r="A25" s="31" t="s">
        <v>86</v>
      </c>
      <c r="B25" s="181"/>
      <c r="C25" s="32"/>
      <c r="D25" s="32"/>
      <c r="E25" s="32"/>
      <c r="F25" s="32"/>
      <c r="G25" s="32"/>
      <c r="H25" s="32"/>
      <c r="I25" s="86"/>
      <c r="J25" s="24"/>
      <c r="K25" s="24"/>
      <c r="L25" s="24"/>
      <c r="M25" s="24"/>
      <c r="N25" s="24"/>
      <c r="O25" s="24"/>
      <c r="P25" s="24"/>
      <c r="Q25" s="24"/>
      <c r="R25" s="24"/>
      <c r="S25" s="24"/>
      <c r="T25" s="24"/>
      <c r="U25" s="24"/>
      <c r="V25" s="24"/>
      <c r="W25" s="24"/>
      <c r="X25" s="24"/>
    </row>
    <row r="26" spans="1:24" ht="14.4">
      <c r="A26" s="118" t="s">
        <v>87</v>
      </c>
      <c r="B26" s="177"/>
      <c r="C26" s="131">
        <f>C4/C11</f>
        <v>10.87704574066303</v>
      </c>
      <c r="D26" s="84">
        <f t="shared" ref="D26:H26" si="9">D4/D11</f>
        <v>10.246784565916398</v>
      </c>
      <c r="E26" s="85">
        <f t="shared" si="5"/>
        <v>6.1508190271029307E-2</v>
      </c>
      <c r="F26" s="84">
        <f t="shared" si="9"/>
        <v>10.961229314420804</v>
      </c>
      <c r="G26" s="94">
        <f t="shared" si="6"/>
        <v>-6.5179253896683664E-2</v>
      </c>
      <c r="H26" s="84">
        <f t="shared" si="9"/>
        <v>12.402745139927367</v>
      </c>
      <c r="I26" s="85">
        <f t="shared" si="7"/>
        <v>-0.11622554597739684</v>
      </c>
      <c r="J26" s="24"/>
      <c r="K26" s="24"/>
      <c r="L26" s="24"/>
      <c r="M26" s="24"/>
      <c r="N26" s="24"/>
      <c r="O26" s="24"/>
      <c r="P26" s="24"/>
      <c r="Q26" s="24"/>
      <c r="R26" s="24"/>
      <c r="S26" s="24"/>
      <c r="T26" s="24"/>
      <c r="U26" s="24"/>
      <c r="V26" s="24"/>
      <c r="W26" s="24"/>
      <c r="X26" s="24"/>
    </row>
    <row r="27" spans="1:24" ht="14.4">
      <c r="A27" s="120" t="s">
        <v>88</v>
      </c>
      <c r="B27" s="127"/>
      <c r="C27" s="132">
        <f>C4/C12</f>
        <v>462.85714285714283</v>
      </c>
      <c r="D27" s="38">
        <f t="shared" ref="D27:H27" si="10">D4/D12</f>
        <v>481.01886792452831</v>
      </c>
      <c r="E27" s="36">
        <f t="shared" si="5"/>
        <v>-3.7756783108630669E-2</v>
      </c>
      <c r="F27" s="38">
        <f t="shared" si="10"/>
        <v>445.82692307692309</v>
      </c>
      <c r="G27" s="91">
        <f t="shared" si="6"/>
        <v>7.8936338354633609E-2</v>
      </c>
      <c r="H27" s="38">
        <f t="shared" si="10"/>
        <v>417.67805755395688</v>
      </c>
      <c r="I27" s="36">
        <f t="shared" si="7"/>
        <v>6.739368998173878E-2</v>
      </c>
      <c r="J27" s="24"/>
      <c r="K27" s="24"/>
      <c r="L27" s="24"/>
      <c r="M27" s="24"/>
      <c r="N27" s="24"/>
      <c r="O27" s="24"/>
      <c r="P27" s="24"/>
      <c r="Q27" s="24"/>
      <c r="R27" s="24"/>
      <c r="S27" s="24"/>
      <c r="T27" s="24"/>
      <c r="U27" s="24"/>
      <c r="V27" s="24"/>
      <c r="W27" s="24"/>
      <c r="X27" s="24"/>
    </row>
    <row r="28" spans="1:24" ht="15" thickBot="1">
      <c r="A28" s="129" t="s">
        <v>89</v>
      </c>
      <c r="B28" s="180"/>
      <c r="C28" s="134">
        <f>C4/C14</f>
        <v>0.46971838643035774</v>
      </c>
      <c r="D28" s="87">
        <f t="shared" ref="D28:H28" si="11">D4/D14</f>
        <v>0.45405809749407805</v>
      </c>
      <c r="E28" s="88">
        <f t="shared" si="5"/>
        <v>3.4489614925288133E-2</v>
      </c>
      <c r="F28" s="87">
        <f t="shared" si="11"/>
        <v>0.45965548144564555</v>
      </c>
      <c r="G28" s="97">
        <f t="shared" si="6"/>
        <v>-1.2177346246287277E-2</v>
      </c>
      <c r="H28" s="87">
        <f t="shared" si="11"/>
        <v>0.43121719157058952</v>
      </c>
      <c r="I28" s="88">
        <f t="shared" si="7"/>
        <v>6.5948877806743786E-2</v>
      </c>
      <c r="J28" s="24"/>
      <c r="K28" s="24"/>
      <c r="L28" s="24"/>
      <c r="M28" s="24"/>
      <c r="N28" s="24"/>
      <c r="O28" s="24"/>
      <c r="P28" s="24"/>
      <c r="Q28" s="24"/>
      <c r="R28" s="24"/>
      <c r="S28" s="24"/>
      <c r="T28" s="24"/>
      <c r="U28" s="24"/>
      <c r="V28" s="24"/>
      <c r="W28" s="24"/>
      <c r="X28" s="24"/>
    </row>
    <row r="29" spans="1:24" ht="15" thickBot="1">
      <c r="A29" s="31" t="s">
        <v>90</v>
      </c>
      <c r="B29" s="181"/>
      <c r="C29" s="32"/>
      <c r="D29" s="32"/>
      <c r="E29" s="32"/>
      <c r="F29" s="32"/>
      <c r="G29" s="32"/>
      <c r="H29" s="32"/>
      <c r="I29" s="86"/>
      <c r="J29" s="24"/>
      <c r="K29" s="24"/>
      <c r="L29" s="24"/>
      <c r="M29" s="24"/>
      <c r="N29" s="24"/>
      <c r="O29" s="24"/>
      <c r="P29" s="24"/>
      <c r="Q29" s="24"/>
      <c r="R29" s="24"/>
      <c r="S29" s="24"/>
      <c r="T29" s="24"/>
      <c r="U29" s="24"/>
      <c r="V29" s="24"/>
      <c r="W29" s="24"/>
      <c r="X29" s="24"/>
    </row>
    <row r="30" spans="1:24" ht="14.4">
      <c r="A30" s="118" t="s">
        <v>121</v>
      </c>
      <c r="B30" s="177"/>
      <c r="C30" s="131">
        <f>C16/C18</f>
        <v>-10.122233930453108</v>
      </c>
      <c r="D30" s="84">
        <f t="shared" ref="D30:H30" si="12">D16/D18</f>
        <v>-7.894815129621759</v>
      </c>
      <c r="E30" s="85">
        <f t="shared" si="5"/>
        <v>0.28213691698415549</v>
      </c>
      <c r="F30" s="84">
        <f t="shared" si="12"/>
        <v>-5.9805277009694509</v>
      </c>
      <c r="G30" s="94">
        <f t="shared" si="6"/>
        <v>0.32008670879360696</v>
      </c>
      <c r="H30" s="84">
        <f t="shared" si="12"/>
        <v>-7.7423652632791482</v>
      </c>
      <c r="I30" s="85">
        <f t="shared" si="7"/>
        <v>-0.22755805266199761</v>
      </c>
      <c r="J30" s="24"/>
      <c r="K30" s="24"/>
      <c r="L30" s="24"/>
      <c r="M30" s="24"/>
      <c r="N30" s="24"/>
      <c r="O30" s="24"/>
      <c r="P30" s="24"/>
      <c r="Q30" s="24"/>
      <c r="R30" s="24"/>
      <c r="S30" s="24"/>
      <c r="T30" s="24"/>
      <c r="U30" s="24"/>
      <c r="V30" s="24"/>
      <c r="W30" s="24"/>
      <c r="X30" s="24"/>
    </row>
    <row r="31" spans="1:24" ht="15" thickBot="1">
      <c r="A31" s="129" t="s">
        <v>100</v>
      </c>
      <c r="B31" s="180"/>
      <c r="C31" s="134">
        <f>C14/C18</f>
        <v>-14.536880927291886</v>
      </c>
      <c r="D31" s="87">
        <f t="shared" ref="D31:H31" si="13">D14/D18</f>
        <v>-11.930939226519337</v>
      </c>
      <c r="E31" s="88">
        <f t="shared" si="5"/>
        <v>0.21841882280149635</v>
      </c>
      <c r="F31" s="87">
        <f t="shared" si="13"/>
        <v>-8.4011726688210011</v>
      </c>
      <c r="G31" s="97">
        <f t="shared" si="6"/>
        <v>0.42015164987600406</v>
      </c>
      <c r="H31" s="87">
        <f t="shared" si="13"/>
        <v>-11.704886535782361</v>
      </c>
      <c r="I31" s="88">
        <f t="shared" si="7"/>
        <v>-0.28225082377874905</v>
      </c>
      <c r="J31" s="24"/>
      <c r="K31" s="24"/>
      <c r="L31" s="24"/>
      <c r="M31" s="24"/>
      <c r="N31" s="24"/>
      <c r="O31" s="24"/>
      <c r="P31" s="24"/>
      <c r="Q31" s="24"/>
      <c r="R31" s="24"/>
      <c r="S31" s="24"/>
      <c r="T31" s="24"/>
      <c r="U31" s="24"/>
      <c r="V31" s="24"/>
      <c r="W31" s="24"/>
      <c r="X31" s="24"/>
    </row>
    <row r="32" spans="1:24" ht="15" thickBot="1">
      <c r="A32" s="31" t="s">
        <v>91</v>
      </c>
      <c r="B32" s="181"/>
      <c r="C32" s="32"/>
      <c r="D32" s="32"/>
      <c r="E32" s="32"/>
      <c r="F32" s="32"/>
      <c r="G32" s="32"/>
      <c r="H32" s="32"/>
      <c r="I32" s="86"/>
      <c r="J32" s="24"/>
      <c r="K32" s="24"/>
      <c r="L32" s="24"/>
      <c r="M32" s="24"/>
      <c r="N32" s="24"/>
      <c r="O32" s="24"/>
      <c r="P32" s="24"/>
      <c r="Q32" s="24"/>
      <c r="R32" s="24"/>
      <c r="S32" s="24"/>
      <c r="T32" s="24"/>
      <c r="U32" s="24"/>
      <c r="V32" s="24"/>
      <c r="W32" s="24"/>
      <c r="X32" s="24"/>
    </row>
    <row r="33" spans="1:24" ht="14.4">
      <c r="A33" s="118" t="s">
        <v>19</v>
      </c>
      <c r="B33" s="177"/>
      <c r="C33" s="135">
        <f>_xlfn.XLOOKUP(A33,'M24-21'!$A$4:$A$71,'M24-21'!B4:B71)</f>
        <v>0.31719999999999998</v>
      </c>
      <c r="D33" s="85">
        <f>_xlfn.XLOOKUP(A33,'M24-21'!$A$4:$A$71,'M24-21'!C4:C71)</f>
        <v>0.3322</v>
      </c>
      <c r="E33" s="85">
        <f t="shared" si="5"/>
        <v>-4.5153521974714068E-2</v>
      </c>
      <c r="F33" s="85">
        <f>_xlfn.XLOOKUP(A33,'M24-21'!$A$4:$A$71,'M24-21'!D4:D71)</f>
        <v>0.26640000000000003</v>
      </c>
      <c r="G33" s="94">
        <f t="shared" si="6"/>
        <v>0.24699699699699687</v>
      </c>
      <c r="H33" s="85">
        <f>_xlfn.XLOOKUP(A33,'M24-21'!$A$4:$A$71,'M24-21'!E4:E71)</f>
        <v>0.32490000000000002</v>
      </c>
      <c r="I33" s="85">
        <f t="shared" si="7"/>
        <v>-0.18005540166204984</v>
      </c>
      <c r="J33" s="24"/>
      <c r="K33" s="24"/>
      <c r="L33" s="24"/>
      <c r="M33" s="24"/>
      <c r="N33" s="24"/>
      <c r="O33" s="24"/>
      <c r="P33" s="24"/>
      <c r="Q33" s="24"/>
      <c r="R33" s="24"/>
      <c r="S33" s="24"/>
      <c r="T33" s="24"/>
      <c r="U33" s="24"/>
      <c r="V33" s="24"/>
      <c r="W33" s="24"/>
      <c r="X33" s="24"/>
    </row>
    <row r="34" spans="1:24" ht="14.4">
      <c r="A34" s="120" t="s">
        <v>92</v>
      </c>
      <c r="B34" s="127"/>
      <c r="C34" s="136">
        <f>_xlfn.XLOOKUP($A$34,'M24-21'!$A$4:$A$71,'M24-21'!B4:B71)</f>
        <v>0.5675</v>
      </c>
      <c r="D34" s="36">
        <f>_xlfn.XLOOKUP($A$34,'M24-21'!$A$4:$A$71,'M24-21'!C4:C71)</f>
        <v>0.57120000000000004</v>
      </c>
      <c r="E34" s="36">
        <f t="shared" si="5"/>
        <v>-6.4775910364146295E-3</v>
      </c>
      <c r="F34" s="36">
        <f>_xlfn.XLOOKUP($A$34,'M24-21'!$A$4:$A$71,'M24-21'!D4:D71)</f>
        <v>0.56969999999999998</v>
      </c>
      <c r="G34" s="91">
        <f t="shared" si="6"/>
        <v>2.632964718272875E-3</v>
      </c>
      <c r="H34" s="36">
        <f>_xlfn.XLOOKUP($A$34,'M24-21'!$A$4:$A$71,'M24-21'!E4:E71)</f>
        <v>0.54169999999999996</v>
      </c>
      <c r="I34" s="36">
        <f t="shared" si="7"/>
        <v>5.1689126822964788E-2</v>
      </c>
      <c r="J34" s="24"/>
      <c r="K34" s="24"/>
      <c r="L34" s="24"/>
      <c r="M34" s="24"/>
      <c r="N34" s="24"/>
      <c r="O34" s="24"/>
      <c r="P34" s="24"/>
      <c r="Q34" s="24"/>
      <c r="R34" s="24"/>
      <c r="S34" s="24"/>
      <c r="T34" s="24"/>
      <c r="U34" s="24"/>
      <c r="V34" s="24"/>
      <c r="W34" s="24"/>
      <c r="X34" s="24"/>
    </row>
    <row r="35" spans="1:24" ht="14.4">
      <c r="A35" s="120" t="s">
        <v>101</v>
      </c>
      <c r="B35" s="127"/>
      <c r="C35" s="137">
        <f>C33*C28</f>
        <v>0.14899467217570947</v>
      </c>
      <c r="D35" s="35">
        <f t="shared" ref="D35:H35" si="14">D33*D28</f>
        <v>0.15083809998753273</v>
      </c>
      <c r="E35" s="36">
        <f t="shared" si="5"/>
        <v>-1.2221234634854335E-2</v>
      </c>
      <c r="F35" s="35">
        <f t="shared" si="14"/>
        <v>0.12245222025711999</v>
      </c>
      <c r="G35" s="91">
        <f t="shared" si="6"/>
        <v>0.2318118827964839</v>
      </c>
      <c r="H35" s="35">
        <f t="shared" si="14"/>
        <v>0.14010246554128455</v>
      </c>
      <c r="I35" s="36">
        <f t="shared" si="7"/>
        <v>-0.12598097553796078</v>
      </c>
      <c r="J35" s="24"/>
      <c r="K35" s="24"/>
      <c r="L35" s="24"/>
      <c r="M35" s="24"/>
      <c r="N35" s="24"/>
      <c r="O35" s="24"/>
      <c r="P35" s="24"/>
      <c r="Q35" s="24"/>
      <c r="R35" s="24"/>
      <c r="S35" s="24"/>
      <c r="T35" s="24"/>
      <c r="U35" s="24"/>
      <c r="V35" s="24"/>
      <c r="W35" s="24"/>
      <c r="X35" s="24"/>
    </row>
    <row r="36" spans="1:24" ht="15" thickBot="1">
      <c r="A36" s="129" t="s">
        <v>102</v>
      </c>
      <c r="B36" s="180"/>
      <c r="C36" s="138">
        <f>C35*C31</f>
        <v>-2.1659178082191781</v>
      </c>
      <c r="D36" s="89">
        <f t="shared" ref="D36:H36" si="15">D35*D31</f>
        <v>-1.7996402039949002</v>
      </c>
      <c r="E36" s="88">
        <f t="shared" si="5"/>
        <v>0.20352824048451623</v>
      </c>
      <c r="F36" s="89">
        <f t="shared" si="15"/>
        <v>-1.0287422460605657</v>
      </c>
      <c r="G36" s="97">
        <f t="shared" si="6"/>
        <v>0.74935967769029377</v>
      </c>
      <c r="H36" s="89">
        <f t="shared" si="15"/>
        <v>-1.6398834625440937</v>
      </c>
      <c r="I36" s="88">
        <f t="shared" si="7"/>
        <v>-0.37267356519067002</v>
      </c>
      <c r="J36" s="24"/>
      <c r="K36" s="24"/>
      <c r="L36" s="24"/>
      <c r="M36" s="24"/>
      <c r="N36" s="24"/>
      <c r="O36" s="24"/>
      <c r="P36" s="24"/>
      <c r="Q36" s="24"/>
      <c r="R36" s="24"/>
      <c r="S36" s="24"/>
      <c r="T36" s="24"/>
      <c r="U36" s="24"/>
      <c r="V36" s="24"/>
      <c r="W36" s="24"/>
      <c r="X36" s="24"/>
    </row>
    <row r="37" spans="1:24" ht="15" thickBot="1">
      <c r="A37" s="31" t="s">
        <v>93</v>
      </c>
      <c r="B37" s="181"/>
      <c r="C37" s="32"/>
      <c r="D37" s="32"/>
      <c r="E37" s="32"/>
      <c r="F37" s="32"/>
      <c r="G37" s="32"/>
      <c r="H37" s="32"/>
      <c r="I37" s="86"/>
      <c r="J37" s="24"/>
      <c r="K37" s="24"/>
      <c r="L37" s="24"/>
      <c r="M37" s="24"/>
      <c r="N37" s="24"/>
      <c r="O37" s="24"/>
      <c r="P37" s="24"/>
      <c r="Q37" s="24"/>
      <c r="R37" s="24"/>
      <c r="S37" s="24"/>
      <c r="T37" s="24"/>
      <c r="U37" s="24"/>
      <c r="V37" s="24"/>
      <c r="W37" s="24"/>
      <c r="X37" s="24"/>
    </row>
    <row r="38" spans="1:24" ht="14.4">
      <c r="A38" s="118" t="s">
        <v>129</v>
      </c>
      <c r="B38" s="177"/>
      <c r="C38" s="131">
        <f>C9/C19</f>
        <v>11.44786300988445</v>
      </c>
      <c r="D38" s="84">
        <f t="shared" ref="D38:H38" si="16">D9/D19</f>
        <v>11.634839950542657</v>
      </c>
      <c r="E38" s="85">
        <f t="shared" si="5"/>
        <v>-1.6070435128717534E-2</v>
      </c>
      <c r="F38" s="84">
        <f t="shared" si="16"/>
        <v>8.3869653767820775</v>
      </c>
      <c r="G38" s="94">
        <f t="shared" si="6"/>
        <v>0.38725265073250237</v>
      </c>
      <c r="H38" s="84">
        <f t="shared" si="16"/>
        <v>10.110143373978293</v>
      </c>
      <c r="I38" s="85">
        <f t="shared" si="7"/>
        <v>-0.17044051043147104</v>
      </c>
      <c r="J38" s="24"/>
      <c r="K38" s="24"/>
      <c r="L38" s="24"/>
      <c r="M38" s="24"/>
      <c r="N38" s="24"/>
      <c r="O38" s="24"/>
      <c r="P38" s="24"/>
      <c r="Q38" s="24"/>
      <c r="R38" s="24"/>
      <c r="S38" s="24"/>
      <c r="T38" s="24"/>
      <c r="U38" s="24"/>
      <c r="V38" s="24"/>
      <c r="W38" s="24"/>
      <c r="X38" s="24"/>
    </row>
    <row r="39" spans="1:24" ht="14.4">
      <c r="A39" s="120" t="s">
        <v>94</v>
      </c>
      <c r="B39" s="127"/>
      <c r="C39" s="132">
        <f>C3/C38</f>
        <v>25.297297823178887</v>
      </c>
      <c r="D39" s="38">
        <f t="shared" ref="D39:H39" si="17">D3/D38</f>
        <v>25.484665131656627</v>
      </c>
      <c r="E39" s="36">
        <f t="shared" si="5"/>
        <v>-7.3521589359632142E-3</v>
      </c>
      <c r="F39" s="38">
        <f t="shared" si="17"/>
        <v>31.421376881981541</v>
      </c>
      <c r="G39" s="91">
        <f t="shared" si="6"/>
        <v>-0.1889386252112108</v>
      </c>
      <c r="H39" s="38">
        <f t="shared" si="17"/>
        <v>26.429892249377087</v>
      </c>
      <c r="I39" s="36">
        <f t="shared" si="7"/>
        <v>0.18885754756423934</v>
      </c>
      <c r="J39" s="24"/>
      <c r="K39" s="24"/>
      <c r="L39" s="24"/>
      <c r="M39" s="24"/>
      <c r="N39" s="24"/>
      <c r="O39" s="24"/>
      <c r="P39" s="24"/>
      <c r="Q39" s="24"/>
      <c r="R39" s="24"/>
      <c r="S39" s="24"/>
      <c r="T39" s="24"/>
      <c r="U39" s="24"/>
      <c r="V39" s="24"/>
      <c r="W39" s="24"/>
      <c r="X39" s="24"/>
    </row>
    <row r="40" spans="1:24" ht="14.4">
      <c r="A40" s="120" t="s">
        <v>95</v>
      </c>
      <c r="B40" s="127"/>
      <c r="C40" s="140">
        <f>C18/C19</f>
        <v>-5.2846999860782402</v>
      </c>
      <c r="D40" s="37">
        <f t="shared" ref="D40:H40" si="18">D18/D19</f>
        <v>-6.4651737876081885</v>
      </c>
      <c r="E40" s="36">
        <f t="shared" si="5"/>
        <v>-0.1825896472872183</v>
      </c>
      <c r="F40" s="37">
        <f t="shared" si="18"/>
        <v>-8.1512559402579772</v>
      </c>
      <c r="G40" s="91">
        <f t="shared" si="6"/>
        <v>-0.20684936959499106</v>
      </c>
      <c r="H40" s="37">
        <f t="shared" si="18"/>
        <v>-6.1650944660324276</v>
      </c>
      <c r="I40" s="36">
        <f t="shared" si="7"/>
        <v>0.32216237482955423</v>
      </c>
      <c r="J40" s="24"/>
      <c r="K40" s="24"/>
      <c r="L40" s="24"/>
      <c r="M40" s="24"/>
      <c r="N40" s="24"/>
      <c r="O40" s="24"/>
      <c r="P40" s="24"/>
      <c r="Q40" s="24"/>
      <c r="R40" s="24"/>
      <c r="S40" s="24"/>
      <c r="T40" s="24"/>
      <c r="U40" s="24"/>
      <c r="V40" s="24"/>
      <c r="W40" s="24"/>
      <c r="X40" s="24"/>
    </row>
    <row r="41" spans="1:24" ht="14.4">
      <c r="A41" s="130" t="s">
        <v>119</v>
      </c>
      <c r="B41" s="127"/>
      <c r="C41" s="140">
        <f>C3*C19</f>
        <v>208019.68</v>
      </c>
      <c r="D41" s="37">
        <f t="shared" ref="D41:H41" si="19">D3*D19</f>
        <v>215829.62899999999</v>
      </c>
      <c r="E41" s="36">
        <f t="shared" si="5"/>
        <v>-3.6185712944908015E-2</v>
      </c>
      <c r="F41" s="37">
        <f t="shared" si="19"/>
        <v>194089.84499999997</v>
      </c>
      <c r="G41" s="91">
        <f t="shared" si="6"/>
        <v>0.11200886888234682</v>
      </c>
      <c r="H41" s="37">
        <f t="shared" si="19"/>
        <v>199418.82299999997</v>
      </c>
      <c r="I41" s="36">
        <f t="shared" si="7"/>
        <v>-2.672254263580727E-2</v>
      </c>
      <c r="J41" s="24"/>
      <c r="K41" s="24"/>
      <c r="L41" s="24"/>
      <c r="M41" s="24"/>
      <c r="N41" s="24"/>
      <c r="O41" s="24"/>
      <c r="P41" s="24"/>
      <c r="Q41" s="24"/>
      <c r="R41" s="24"/>
      <c r="S41" s="24"/>
      <c r="T41" s="24"/>
      <c r="U41" s="24"/>
      <c r="V41" s="24"/>
      <c r="W41" s="24"/>
      <c r="X41" s="24"/>
    </row>
    <row r="42" spans="1:24" ht="14.4">
      <c r="A42" s="120" t="s">
        <v>96</v>
      </c>
      <c r="B42" s="127"/>
      <c r="C42" s="140">
        <f>C10/C19</f>
        <v>1.5105109285813727</v>
      </c>
      <c r="D42" s="37">
        <f t="shared" ref="D42:H42" si="20">D10/D19</f>
        <v>6.2906992718780055</v>
      </c>
      <c r="E42" s="36">
        <f t="shared" si="5"/>
        <v>-0.75988187269832252</v>
      </c>
      <c r="F42" s="37">
        <f t="shared" si="20"/>
        <v>3.5082145281737951</v>
      </c>
      <c r="G42" s="91">
        <f t="shared" si="6"/>
        <v>0.79313414882659294</v>
      </c>
      <c r="H42" s="37">
        <f t="shared" si="20"/>
        <v>6.310062977354951</v>
      </c>
      <c r="I42" s="36">
        <f t="shared" si="7"/>
        <v>-0.44402860307990671</v>
      </c>
      <c r="J42" s="24"/>
      <c r="K42" s="24"/>
      <c r="L42" s="24"/>
      <c r="M42" s="24"/>
      <c r="N42" s="24"/>
      <c r="O42" s="24"/>
      <c r="P42" s="24"/>
      <c r="Q42" s="24"/>
      <c r="R42" s="24"/>
      <c r="S42" s="24"/>
      <c r="T42" s="24"/>
      <c r="U42" s="24"/>
      <c r="V42" s="24"/>
      <c r="W42" s="24"/>
      <c r="X42" s="24"/>
    </row>
    <row r="43" spans="1:24" ht="14.4">
      <c r="A43" s="120" t="s">
        <v>97</v>
      </c>
      <c r="B43" s="127"/>
      <c r="C43" s="140">
        <f>C4/C19</f>
        <v>36.085201169427819</v>
      </c>
      <c r="D43" s="37">
        <f t="shared" ref="D43:H43" si="21">D4/D19</f>
        <v>35.024041763978566</v>
      </c>
      <c r="E43" s="36">
        <f t="shared" si="5"/>
        <v>3.0298028211599246E-2</v>
      </c>
      <c r="F43" s="37">
        <f t="shared" si="21"/>
        <v>31.47725729803123</v>
      </c>
      <c r="G43" s="91">
        <f t="shared" si="6"/>
        <v>0.11267768447440854</v>
      </c>
      <c r="H43" s="37">
        <f t="shared" si="21"/>
        <v>31.11737907007906</v>
      </c>
      <c r="I43" s="36">
        <f t="shared" si="7"/>
        <v>1.1565184430915343E-2</v>
      </c>
      <c r="J43" s="24"/>
      <c r="K43" s="24"/>
      <c r="L43" s="24"/>
      <c r="M43" s="24"/>
      <c r="N43" s="24"/>
      <c r="O43" s="24"/>
      <c r="P43" s="24"/>
      <c r="Q43" s="24"/>
      <c r="R43" s="24"/>
      <c r="S43" s="24"/>
      <c r="T43" s="24"/>
      <c r="U43" s="24"/>
      <c r="V43" s="24"/>
      <c r="W43" s="24"/>
      <c r="X43" s="24"/>
    </row>
    <row r="44" spans="1:24" ht="15" thickBot="1">
      <c r="A44" s="129" t="s">
        <v>103</v>
      </c>
      <c r="B44" s="180"/>
      <c r="C44" s="133">
        <f>C3/C40</f>
        <v>-54.799704952581671</v>
      </c>
      <c r="D44" s="100">
        <f t="shared" ref="D44:H44" si="22">D3/D40</f>
        <v>-45.862649596260091</v>
      </c>
      <c r="E44" s="88">
        <f t="shared" si="5"/>
        <v>0.194865657239532</v>
      </c>
      <c r="F44" s="100">
        <f t="shared" si="22"/>
        <v>-32.329987173934768</v>
      </c>
      <c r="G44" s="97">
        <f t="shared" si="6"/>
        <v>0.41857926975101584</v>
      </c>
      <c r="H44" s="100">
        <f t="shared" si="22"/>
        <v>-43.342401559657546</v>
      </c>
      <c r="I44" s="88">
        <f t="shared" si="7"/>
        <v>-0.2540794692828689</v>
      </c>
      <c r="J44" s="24"/>
      <c r="K44" s="24"/>
      <c r="L44" s="24"/>
      <c r="M44" s="24"/>
      <c r="N44" s="24"/>
      <c r="O44" s="24"/>
      <c r="P44" s="24"/>
      <c r="Q44" s="24"/>
      <c r="R44" s="24"/>
      <c r="S44" s="24"/>
      <c r="T44" s="24"/>
      <c r="U44" s="24"/>
      <c r="V44" s="24"/>
      <c r="W44" s="24"/>
      <c r="X44" s="24"/>
    </row>
    <row r="45" spans="1:24" ht="15" thickBot="1">
      <c r="A45" s="101"/>
      <c r="B45" s="181"/>
      <c r="C45" s="102"/>
      <c r="D45" s="102"/>
      <c r="E45" s="102"/>
      <c r="F45" s="102"/>
      <c r="G45" s="102"/>
      <c r="H45" s="102"/>
      <c r="I45" s="103"/>
      <c r="J45" s="24"/>
      <c r="K45" s="24"/>
      <c r="L45" s="24"/>
      <c r="M45" s="24"/>
      <c r="N45" s="24"/>
      <c r="O45" s="24"/>
      <c r="P45" s="24"/>
      <c r="Q45" s="24"/>
      <c r="R45" s="24"/>
      <c r="S45" s="24"/>
      <c r="T45" s="24"/>
      <c r="U45" s="24"/>
      <c r="V45" s="24"/>
      <c r="W45" s="24"/>
      <c r="X45" s="24"/>
    </row>
    <row r="46" spans="1:24" ht="13.8">
      <c r="A46" s="24"/>
      <c r="B46" s="24"/>
      <c r="C46" s="24"/>
      <c r="D46" s="24"/>
      <c r="E46" s="24"/>
      <c r="F46" s="24"/>
      <c r="G46" s="24"/>
      <c r="H46" s="24"/>
      <c r="I46" s="24"/>
      <c r="J46" s="24"/>
      <c r="K46" s="24"/>
      <c r="L46" s="24"/>
      <c r="M46" s="24"/>
      <c r="N46" s="24"/>
      <c r="O46" s="24"/>
      <c r="P46" s="24"/>
      <c r="Q46" s="24"/>
      <c r="R46" s="24"/>
      <c r="S46" s="24"/>
      <c r="T46" s="24"/>
      <c r="U46" s="24"/>
      <c r="V46" s="24"/>
      <c r="W46" s="24"/>
      <c r="X46" s="24"/>
    </row>
    <row r="47" spans="1:24" ht="13.8">
      <c r="A47" s="24"/>
      <c r="B47" s="24"/>
      <c r="C47" s="24"/>
      <c r="D47" s="24"/>
      <c r="E47" s="24"/>
      <c r="F47" s="24"/>
      <c r="G47" s="24"/>
      <c r="H47" s="24"/>
      <c r="I47" s="24"/>
      <c r="J47" s="24"/>
      <c r="K47" s="24"/>
      <c r="L47" s="24"/>
      <c r="M47" s="24"/>
      <c r="N47" s="24"/>
      <c r="O47" s="24"/>
      <c r="P47" s="24"/>
      <c r="Q47" s="24"/>
      <c r="R47" s="24"/>
      <c r="S47" s="24"/>
      <c r="T47" s="24"/>
      <c r="U47" s="24"/>
      <c r="V47" s="24"/>
      <c r="W47" s="24"/>
      <c r="X47" s="24"/>
    </row>
    <row r="48" spans="1:24" ht="13.8">
      <c r="A48" s="24"/>
      <c r="B48" s="24"/>
      <c r="C48" s="24"/>
      <c r="D48" s="24"/>
      <c r="E48" s="24"/>
      <c r="F48" s="24"/>
      <c r="G48" s="24"/>
      <c r="H48" s="24"/>
      <c r="I48" s="24"/>
      <c r="J48" s="24"/>
      <c r="K48" s="24"/>
      <c r="L48" s="24"/>
      <c r="M48" s="24"/>
      <c r="N48" s="24"/>
      <c r="O48" s="24"/>
      <c r="P48" s="24"/>
      <c r="Q48" s="24"/>
      <c r="R48" s="24"/>
      <c r="S48" s="24"/>
      <c r="T48" s="24"/>
      <c r="U48" s="24"/>
      <c r="V48" s="24"/>
      <c r="W48" s="24"/>
      <c r="X48" s="24"/>
    </row>
    <row r="49" spans="1:24" ht="13.8">
      <c r="A49" s="24"/>
      <c r="B49" s="29"/>
      <c r="C49" s="24"/>
      <c r="D49" s="24"/>
      <c r="E49" s="24"/>
      <c r="F49" s="24"/>
      <c r="G49" s="24"/>
      <c r="H49" s="24"/>
      <c r="I49" s="24"/>
      <c r="J49" s="24"/>
      <c r="K49" s="24"/>
      <c r="L49" s="24"/>
      <c r="M49" s="24"/>
      <c r="N49" s="24"/>
      <c r="O49" s="24"/>
      <c r="P49" s="24"/>
      <c r="Q49" s="24"/>
      <c r="R49" s="24"/>
      <c r="S49" s="24"/>
      <c r="T49" s="24"/>
      <c r="U49" s="24"/>
      <c r="V49" s="24"/>
      <c r="W49" s="24"/>
      <c r="X49" s="24"/>
    </row>
    <row r="50" spans="1:24" ht="13.8">
      <c r="A50" s="24"/>
      <c r="B50" s="24"/>
      <c r="C50" s="24"/>
      <c r="D50" s="24"/>
      <c r="E50" s="24"/>
      <c r="F50" s="24"/>
      <c r="G50" s="24"/>
      <c r="H50" s="24"/>
      <c r="I50" s="24"/>
      <c r="J50" s="24"/>
      <c r="K50" s="24"/>
      <c r="L50" s="24"/>
      <c r="M50" s="24"/>
      <c r="N50" s="24"/>
      <c r="O50" s="24"/>
      <c r="P50" s="24"/>
      <c r="Q50" s="24"/>
      <c r="R50" s="24"/>
      <c r="S50" s="24"/>
      <c r="T50" s="24"/>
      <c r="U50" s="24"/>
      <c r="V50" s="24"/>
      <c r="W50" s="24"/>
      <c r="X50" s="24"/>
    </row>
    <row r="51" spans="1:24" ht="13.8">
      <c r="A51" s="24"/>
      <c r="B51" s="24"/>
      <c r="C51" s="24"/>
      <c r="D51" s="24"/>
      <c r="E51" s="24"/>
      <c r="F51" s="24"/>
      <c r="G51" s="24"/>
      <c r="H51" s="24"/>
      <c r="I51" s="24"/>
      <c r="J51" s="24"/>
      <c r="K51" s="24"/>
      <c r="L51" s="24"/>
      <c r="M51" s="24"/>
      <c r="N51" s="24"/>
      <c r="O51" s="24"/>
      <c r="P51" s="24"/>
      <c r="Q51" s="24"/>
      <c r="R51" s="24"/>
      <c r="S51" s="24"/>
      <c r="T51" s="24"/>
      <c r="U51" s="24"/>
      <c r="V51" s="24"/>
      <c r="W51" s="24"/>
      <c r="X51" s="24"/>
    </row>
    <row r="52" spans="1:24" ht="13.8">
      <c r="A52" s="24"/>
      <c r="B52" s="24"/>
      <c r="C52" s="24"/>
      <c r="D52" s="24"/>
      <c r="E52" s="24"/>
      <c r="F52" s="24"/>
      <c r="G52" s="24"/>
      <c r="H52" s="24"/>
      <c r="I52" s="24"/>
      <c r="J52" s="24"/>
      <c r="K52" s="24"/>
      <c r="L52" s="24"/>
      <c r="M52" s="24"/>
      <c r="N52" s="24"/>
      <c r="O52" s="24"/>
      <c r="P52" s="24"/>
      <c r="Q52" s="24"/>
      <c r="R52" s="24"/>
      <c r="S52" s="24"/>
      <c r="T52" s="24"/>
      <c r="U52" s="24"/>
      <c r="V52" s="24"/>
      <c r="W52" s="24"/>
      <c r="X52" s="24"/>
    </row>
    <row r="53" spans="1:24" ht="13.8">
      <c r="A53" s="24"/>
      <c r="B53" s="24"/>
      <c r="C53" s="24"/>
      <c r="D53" s="24"/>
      <c r="E53" s="24"/>
      <c r="F53" s="24"/>
      <c r="G53" s="24"/>
      <c r="H53" s="24"/>
      <c r="I53" s="24"/>
      <c r="J53" s="24"/>
      <c r="K53" s="24"/>
      <c r="L53" s="24"/>
      <c r="M53" s="24"/>
      <c r="N53" s="24"/>
      <c r="O53" s="24"/>
      <c r="P53" s="24"/>
      <c r="Q53" s="24"/>
      <c r="R53" s="24"/>
      <c r="S53" s="24"/>
      <c r="T53" s="24"/>
      <c r="U53" s="24"/>
      <c r="V53" s="24"/>
      <c r="W53" s="24"/>
      <c r="X53" s="24"/>
    </row>
    <row r="54" spans="1:24" ht="13.8">
      <c r="A54" s="24"/>
      <c r="B54" s="24"/>
      <c r="C54" s="24"/>
      <c r="D54" s="24"/>
      <c r="E54" s="24"/>
      <c r="F54" s="24"/>
      <c r="G54" s="24"/>
      <c r="H54" s="24"/>
      <c r="I54" s="24"/>
      <c r="J54" s="24"/>
      <c r="K54" s="24"/>
      <c r="L54" s="24"/>
      <c r="M54" s="24"/>
      <c r="N54" s="24"/>
      <c r="O54" s="24"/>
      <c r="P54" s="24"/>
      <c r="Q54" s="24"/>
      <c r="R54" s="24"/>
      <c r="S54" s="24"/>
      <c r="T54" s="24"/>
      <c r="U54" s="24"/>
      <c r="V54" s="24"/>
      <c r="W54" s="24"/>
      <c r="X54" s="24"/>
    </row>
    <row r="55" spans="1:24" ht="13.8">
      <c r="A55" s="24"/>
      <c r="B55" s="24"/>
      <c r="C55" s="24"/>
      <c r="D55" s="24"/>
      <c r="E55" s="24"/>
      <c r="F55" s="24"/>
      <c r="G55" s="24"/>
      <c r="H55" s="24"/>
      <c r="I55" s="24"/>
      <c r="J55" s="24"/>
      <c r="K55" s="24"/>
      <c r="L55" s="24"/>
      <c r="M55" s="24"/>
      <c r="N55" s="24"/>
      <c r="O55" s="24"/>
      <c r="P55" s="24"/>
      <c r="Q55" s="24"/>
      <c r="R55" s="24"/>
      <c r="S55" s="24"/>
      <c r="T55" s="24"/>
      <c r="U55" s="24"/>
      <c r="V55" s="24"/>
      <c r="W55" s="24"/>
      <c r="X55" s="24"/>
    </row>
    <row r="56" spans="1:24" ht="13.8">
      <c r="A56" s="24"/>
      <c r="B56" s="24"/>
      <c r="C56" s="24"/>
      <c r="D56" s="24"/>
      <c r="E56" s="24"/>
      <c r="F56" s="24"/>
      <c r="G56" s="24"/>
      <c r="H56" s="24"/>
      <c r="I56" s="24"/>
      <c r="J56" s="24"/>
      <c r="K56" s="24"/>
      <c r="L56" s="24"/>
      <c r="M56" s="24"/>
      <c r="N56" s="24"/>
      <c r="O56" s="24"/>
      <c r="P56" s="24"/>
      <c r="Q56" s="24"/>
      <c r="R56" s="24"/>
      <c r="S56" s="24"/>
      <c r="T56" s="24"/>
      <c r="U56" s="24"/>
      <c r="V56" s="24"/>
      <c r="W56" s="24"/>
      <c r="X56" s="24"/>
    </row>
    <row r="57" spans="1:24" ht="13.8">
      <c r="A57" s="24"/>
      <c r="B57" s="24"/>
      <c r="C57" s="24"/>
      <c r="D57" s="24"/>
      <c r="E57" s="24"/>
      <c r="F57" s="24"/>
      <c r="G57" s="24"/>
      <c r="H57" s="24"/>
      <c r="I57" s="24"/>
      <c r="J57" s="24"/>
      <c r="K57" s="24"/>
      <c r="L57" s="24"/>
      <c r="M57" s="24"/>
      <c r="N57" s="24"/>
      <c r="O57" s="24"/>
      <c r="P57" s="24"/>
      <c r="Q57" s="24"/>
      <c r="R57" s="24"/>
      <c r="S57" s="24"/>
      <c r="T57" s="24"/>
      <c r="U57" s="24"/>
      <c r="V57" s="24"/>
      <c r="W57" s="24"/>
      <c r="X57" s="24"/>
    </row>
    <row r="58" spans="1:24" ht="13.8">
      <c r="A58" s="24"/>
      <c r="B58" s="24"/>
      <c r="C58" s="24"/>
      <c r="D58" s="24"/>
      <c r="E58" s="24"/>
      <c r="F58" s="24"/>
      <c r="G58" s="24"/>
      <c r="H58" s="24"/>
      <c r="I58" s="24"/>
      <c r="J58" s="24"/>
      <c r="K58" s="24"/>
      <c r="L58" s="24"/>
      <c r="M58" s="24"/>
      <c r="N58" s="24"/>
      <c r="O58" s="24"/>
      <c r="P58" s="24"/>
      <c r="Q58" s="24"/>
      <c r="R58" s="24"/>
      <c r="S58" s="24"/>
      <c r="T58" s="24"/>
      <c r="U58" s="24"/>
      <c r="V58" s="24"/>
      <c r="W58" s="24"/>
      <c r="X58" s="24"/>
    </row>
    <row r="59" spans="1:24" ht="13.8">
      <c r="A59" s="24"/>
      <c r="B59" s="24"/>
      <c r="C59" s="24"/>
      <c r="D59" s="24"/>
      <c r="E59" s="24"/>
      <c r="F59" s="24"/>
      <c r="G59" s="24"/>
      <c r="H59" s="24"/>
      <c r="I59" s="24"/>
      <c r="J59" s="24"/>
      <c r="K59" s="24"/>
      <c r="L59" s="24"/>
      <c r="M59" s="24"/>
      <c r="N59" s="24"/>
      <c r="O59" s="24"/>
      <c r="P59" s="24"/>
      <c r="Q59" s="24"/>
      <c r="R59" s="24"/>
      <c r="S59" s="24"/>
      <c r="T59" s="24"/>
      <c r="U59" s="24"/>
      <c r="V59" s="24"/>
      <c r="W59" s="24"/>
      <c r="X59" s="24"/>
    </row>
    <row r="60" spans="1:24" ht="13.8">
      <c r="A60" s="24"/>
      <c r="B60" s="24"/>
      <c r="C60" s="24"/>
      <c r="D60" s="24"/>
      <c r="E60" s="24"/>
      <c r="F60" s="24"/>
      <c r="G60" s="24"/>
      <c r="H60" s="24"/>
      <c r="I60" s="24"/>
      <c r="J60" s="24"/>
      <c r="K60" s="24"/>
      <c r="L60" s="24"/>
      <c r="M60" s="24"/>
      <c r="N60" s="24"/>
      <c r="O60" s="24"/>
      <c r="P60" s="24"/>
      <c r="Q60" s="24"/>
      <c r="R60" s="24"/>
      <c r="S60" s="24"/>
      <c r="T60" s="24"/>
      <c r="U60" s="24"/>
      <c r="V60" s="24"/>
      <c r="W60" s="24"/>
      <c r="X60" s="24"/>
    </row>
    <row r="61" spans="1:24" ht="13.8">
      <c r="A61" s="24"/>
      <c r="B61" s="24"/>
      <c r="C61" s="24"/>
      <c r="D61" s="24"/>
      <c r="E61" s="24"/>
      <c r="F61" s="24"/>
      <c r="G61" s="24"/>
      <c r="H61" s="24"/>
      <c r="I61" s="24"/>
      <c r="J61" s="24"/>
      <c r="K61" s="24"/>
      <c r="L61" s="24"/>
      <c r="M61" s="24"/>
      <c r="N61" s="24"/>
      <c r="O61" s="24"/>
      <c r="P61" s="24"/>
      <c r="Q61" s="24"/>
      <c r="R61" s="24"/>
      <c r="S61" s="24"/>
      <c r="T61" s="24"/>
      <c r="U61" s="24"/>
      <c r="V61" s="24"/>
      <c r="W61" s="24"/>
      <c r="X61" s="24"/>
    </row>
    <row r="62" spans="1:24" ht="13.8">
      <c r="A62" s="24"/>
      <c r="B62" s="24"/>
      <c r="C62" s="24"/>
      <c r="D62" s="24"/>
      <c r="E62" s="24"/>
      <c r="F62" s="24"/>
      <c r="G62" s="24"/>
      <c r="H62" s="24"/>
      <c r="I62" s="24"/>
      <c r="J62" s="24"/>
      <c r="K62" s="24"/>
      <c r="L62" s="24"/>
      <c r="M62" s="24"/>
      <c r="N62" s="24"/>
      <c r="O62" s="24"/>
      <c r="P62" s="24"/>
      <c r="Q62" s="24"/>
      <c r="R62" s="24"/>
      <c r="S62" s="24"/>
      <c r="T62" s="24"/>
      <c r="U62" s="24"/>
      <c r="V62" s="24"/>
      <c r="W62" s="24"/>
      <c r="X62" s="24"/>
    </row>
    <row r="63" spans="1:24" ht="13.8">
      <c r="A63" s="24"/>
      <c r="B63" s="24"/>
      <c r="C63" s="24"/>
      <c r="D63" s="24"/>
      <c r="E63" s="24"/>
      <c r="F63" s="24"/>
      <c r="G63" s="24"/>
      <c r="H63" s="24"/>
      <c r="I63" s="24"/>
      <c r="J63" s="24"/>
      <c r="K63" s="24"/>
      <c r="L63" s="24"/>
      <c r="M63" s="24"/>
      <c r="N63" s="24"/>
      <c r="O63" s="24"/>
      <c r="P63" s="24"/>
      <c r="Q63" s="24"/>
      <c r="R63" s="24"/>
      <c r="S63" s="24"/>
      <c r="T63" s="24"/>
      <c r="U63" s="24"/>
      <c r="V63" s="24"/>
      <c r="W63" s="24"/>
      <c r="X63" s="24"/>
    </row>
    <row r="64" spans="1:24" ht="13.8">
      <c r="A64" s="24"/>
      <c r="B64" s="24"/>
      <c r="C64" s="24"/>
      <c r="D64" s="24"/>
      <c r="E64" s="24"/>
      <c r="F64" s="24"/>
      <c r="G64" s="24"/>
      <c r="H64" s="24"/>
      <c r="I64" s="24"/>
      <c r="J64" s="24"/>
      <c r="K64" s="24"/>
      <c r="L64" s="24"/>
      <c r="M64" s="24"/>
      <c r="N64" s="24"/>
      <c r="O64" s="24"/>
      <c r="P64" s="24"/>
      <c r="Q64" s="24"/>
      <c r="R64" s="24"/>
      <c r="S64" s="24"/>
      <c r="T64" s="24"/>
      <c r="U64" s="24"/>
      <c r="V64" s="24"/>
      <c r="W64" s="24"/>
      <c r="X64" s="24"/>
    </row>
    <row r="65" spans="1:24" ht="13.8">
      <c r="A65" s="24"/>
      <c r="B65" s="24"/>
      <c r="C65" s="24"/>
      <c r="D65" s="24"/>
      <c r="E65" s="24"/>
      <c r="F65" s="24"/>
      <c r="G65" s="24"/>
      <c r="H65" s="24"/>
      <c r="I65" s="24"/>
      <c r="J65" s="24"/>
      <c r="K65" s="24"/>
      <c r="L65" s="24"/>
      <c r="M65" s="24"/>
      <c r="N65" s="24"/>
      <c r="O65" s="24"/>
      <c r="P65" s="24"/>
      <c r="Q65" s="24"/>
      <c r="R65" s="24"/>
      <c r="S65" s="24"/>
      <c r="T65" s="24"/>
      <c r="U65" s="24"/>
      <c r="V65" s="24"/>
      <c r="W65" s="24"/>
      <c r="X65" s="24"/>
    </row>
    <row r="66" spans="1:24" ht="13.8">
      <c r="A66" s="24"/>
      <c r="B66" s="24"/>
      <c r="C66" s="24"/>
      <c r="D66" s="24"/>
      <c r="E66" s="24"/>
      <c r="F66" s="24"/>
      <c r="G66" s="24"/>
      <c r="H66" s="24"/>
      <c r="I66" s="24"/>
      <c r="J66" s="24"/>
      <c r="K66" s="24"/>
      <c r="L66" s="24"/>
      <c r="M66" s="24"/>
      <c r="N66" s="24"/>
      <c r="O66" s="24"/>
      <c r="P66" s="24"/>
      <c r="Q66" s="24"/>
      <c r="R66" s="24"/>
      <c r="S66" s="24"/>
      <c r="T66" s="24"/>
      <c r="U66" s="24"/>
      <c r="V66" s="24"/>
      <c r="W66" s="24"/>
      <c r="X66" s="24"/>
    </row>
    <row r="67" spans="1:24" ht="13.8">
      <c r="A67" s="24"/>
      <c r="B67" s="24"/>
      <c r="C67" s="24"/>
      <c r="D67" s="24"/>
      <c r="E67" s="24"/>
      <c r="F67" s="24"/>
      <c r="G67" s="24"/>
      <c r="H67" s="24"/>
      <c r="I67" s="24"/>
      <c r="J67" s="24"/>
      <c r="K67" s="24"/>
      <c r="L67" s="24"/>
      <c r="M67" s="24"/>
      <c r="N67" s="24"/>
      <c r="O67" s="24"/>
      <c r="P67" s="24"/>
      <c r="Q67" s="24"/>
      <c r="R67" s="24"/>
      <c r="S67" s="24"/>
      <c r="T67" s="24"/>
      <c r="U67" s="24"/>
      <c r="V67" s="24"/>
      <c r="W67" s="24"/>
      <c r="X67" s="24"/>
    </row>
    <row r="68" spans="1:24" ht="13.8">
      <c r="A68" s="24"/>
      <c r="B68" s="24"/>
      <c r="C68" s="24"/>
      <c r="D68" s="24"/>
      <c r="E68" s="24"/>
      <c r="F68" s="24"/>
      <c r="G68" s="24"/>
      <c r="H68" s="24"/>
      <c r="I68" s="24"/>
      <c r="J68" s="24"/>
      <c r="K68" s="24"/>
      <c r="L68" s="24"/>
      <c r="M68" s="24"/>
      <c r="N68" s="24"/>
      <c r="O68" s="24"/>
      <c r="P68" s="24"/>
      <c r="Q68" s="24"/>
      <c r="R68" s="24"/>
      <c r="S68" s="24"/>
      <c r="T68" s="24"/>
      <c r="U68" s="24"/>
      <c r="V68" s="24"/>
      <c r="W68" s="24"/>
      <c r="X68" s="24"/>
    </row>
    <row r="69" spans="1:24" ht="13.8">
      <c r="A69" s="24"/>
      <c r="B69" s="24"/>
      <c r="C69" s="24"/>
      <c r="D69" s="24"/>
      <c r="E69" s="24"/>
      <c r="F69" s="24"/>
      <c r="G69" s="24"/>
      <c r="H69" s="24"/>
      <c r="I69" s="24"/>
      <c r="J69" s="24"/>
      <c r="K69" s="24"/>
      <c r="L69" s="24"/>
      <c r="M69" s="24"/>
      <c r="N69" s="24"/>
      <c r="O69" s="24"/>
      <c r="P69" s="24"/>
      <c r="Q69" s="24"/>
      <c r="R69" s="24"/>
      <c r="S69" s="24"/>
      <c r="T69" s="24"/>
      <c r="U69" s="24"/>
      <c r="V69" s="24"/>
      <c r="W69" s="24"/>
      <c r="X69" s="24"/>
    </row>
    <row r="70" spans="1:24" ht="13.8">
      <c r="A70" s="24"/>
      <c r="B70" s="24"/>
      <c r="C70" s="24"/>
      <c r="D70" s="24"/>
      <c r="E70" s="24"/>
      <c r="F70" s="24"/>
      <c r="G70" s="24"/>
      <c r="H70" s="24"/>
      <c r="I70" s="24"/>
      <c r="J70" s="24"/>
      <c r="K70" s="24"/>
      <c r="L70" s="24"/>
      <c r="M70" s="24"/>
      <c r="N70" s="24"/>
      <c r="O70" s="24"/>
      <c r="P70" s="24"/>
      <c r="Q70" s="24"/>
      <c r="R70" s="24"/>
      <c r="S70" s="24"/>
      <c r="T70" s="24"/>
      <c r="U70" s="24"/>
      <c r="V70" s="24"/>
      <c r="W70" s="24"/>
      <c r="X70" s="24"/>
    </row>
    <row r="71" spans="1:24" ht="13.8">
      <c r="A71" s="24"/>
      <c r="B71" s="24"/>
      <c r="C71" s="24"/>
      <c r="D71" s="24"/>
      <c r="E71" s="24"/>
      <c r="F71" s="24"/>
      <c r="G71" s="24"/>
      <c r="H71" s="24"/>
      <c r="I71" s="24"/>
      <c r="J71" s="24"/>
      <c r="K71" s="24"/>
      <c r="L71" s="24"/>
      <c r="M71" s="24"/>
      <c r="N71" s="24"/>
      <c r="O71" s="24"/>
      <c r="P71" s="24"/>
      <c r="Q71" s="24"/>
      <c r="R71" s="24"/>
      <c r="S71" s="24"/>
      <c r="T71" s="24"/>
      <c r="U71" s="24"/>
      <c r="V71" s="24"/>
      <c r="W71" s="24"/>
      <c r="X71" s="24"/>
    </row>
    <row r="72" spans="1:24" ht="13.8">
      <c r="A72" s="24"/>
      <c r="B72" s="24"/>
      <c r="C72" s="24"/>
      <c r="D72" s="24"/>
      <c r="E72" s="24"/>
      <c r="F72" s="24"/>
      <c r="G72" s="24"/>
      <c r="H72" s="24"/>
      <c r="I72" s="24"/>
      <c r="J72" s="24"/>
      <c r="K72" s="24"/>
      <c r="L72" s="24"/>
      <c r="M72" s="24"/>
      <c r="N72" s="24"/>
      <c r="O72" s="24"/>
      <c r="P72" s="24"/>
      <c r="Q72" s="24"/>
      <c r="R72" s="24"/>
      <c r="S72" s="24"/>
      <c r="T72" s="24"/>
      <c r="U72" s="24"/>
      <c r="V72" s="24"/>
      <c r="W72" s="24"/>
      <c r="X72" s="24"/>
    </row>
    <row r="73" spans="1:24" ht="13.8">
      <c r="A73" s="24"/>
      <c r="B73" s="24"/>
      <c r="C73" s="24"/>
      <c r="D73" s="24"/>
      <c r="E73" s="24"/>
      <c r="F73" s="24"/>
      <c r="G73" s="24"/>
      <c r="H73" s="24"/>
      <c r="I73" s="24"/>
      <c r="J73" s="24"/>
      <c r="K73" s="24"/>
      <c r="L73" s="24"/>
      <c r="M73" s="24"/>
      <c r="N73" s="24"/>
      <c r="O73" s="24"/>
      <c r="P73" s="24"/>
      <c r="Q73" s="24"/>
      <c r="R73" s="24"/>
      <c r="S73" s="24"/>
      <c r="T73" s="24"/>
      <c r="U73" s="24"/>
      <c r="V73" s="24"/>
      <c r="W73" s="24"/>
      <c r="X73" s="24"/>
    </row>
    <row r="74" spans="1:24" ht="13.8">
      <c r="A74" s="24"/>
      <c r="B74" s="24"/>
      <c r="C74" s="24"/>
      <c r="D74" s="24"/>
      <c r="E74" s="24"/>
      <c r="F74" s="24"/>
      <c r="G74" s="24"/>
      <c r="H74" s="24"/>
      <c r="I74" s="24"/>
      <c r="J74" s="24"/>
      <c r="K74" s="24"/>
      <c r="L74" s="24"/>
      <c r="M74" s="24"/>
      <c r="N74" s="24"/>
      <c r="O74" s="24"/>
      <c r="P74" s="24"/>
      <c r="Q74" s="24"/>
      <c r="R74" s="24"/>
      <c r="S74" s="24"/>
      <c r="T74" s="24"/>
      <c r="U74" s="24"/>
      <c r="V74" s="24"/>
      <c r="W74" s="24"/>
      <c r="X74" s="24"/>
    </row>
    <row r="75" spans="1:24" ht="13.8">
      <c r="A75" s="24"/>
      <c r="B75" s="24"/>
      <c r="C75" s="24"/>
      <c r="D75" s="24"/>
      <c r="E75" s="24"/>
      <c r="F75" s="24"/>
      <c r="G75" s="24"/>
      <c r="H75" s="24"/>
      <c r="I75" s="24"/>
      <c r="J75" s="24"/>
      <c r="K75" s="24"/>
      <c r="L75" s="24"/>
      <c r="M75" s="24"/>
      <c r="N75" s="24"/>
      <c r="O75" s="24"/>
      <c r="P75" s="24"/>
      <c r="Q75" s="24"/>
      <c r="R75" s="24"/>
      <c r="S75" s="24"/>
      <c r="T75" s="24"/>
      <c r="U75" s="24"/>
      <c r="V75" s="24"/>
      <c r="W75" s="24"/>
      <c r="X75" s="24"/>
    </row>
    <row r="76" spans="1:24" ht="13.8">
      <c r="A76" s="24"/>
      <c r="B76" s="24"/>
      <c r="C76" s="24"/>
      <c r="D76" s="24"/>
      <c r="E76" s="24"/>
      <c r="F76" s="24"/>
      <c r="G76" s="24"/>
      <c r="H76" s="24"/>
      <c r="I76" s="24"/>
      <c r="J76" s="24"/>
      <c r="K76" s="24"/>
      <c r="L76" s="24"/>
      <c r="M76" s="24"/>
      <c r="N76" s="24"/>
      <c r="O76" s="24"/>
      <c r="P76" s="24"/>
      <c r="Q76" s="24"/>
      <c r="R76" s="24"/>
      <c r="S76" s="24"/>
      <c r="T76" s="24"/>
      <c r="U76" s="24"/>
      <c r="V76" s="24"/>
      <c r="W76" s="24"/>
      <c r="X76" s="24"/>
    </row>
    <row r="77" spans="1:24" ht="13.8">
      <c r="A77" s="24"/>
      <c r="B77" s="24"/>
      <c r="C77" s="24"/>
      <c r="D77" s="24"/>
      <c r="E77" s="24"/>
      <c r="F77" s="24"/>
      <c r="G77" s="24"/>
      <c r="H77" s="24"/>
      <c r="I77" s="24"/>
      <c r="J77" s="24"/>
      <c r="K77" s="24"/>
      <c r="L77" s="24"/>
      <c r="M77" s="24"/>
      <c r="N77" s="24"/>
      <c r="O77" s="24"/>
      <c r="P77" s="24"/>
      <c r="Q77" s="24"/>
      <c r="R77" s="24"/>
      <c r="S77" s="24"/>
      <c r="T77" s="24"/>
      <c r="U77" s="24"/>
      <c r="V77" s="24"/>
      <c r="W77" s="24"/>
      <c r="X77" s="24"/>
    </row>
    <row r="78" spans="1:24" ht="13.8">
      <c r="A78" s="24"/>
      <c r="B78" s="24"/>
      <c r="C78" s="24"/>
      <c r="D78" s="24"/>
      <c r="E78" s="24"/>
      <c r="F78" s="24"/>
      <c r="G78" s="24"/>
      <c r="H78" s="24"/>
      <c r="I78" s="24"/>
      <c r="J78" s="24"/>
      <c r="K78" s="24"/>
      <c r="L78" s="24"/>
      <c r="M78" s="24"/>
      <c r="N78" s="24"/>
      <c r="O78" s="24"/>
      <c r="P78" s="24"/>
      <c r="Q78" s="24"/>
      <c r="R78" s="24"/>
      <c r="S78" s="24"/>
      <c r="T78" s="24"/>
      <c r="U78" s="24"/>
      <c r="V78" s="24"/>
      <c r="W78" s="24"/>
      <c r="X78" s="24"/>
    </row>
    <row r="79" spans="1:24" ht="13.8">
      <c r="A79" s="24"/>
      <c r="B79" s="24"/>
      <c r="C79" s="24"/>
      <c r="D79" s="24"/>
      <c r="E79" s="24"/>
      <c r="F79" s="24"/>
      <c r="G79" s="24"/>
      <c r="H79" s="24"/>
      <c r="I79" s="24"/>
      <c r="J79" s="24"/>
      <c r="K79" s="24"/>
      <c r="L79" s="24"/>
      <c r="M79" s="24"/>
      <c r="N79" s="24"/>
      <c r="O79" s="24"/>
      <c r="P79" s="24"/>
      <c r="Q79" s="24"/>
      <c r="R79" s="24"/>
      <c r="S79" s="24"/>
      <c r="T79" s="24"/>
      <c r="U79" s="24"/>
      <c r="V79" s="24"/>
      <c r="W79" s="24"/>
      <c r="X79" s="24"/>
    </row>
    <row r="80" spans="1:24" ht="13.8">
      <c r="A80" s="24"/>
      <c r="B80" s="24"/>
      <c r="C80" s="24"/>
      <c r="D80" s="24"/>
      <c r="E80" s="24"/>
      <c r="F80" s="24"/>
      <c r="G80" s="24"/>
      <c r="H80" s="24"/>
      <c r="I80" s="24"/>
      <c r="J80" s="24"/>
      <c r="K80" s="24"/>
      <c r="L80" s="24"/>
      <c r="M80" s="24"/>
      <c r="N80" s="24"/>
      <c r="O80" s="24"/>
      <c r="P80" s="24"/>
      <c r="Q80" s="24"/>
      <c r="R80" s="24"/>
      <c r="S80" s="24"/>
      <c r="T80" s="24"/>
      <c r="U80" s="24"/>
      <c r="V80" s="24"/>
      <c r="W80" s="24"/>
      <c r="X80" s="24"/>
    </row>
    <row r="81" spans="1:24" ht="13.8">
      <c r="A81" s="24"/>
      <c r="B81" s="24"/>
      <c r="C81" s="24"/>
      <c r="D81" s="24"/>
      <c r="E81" s="24"/>
      <c r="F81" s="24"/>
      <c r="G81" s="24"/>
      <c r="H81" s="24"/>
      <c r="I81" s="24"/>
      <c r="J81" s="24"/>
      <c r="K81" s="24"/>
      <c r="L81" s="24"/>
      <c r="M81" s="24"/>
      <c r="N81" s="24"/>
      <c r="O81" s="24"/>
      <c r="P81" s="24"/>
      <c r="Q81" s="24"/>
      <c r="R81" s="24"/>
      <c r="S81" s="24"/>
      <c r="T81" s="24"/>
      <c r="U81" s="24"/>
      <c r="V81" s="24"/>
      <c r="W81" s="24"/>
      <c r="X81" s="24"/>
    </row>
    <row r="82" spans="1:24" ht="13.8">
      <c r="A82" s="24"/>
      <c r="B82" s="24"/>
      <c r="C82" s="24"/>
      <c r="D82" s="24"/>
      <c r="E82" s="24"/>
      <c r="F82" s="24"/>
      <c r="G82" s="24"/>
      <c r="H82" s="24"/>
      <c r="I82" s="24"/>
      <c r="J82" s="24"/>
      <c r="K82" s="24"/>
      <c r="L82" s="24"/>
      <c r="M82" s="24"/>
      <c r="N82" s="24"/>
      <c r="O82" s="24"/>
      <c r="P82" s="24"/>
      <c r="Q82" s="24"/>
      <c r="R82" s="24"/>
      <c r="S82" s="24"/>
      <c r="T82" s="24"/>
      <c r="U82" s="24"/>
      <c r="V82" s="24"/>
      <c r="W82" s="24"/>
      <c r="X82" s="24"/>
    </row>
    <row r="83" spans="1:24" ht="13.8">
      <c r="A83" s="24"/>
      <c r="B83" s="24"/>
      <c r="C83" s="24"/>
      <c r="D83" s="24"/>
      <c r="E83" s="24"/>
      <c r="F83" s="24"/>
      <c r="G83" s="24"/>
      <c r="H83" s="24"/>
      <c r="I83" s="24"/>
      <c r="J83" s="24"/>
      <c r="K83" s="24"/>
      <c r="L83" s="24"/>
      <c r="M83" s="24"/>
      <c r="N83" s="24"/>
      <c r="O83" s="24"/>
      <c r="P83" s="24"/>
      <c r="Q83" s="24"/>
      <c r="R83" s="24"/>
      <c r="S83" s="24"/>
      <c r="T83" s="24"/>
      <c r="U83" s="24"/>
      <c r="V83" s="24"/>
      <c r="W83" s="24"/>
      <c r="X83" s="24"/>
    </row>
    <row r="84" spans="1:24" ht="13.8">
      <c r="A84" s="24"/>
      <c r="B84" s="24"/>
      <c r="C84" s="24"/>
      <c r="D84" s="24"/>
      <c r="E84" s="24"/>
      <c r="F84" s="24"/>
      <c r="G84" s="24"/>
      <c r="H84" s="24"/>
      <c r="I84" s="24"/>
      <c r="J84" s="24"/>
      <c r="K84" s="24"/>
      <c r="L84" s="24"/>
      <c r="M84" s="24"/>
      <c r="N84" s="24"/>
      <c r="O84" s="24"/>
      <c r="P84" s="24"/>
      <c r="Q84" s="24"/>
      <c r="R84" s="24"/>
      <c r="S84" s="24"/>
      <c r="T84" s="24"/>
      <c r="U84" s="24"/>
      <c r="V84" s="24"/>
      <c r="W84" s="24"/>
      <c r="X84" s="24"/>
    </row>
    <row r="85" spans="1:24" ht="13.8">
      <c r="A85" s="24"/>
      <c r="B85" s="24"/>
      <c r="C85" s="24"/>
      <c r="D85" s="24"/>
      <c r="E85" s="24"/>
      <c r="F85" s="24"/>
      <c r="G85" s="24"/>
      <c r="H85" s="24"/>
      <c r="I85" s="24"/>
      <c r="J85" s="24"/>
      <c r="K85" s="24"/>
      <c r="L85" s="24"/>
      <c r="M85" s="24"/>
      <c r="N85" s="24"/>
      <c r="O85" s="24"/>
      <c r="P85" s="24"/>
      <c r="Q85" s="24"/>
      <c r="R85" s="24"/>
      <c r="S85" s="24"/>
      <c r="T85" s="24"/>
      <c r="U85" s="24"/>
      <c r="V85" s="24"/>
      <c r="W85" s="24"/>
      <c r="X85" s="24"/>
    </row>
    <row r="86" spans="1:24" ht="13.8">
      <c r="A86" s="24"/>
      <c r="B86" s="24"/>
      <c r="C86" s="24"/>
      <c r="D86" s="24"/>
      <c r="E86" s="24"/>
      <c r="F86" s="24"/>
      <c r="G86" s="24"/>
      <c r="H86" s="24"/>
      <c r="I86" s="24"/>
      <c r="J86" s="24"/>
      <c r="K86" s="24"/>
      <c r="L86" s="24"/>
      <c r="M86" s="24"/>
      <c r="N86" s="24"/>
      <c r="O86" s="24"/>
      <c r="P86" s="24"/>
      <c r="Q86" s="24"/>
      <c r="R86" s="24"/>
      <c r="S86" s="24"/>
      <c r="T86" s="24"/>
      <c r="U86" s="24"/>
      <c r="V86" s="24"/>
      <c r="W86" s="24"/>
      <c r="X86" s="24"/>
    </row>
    <row r="87" spans="1:24" ht="13.8">
      <c r="A87" s="24"/>
      <c r="B87" s="24"/>
      <c r="C87" s="24"/>
      <c r="D87" s="24"/>
      <c r="E87" s="24"/>
      <c r="F87" s="24"/>
      <c r="G87" s="24"/>
      <c r="H87" s="24"/>
      <c r="I87" s="24"/>
      <c r="J87" s="24"/>
      <c r="K87" s="24"/>
      <c r="L87" s="24"/>
      <c r="M87" s="24"/>
      <c r="N87" s="24"/>
      <c r="O87" s="24"/>
      <c r="P87" s="24"/>
      <c r="Q87" s="24"/>
      <c r="R87" s="24"/>
      <c r="S87" s="24"/>
      <c r="T87" s="24"/>
      <c r="U87" s="24"/>
      <c r="V87" s="24"/>
      <c r="W87" s="24"/>
      <c r="X87" s="24"/>
    </row>
    <row r="88" spans="1:24" ht="13.8">
      <c r="A88" s="24"/>
      <c r="B88" s="24"/>
      <c r="C88" s="24"/>
      <c r="D88" s="24"/>
      <c r="E88" s="24"/>
      <c r="F88" s="24"/>
      <c r="G88" s="24"/>
      <c r="H88" s="24"/>
      <c r="I88" s="24"/>
      <c r="J88" s="24"/>
      <c r="K88" s="24"/>
      <c r="L88" s="24"/>
      <c r="M88" s="24"/>
      <c r="N88" s="24"/>
      <c r="O88" s="24"/>
      <c r="P88" s="24"/>
      <c r="Q88" s="24"/>
      <c r="R88" s="24"/>
      <c r="S88" s="24"/>
      <c r="T88" s="24"/>
      <c r="U88" s="24"/>
      <c r="V88" s="24"/>
      <c r="W88" s="24"/>
      <c r="X88" s="24"/>
    </row>
    <row r="89" spans="1:24" ht="13.8">
      <c r="A89" s="24"/>
      <c r="B89" s="24"/>
      <c r="C89" s="24"/>
      <c r="D89" s="24"/>
      <c r="E89" s="24"/>
      <c r="F89" s="24"/>
      <c r="G89" s="24"/>
      <c r="H89" s="24"/>
      <c r="I89" s="24"/>
      <c r="J89" s="24"/>
      <c r="K89" s="24"/>
      <c r="L89" s="24"/>
      <c r="M89" s="24"/>
      <c r="N89" s="24"/>
      <c r="O89" s="24"/>
      <c r="P89" s="24"/>
      <c r="Q89" s="24"/>
      <c r="R89" s="24"/>
      <c r="S89" s="24"/>
      <c r="T89" s="24"/>
      <c r="U89" s="24"/>
      <c r="V89" s="24"/>
      <c r="W89" s="24"/>
      <c r="X89" s="24"/>
    </row>
    <row r="90" spans="1:24" ht="13.8">
      <c r="A90" s="24"/>
      <c r="B90" s="24"/>
      <c r="C90" s="24"/>
      <c r="D90" s="24"/>
      <c r="E90" s="24"/>
      <c r="F90" s="24"/>
      <c r="G90" s="24"/>
      <c r="H90" s="24"/>
      <c r="I90" s="24"/>
      <c r="J90" s="24"/>
      <c r="K90" s="24"/>
      <c r="L90" s="24"/>
      <c r="M90" s="24"/>
      <c r="N90" s="24"/>
      <c r="O90" s="24"/>
      <c r="P90" s="24"/>
      <c r="Q90" s="24"/>
      <c r="R90" s="24"/>
      <c r="S90" s="24"/>
      <c r="T90" s="24"/>
      <c r="U90" s="24"/>
      <c r="V90" s="24"/>
      <c r="W90" s="24"/>
      <c r="X90" s="24"/>
    </row>
    <row r="91" spans="1:24" ht="13.8">
      <c r="A91" s="24"/>
      <c r="B91" s="24"/>
      <c r="C91" s="24"/>
      <c r="D91" s="24"/>
      <c r="E91" s="24"/>
      <c r="F91" s="24"/>
      <c r="G91" s="24"/>
      <c r="H91" s="24"/>
      <c r="I91" s="24"/>
      <c r="J91" s="24"/>
      <c r="K91" s="24"/>
      <c r="L91" s="24"/>
      <c r="M91" s="24"/>
      <c r="N91" s="24"/>
      <c r="O91" s="24"/>
      <c r="P91" s="24"/>
      <c r="Q91" s="24"/>
      <c r="R91" s="24"/>
      <c r="S91" s="24"/>
      <c r="T91" s="24"/>
      <c r="U91" s="24"/>
      <c r="V91" s="24"/>
      <c r="W91" s="24"/>
      <c r="X91" s="24"/>
    </row>
    <row r="92" spans="1:24" ht="13.8">
      <c r="A92" s="24"/>
      <c r="B92" s="24"/>
      <c r="C92" s="24"/>
      <c r="D92" s="24"/>
      <c r="E92" s="24"/>
      <c r="F92" s="24"/>
      <c r="G92" s="24"/>
      <c r="H92" s="24"/>
      <c r="I92" s="24"/>
      <c r="J92" s="24"/>
      <c r="K92" s="24"/>
      <c r="L92" s="24"/>
      <c r="M92" s="24"/>
      <c r="N92" s="24"/>
      <c r="O92" s="24"/>
      <c r="P92" s="24"/>
      <c r="Q92" s="24"/>
      <c r="R92" s="24"/>
      <c r="S92" s="24"/>
      <c r="T92" s="24"/>
      <c r="U92" s="24"/>
      <c r="V92" s="24"/>
      <c r="W92" s="24"/>
      <c r="X92" s="24"/>
    </row>
    <row r="93" spans="1:24" ht="13.8">
      <c r="A93" s="24"/>
      <c r="B93" s="24"/>
      <c r="C93" s="24"/>
      <c r="D93" s="24"/>
      <c r="E93" s="24"/>
      <c r="F93" s="24"/>
      <c r="G93" s="24"/>
      <c r="H93" s="24"/>
      <c r="I93" s="24"/>
      <c r="J93" s="24"/>
      <c r="K93" s="24"/>
      <c r="L93" s="24"/>
      <c r="M93" s="24"/>
      <c r="N93" s="24"/>
      <c r="O93" s="24"/>
      <c r="P93" s="24"/>
      <c r="Q93" s="24"/>
      <c r="R93" s="24"/>
      <c r="S93" s="24"/>
      <c r="T93" s="24"/>
      <c r="U93" s="24"/>
      <c r="V93" s="24"/>
      <c r="W93" s="24"/>
      <c r="X93" s="24"/>
    </row>
    <row r="94" spans="1:24" ht="13.8">
      <c r="A94" s="24"/>
      <c r="B94" s="24"/>
      <c r="C94" s="24"/>
      <c r="D94" s="24"/>
      <c r="E94" s="24"/>
      <c r="F94" s="24"/>
      <c r="G94" s="24"/>
      <c r="H94" s="24"/>
      <c r="I94" s="24"/>
      <c r="J94" s="24"/>
      <c r="K94" s="24"/>
      <c r="L94" s="24"/>
      <c r="M94" s="24"/>
      <c r="N94" s="24"/>
      <c r="O94" s="24"/>
      <c r="P94" s="24"/>
      <c r="Q94" s="24"/>
      <c r="R94" s="24"/>
      <c r="S94" s="24"/>
      <c r="T94" s="24"/>
      <c r="U94" s="24"/>
      <c r="V94" s="24"/>
      <c r="W94" s="24"/>
      <c r="X94" s="24"/>
    </row>
    <row r="95" spans="1:24" ht="13.8">
      <c r="A95" s="24"/>
      <c r="B95" s="24"/>
      <c r="C95" s="24"/>
      <c r="D95" s="24"/>
      <c r="E95" s="24"/>
      <c r="F95" s="24"/>
      <c r="G95" s="24"/>
      <c r="H95" s="24"/>
      <c r="I95" s="24"/>
      <c r="J95" s="24"/>
      <c r="K95" s="24"/>
      <c r="L95" s="24"/>
      <c r="M95" s="24"/>
      <c r="N95" s="24"/>
      <c r="O95" s="24"/>
      <c r="P95" s="24"/>
      <c r="Q95" s="24"/>
      <c r="R95" s="24"/>
      <c r="S95" s="24"/>
      <c r="T95" s="24"/>
      <c r="U95" s="24"/>
      <c r="V95" s="24"/>
      <c r="W95" s="24"/>
      <c r="X95" s="24"/>
    </row>
    <row r="96" spans="1:24" ht="13.8">
      <c r="A96" s="24"/>
      <c r="B96" s="24"/>
      <c r="C96" s="24"/>
      <c r="D96" s="24"/>
      <c r="E96" s="24"/>
      <c r="F96" s="24"/>
      <c r="G96" s="24"/>
      <c r="H96" s="24"/>
      <c r="I96" s="24"/>
      <c r="J96" s="24"/>
      <c r="K96" s="24"/>
      <c r="L96" s="24"/>
      <c r="M96" s="24"/>
      <c r="N96" s="24"/>
      <c r="O96" s="24"/>
      <c r="P96" s="24"/>
      <c r="Q96" s="24"/>
      <c r="R96" s="24"/>
      <c r="S96" s="24"/>
      <c r="T96" s="24"/>
      <c r="U96" s="24"/>
      <c r="V96" s="24"/>
      <c r="W96" s="24"/>
      <c r="X96" s="24"/>
    </row>
    <row r="97" spans="1:24" ht="13.8">
      <c r="A97" s="24"/>
      <c r="B97" s="24"/>
      <c r="C97" s="24"/>
      <c r="D97" s="24"/>
      <c r="E97" s="24"/>
      <c r="F97" s="24"/>
      <c r="G97" s="24"/>
      <c r="H97" s="24"/>
      <c r="I97" s="24"/>
      <c r="J97" s="24"/>
      <c r="K97" s="24"/>
      <c r="L97" s="24"/>
      <c r="M97" s="24"/>
      <c r="N97" s="24"/>
      <c r="O97" s="24"/>
      <c r="P97" s="24"/>
      <c r="Q97" s="24"/>
      <c r="R97" s="24"/>
      <c r="S97" s="24"/>
      <c r="T97" s="24"/>
      <c r="U97" s="24"/>
      <c r="V97" s="24"/>
      <c r="W97" s="24"/>
      <c r="X97" s="24"/>
    </row>
    <row r="98" spans="1:24" ht="13.8">
      <c r="A98" s="24"/>
      <c r="B98" s="24"/>
      <c r="C98" s="24"/>
      <c r="D98" s="24"/>
      <c r="E98" s="24"/>
      <c r="F98" s="24"/>
      <c r="G98" s="24"/>
      <c r="H98" s="24"/>
      <c r="I98" s="24"/>
      <c r="J98" s="24"/>
      <c r="K98" s="24"/>
      <c r="L98" s="24"/>
      <c r="M98" s="24"/>
      <c r="N98" s="24"/>
      <c r="O98" s="24"/>
      <c r="P98" s="24"/>
      <c r="Q98" s="24"/>
      <c r="R98" s="24"/>
      <c r="S98" s="24"/>
      <c r="T98" s="24"/>
      <c r="U98" s="24"/>
      <c r="V98" s="24"/>
      <c r="W98" s="24"/>
      <c r="X98" s="24"/>
    </row>
    <row r="99" spans="1:24" ht="13.8">
      <c r="A99" s="24"/>
      <c r="B99" s="24"/>
      <c r="C99" s="24"/>
      <c r="D99" s="24"/>
      <c r="E99" s="24"/>
      <c r="F99" s="24"/>
      <c r="G99" s="24"/>
      <c r="H99" s="24"/>
      <c r="I99" s="24"/>
      <c r="J99" s="24"/>
      <c r="K99" s="24"/>
      <c r="L99" s="24"/>
      <c r="M99" s="24"/>
      <c r="N99" s="24"/>
      <c r="O99" s="24"/>
      <c r="P99" s="24"/>
      <c r="Q99" s="24"/>
      <c r="R99" s="24"/>
      <c r="S99" s="24"/>
      <c r="T99" s="24"/>
      <c r="U99" s="24"/>
      <c r="V99" s="24"/>
      <c r="W99" s="24"/>
      <c r="X99" s="24"/>
    </row>
    <row r="100" spans="1:24" ht="13.8">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spans="1:24" ht="13.8">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spans="1:24" ht="13.8">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spans="1:24" ht="13.8">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spans="1:24" ht="13.8">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spans="1:24" ht="13.8">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spans="1:24" ht="13.8">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spans="1:24" ht="13.8">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spans="1:24" ht="13.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spans="1:24" ht="13.8">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spans="1:24" ht="13.8">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spans="1:24" ht="13.8">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spans="1:24" ht="13.8">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spans="1:24" ht="13.8">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spans="1:24" ht="13.8">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spans="1:24" ht="13.8">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spans="1:24" ht="13.8">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spans="1:24" ht="13.8">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spans="1:24" ht="13.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spans="1:24" ht="13.8">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spans="1:24" ht="13.8">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spans="1:24" ht="13.8">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spans="1:24" ht="13.8">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spans="1:24" ht="13.8">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spans="1:24" ht="13.8">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spans="1:24" ht="13.8">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spans="1:24" ht="13.8">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spans="1:24" ht="13.8">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spans="1:24" ht="13.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spans="1:24" ht="13.8">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spans="1:24" ht="13.8">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spans="1:24" ht="13.8">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spans="1:24" ht="13.8">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spans="1:24" ht="13.8">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spans="1:24" ht="13.8">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spans="1:24" ht="13.8">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spans="1:24" ht="13.8">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spans="1:24" ht="13.8">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spans="1:24" ht="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spans="1:24" ht="13.8">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spans="1:24" ht="13.8">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spans="1:24" ht="13.8">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spans="1:24" ht="13.8">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spans="1:24" ht="13.8">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row r="144" spans="1:24" ht="13.8">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row>
    <row r="145" spans="1:24" ht="13.8">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row>
    <row r="146" spans="1:24" ht="13.8">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row>
    <row r="147" spans="1:24" ht="13.8">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row>
    <row r="148" spans="1:24" ht="13.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row>
    <row r="149" spans="1:24" ht="13.8">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row>
    <row r="150" spans="1:24" ht="13.8">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row>
    <row r="151" spans="1:24" ht="13.8">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row>
    <row r="152" spans="1:24" ht="13.8">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row>
    <row r="153" spans="1:24" ht="13.8">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row>
    <row r="154" spans="1:24" ht="13.8">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row>
    <row r="155" spans="1:24" ht="13.8">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row>
    <row r="156" spans="1:24" ht="13.8">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row>
    <row r="157" spans="1:24" ht="13.8">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row>
    <row r="158" spans="1:24" ht="13.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row>
    <row r="159" spans="1:24" ht="13.8">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row>
    <row r="160" spans="1:24" ht="13.8">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row>
    <row r="161" spans="1:24" ht="13.8">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row>
    <row r="162" spans="1:24" ht="13.8">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row>
    <row r="163" spans="1:24" ht="13.8">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row>
    <row r="164" spans="1:24" ht="13.8">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row>
    <row r="165" spans="1:24" ht="13.8">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row>
    <row r="166" spans="1:24" ht="13.8">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row>
    <row r="167" spans="1:24" ht="13.8">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row>
    <row r="168" spans="1:24" ht="13.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row>
    <row r="169" spans="1:24" ht="13.8">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row>
    <row r="170" spans="1:24" ht="13.8">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row>
    <row r="171" spans="1:24" ht="13.8">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row>
    <row r="172" spans="1:24" ht="13.8">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row>
    <row r="173" spans="1:24" ht="13.8">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row>
    <row r="174" spans="1:24" ht="13.8">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5" spans="1:24" ht="13.8">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row>
    <row r="176" spans="1:24" ht="13.8">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row>
    <row r="177" spans="1:24" ht="13.8">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row>
    <row r="178" spans="1:24" ht="13.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row>
    <row r="179" spans="1:24" ht="13.8">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row>
    <row r="180" spans="1:24" ht="13.8">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row>
    <row r="181" spans="1:24" ht="13.8">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row>
    <row r="182" spans="1:24" ht="13.8">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row>
    <row r="183" spans="1:24" ht="13.8">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row>
    <row r="184" spans="1:24" ht="13.8">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row>
    <row r="185" spans="1:24" ht="13.8">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row>
    <row r="186" spans="1:24" ht="13.8">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row>
    <row r="187" spans="1:24" ht="13.8">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row>
    <row r="188" spans="1:24" ht="13.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row>
    <row r="189" spans="1:24" ht="13.8">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row>
    <row r="190" spans="1:24" ht="13.8">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row>
    <row r="191" spans="1:24" ht="13.8">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row>
    <row r="192" spans="1:24" ht="13.8">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row>
    <row r="193" spans="1:24" ht="13.8">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row>
    <row r="194" spans="1:24" ht="13.8">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row>
    <row r="195" spans="1:24" ht="13.8">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row>
    <row r="196" spans="1:24" ht="13.8">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row>
    <row r="197" spans="1:24" ht="13.8">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row>
    <row r="198" spans="1:24" ht="13.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row>
    <row r="199" spans="1:24" ht="13.8">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row>
    <row r="200" spans="1:24" ht="13.8">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row>
    <row r="201" spans="1:24" ht="13.8">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row>
    <row r="202" spans="1:24" ht="13.8">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row>
    <row r="203" spans="1:24" ht="13.8">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row>
    <row r="204" spans="1:24" ht="13.8">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row>
    <row r="205" spans="1:24" ht="13.8">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row>
    <row r="206" spans="1:24" ht="13.8">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row>
    <row r="207" spans="1:24" ht="13.8">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row>
    <row r="208" spans="1:24" ht="13.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row>
    <row r="209" spans="1:24" ht="13.8">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row>
    <row r="210" spans="1:24" ht="13.8">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row>
    <row r="211" spans="1:24" ht="13.8">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row>
    <row r="212" spans="1:24" ht="13.8">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row>
    <row r="213" spans="1:24" ht="13.8">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row>
    <row r="214" spans="1:24" ht="13.8">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row>
    <row r="215" spans="1:24" ht="13.8">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row>
    <row r="216" spans="1:24" ht="13.8">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row>
    <row r="217" spans="1:24" ht="13.8">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row>
    <row r="218" spans="1:24" ht="13.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row>
    <row r="219" spans="1:24" ht="13.8">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row>
    <row r="220" spans="1:24" ht="13.8">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row>
    <row r="221" spans="1:24" ht="13.8">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row>
    <row r="222" spans="1:24" ht="13.8">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row>
    <row r="223" spans="1:24" ht="13.8">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row>
    <row r="224" spans="1:24" ht="13.8">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row>
    <row r="225" spans="1:24" ht="13.8">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row>
    <row r="226" spans="1:24" ht="13.8">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row>
    <row r="227" spans="1:24" ht="13.8">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row>
    <row r="228" spans="1:24" ht="13.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row>
    <row r="229" spans="1:24" ht="13.8">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row>
    <row r="230" spans="1:24" ht="13.8">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row>
    <row r="231" spans="1:24" ht="13.8">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row>
    <row r="232" spans="1:24" ht="13.8">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row>
    <row r="233" spans="1:24" ht="13.8">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row>
    <row r="234" spans="1:24" ht="13.8">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row>
    <row r="235" spans="1:24" ht="13.8">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row>
    <row r="236" spans="1:24" ht="13.8">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row>
    <row r="237" spans="1:24" ht="13.8">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row>
    <row r="238" spans="1:24" ht="1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row>
    <row r="239" spans="1:24" ht="13.8">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row>
    <row r="240" spans="1:24" ht="13.8">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row>
    <row r="241" spans="1:24" ht="13.8">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row>
    <row r="242" spans="1:24" ht="13.8">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row>
    <row r="243" spans="1:24" ht="13.8">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row>
    <row r="244" spans="1:24" ht="13.8">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row>
    <row r="245" spans="1:24" ht="13.8">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row>
    <row r="246" spans="1:24" ht="13.8">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row>
    <row r="247" spans="1:24" ht="13.8">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row>
    <row r="248" spans="1:24" ht="13.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row>
    <row r="249" spans="1:24" ht="13.8">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row>
    <row r="250" spans="1:24" ht="13.8">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row>
    <row r="251" spans="1:24" ht="13.8">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row>
    <row r="252" spans="1:24" ht="13.8">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row>
    <row r="253" spans="1:24" ht="13.8">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row>
    <row r="254" spans="1:24" ht="13.8">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row>
    <row r="255" spans="1:24" ht="13.8">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row>
    <row r="256" spans="1:24" ht="13.8">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row>
    <row r="257" spans="1:24" ht="13.8">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row>
    <row r="258" spans="1:24" ht="13.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row>
    <row r="259" spans="1:24" ht="13.8">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row>
    <row r="260" spans="1:24" ht="13.8">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row>
    <row r="261" spans="1:24" ht="13.8">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row>
    <row r="262" spans="1:24" ht="13.8">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row>
    <row r="263" spans="1:24" ht="13.8">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row>
    <row r="264" spans="1:24" ht="13.8">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row>
    <row r="265" spans="1:24" ht="13.8">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row>
    <row r="266" spans="1:24" ht="13.8">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row>
    <row r="267" spans="1:24" ht="13.8">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row>
    <row r="268" spans="1:24" ht="13.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row>
    <row r="269" spans="1:24" ht="13.8">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row>
    <row r="270" spans="1:24" ht="13.8">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row>
    <row r="271" spans="1:24" ht="13.8">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row>
    <row r="272" spans="1:24" ht="13.8">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row>
    <row r="273" spans="1:24" ht="13.8">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row>
    <row r="274" spans="1:24" ht="13.8">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row>
    <row r="275" spans="1:24" ht="13.8">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row>
    <row r="276" spans="1:24" ht="13.8">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row>
    <row r="277" spans="1:24" ht="13.8">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row>
    <row r="278" spans="1:24" ht="13.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row>
    <row r="279" spans="1:24" ht="13.8">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row>
    <row r="280" spans="1:24" ht="13.8">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row>
    <row r="281" spans="1:24" ht="13.8">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row>
    <row r="282" spans="1:24" ht="13.8">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row>
    <row r="283" spans="1:24" ht="13.8">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row>
    <row r="284" spans="1:24" ht="13.8">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row>
    <row r="285" spans="1:24" ht="13.8">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row>
    <row r="286" spans="1:24" ht="13.8">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row>
    <row r="287" spans="1:24" ht="13.8">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row>
    <row r="288" spans="1:24" ht="13.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row>
    <row r="289" spans="1:24" ht="13.8">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row>
    <row r="290" spans="1:24" ht="13.8">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row>
    <row r="291" spans="1:24" ht="13.8">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row>
    <row r="292" spans="1:24" ht="13.8">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row>
    <row r="293" spans="1:24" ht="13.8">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row>
    <row r="294" spans="1:24" ht="13.8">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row>
    <row r="295" spans="1:24" ht="13.8">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row>
    <row r="296" spans="1:24" ht="13.8">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row>
    <row r="297" spans="1:24" ht="13.8">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row>
    <row r="298" spans="1:24" ht="13.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row>
    <row r="299" spans="1:24" ht="13.8">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row>
    <row r="300" spans="1:24" ht="13.8">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row>
    <row r="301" spans="1:24" ht="13.8">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row>
    <row r="302" spans="1:24" ht="13.8">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row>
    <row r="303" spans="1:24" ht="13.8">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row>
    <row r="304" spans="1:24" ht="13.8">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row>
    <row r="305" spans="1:24" ht="13.8">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row>
    <row r="306" spans="1:24" ht="13.8">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row>
    <row r="307" spans="1:24" ht="13.8">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row>
    <row r="308" spans="1:24" ht="13.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row>
    <row r="309" spans="1:24" ht="13.8">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row>
    <row r="310" spans="1:24" ht="13.8">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row>
    <row r="311" spans="1:24" ht="13.8">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row>
    <row r="312" spans="1:24" ht="13.8">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row>
    <row r="313" spans="1:24" ht="13.8">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row>
    <row r="314" spans="1:24" ht="13.8">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row>
    <row r="315" spans="1:24" ht="13.8">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row>
    <row r="316" spans="1:24" ht="13.8">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row>
    <row r="317" spans="1:24" ht="13.8">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row>
    <row r="318" spans="1:24" ht="13.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row>
    <row r="319" spans="1:24" ht="13.8">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row>
    <row r="320" spans="1:24" ht="13.8">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row>
    <row r="321" spans="1:24" ht="13.8">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row>
    <row r="322" spans="1:24" ht="13.8">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row>
    <row r="323" spans="1:24" ht="13.8">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row>
    <row r="324" spans="1:24" ht="13.8">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row>
    <row r="325" spans="1:24" ht="13.8">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row>
    <row r="326" spans="1:24" ht="13.8">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row>
    <row r="327" spans="1:24" ht="13.8">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row>
    <row r="328" spans="1:24" ht="13.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row>
    <row r="329" spans="1:24" ht="13.8">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row>
    <row r="330" spans="1:24" ht="13.8">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row>
    <row r="331" spans="1:24" ht="13.8">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row>
    <row r="332" spans="1:24" ht="13.8">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row>
    <row r="333" spans="1:24" ht="13.8">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row>
    <row r="334" spans="1:24" ht="13.8">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row>
    <row r="335" spans="1:24" ht="13.8">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row>
    <row r="336" spans="1:24" ht="13.8">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row>
    <row r="337" spans="1:24" ht="13.8">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row>
    <row r="338" spans="1:24" ht="1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row>
    <row r="339" spans="1:24" ht="13.8">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row>
    <row r="340" spans="1:24" ht="13.8">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row>
    <row r="341" spans="1:24" ht="13.8">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row>
    <row r="342" spans="1:24" ht="13.8">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row>
    <row r="343" spans="1:24" ht="13.8">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row>
    <row r="344" spans="1:24" ht="13.8">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row>
    <row r="345" spans="1:24" ht="13.8">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row>
    <row r="346" spans="1:24" ht="13.8">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row>
    <row r="347" spans="1:24" ht="13.8">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row>
    <row r="348" spans="1:24" ht="13.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row>
    <row r="349" spans="1:24" ht="13.8">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row>
    <row r="350" spans="1:24" ht="13.8">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row>
    <row r="351" spans="1:24" ht="13.8">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row>
    <row r="352" spans="1:24" ht="13.8">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row>
    <row r="353" spans="1:24" ht="13.8">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row>
    <row r="354" spans="1:24" ht="13.8">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row>
    <row r="355" spans="1:24" ht="13.8">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row>
    <row r="356" spans="1:24" ht="13.8">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row>
    <row r="357" spans="1:24" ht="13.8">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row>
    <row r="358" spans="1:24" ht="13.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row>
    <row r="359" spans="1:24" ht="13.8">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row>
    <row r="360" spans="1:24" ht="13.8">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row>
    <row r="361" spans="1:24" ht="13.8">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row>
    <row r="362" spans="1:24" ht="13.8">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row>
    <row r="363" spans="1:24" ht="13.8">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row>
    <row r="364" spans="1:24" ht="13.8">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row>
    <row r="365" spans="1:24" ht="13.8">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row>
    <row r="366" spans="1:24" ht="13.8">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row>
    <row r="367" spans="1:24" ht="13.8">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row>
    <row r="368" spans="1:24" ht="13.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row>
    <row r="369" spans="1:24" ht="13.8">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row>
    <row r="370" spans="1:24" ht="13.8">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row>
    <row r="371" spans="1:24" ht="13.8">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row>
    <row r="372" spans="1:24" ht="13.8">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row>
    <row r="373" spans="1:24" ht="13.8">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row>
    <row r="374" spans="1:24" ht="13.8">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row>
    <row r="375" spans="1:24" ht="13.8">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row>
    <row r="376" spans="1:24" ht="13.8">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row>
    <row r="377" spans="1:24" ht="13.8">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row>
    <row r="378" spans="1:24" ht="13.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row>
    <row r="379" spans="1:24" ht="13.8">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row>
    <row r="380" spans="1:24" ht="13.8">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row>
    <row r="381" spans="1:24" ht="13.8">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row>
    <row r="382" spans="1:24" ht="13.8">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row>
    <row r="383" spans="1:24" ht="13.8">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row>
    <row r="384" spans="1:24" ht="13.8">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row>
    <row r="385" spans="1:24" ht="13.8">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row>
    <row r="386" spans="1:24" ht="13.8">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row>
    <row r="387" spans="1:24" ht="13.8">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row>
    <row r="388" spans="1:24" ht="13.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row>
    <row r="389" spans="1:24" ht="13.8">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row>
    <row r="390" spans="1:24" ht="13.8">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row>
    <row r="391" spans="1:24" ht="13.8">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row>
    <row r="392" spans="1:24" ht="13.8">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row>
    <row r="393" spans="1:24" ht="13.8">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row>
    <row r="394" spans="1:24" ht="13.8">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row>
    <row r="395" spans="1:24" ht="13.8">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row>
    <row r="396" spans="1:24" ht="13.8">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row>
    <row r="397" spans="1:24" ht="13.8">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row>
    <row r="398" spans="1:24" ht="13.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row>
    <row r="399" spans="1:24" ht="13.8">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row>
    <row r="400" spans="1:24" ht="13.8">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row>
    <row r="401" spans="1:24" ht="13.8">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row>
    <row r="402" spans="1:24" ht="13.8">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row>
    <row r="403" spans="1:24" ht="13.8">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row>
    <row r="404" spans="1:24" ht="13.8">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row>
    <row r="405" spans="1:24" ht="13.8">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row>
    <row r="406" spans="1:24" ht="13.8">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row>
    <row r="407" spans="1:24" ht="13.8">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row>
    <row r="408" spans="1:24" ht="13.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row>
    <row r="409" spans="1:24" ht="13.8">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row>
    <row r="410" spans="1:24" ht="13.8">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row>
    <row r="411" spans="1:24" ht="13.8">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row>
    <row r="412" spans="1:24" ht="13.8">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row>
    <row r="413" spans="1:24" ht="13.8">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row>
    <row r="414" spans="1:24" ht="13.8">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row>
    <row r="415" spans="1:24" ht="13.8">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row>
    <row r="416" spans="1:24" ht="13.8">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row>
    <row r="417" spans="1:24" ht="13.8">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row>
    <row r="418" spans="1:24" ht="13.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row>
    <row r="419" spans="1:24" ht="13.8">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row>
    <row r="420" spans="1:24" ht="13.8">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row>
    <row r="421" spans="1:24" ht="13.8">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row>
    <row r="422" spans="1:24" ht="13.8">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row>
    <row r="423" spans="1:24" ht="13.8">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row>
    <row r="424" spans="1:24" ht="13.8">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row>
    <row r="425" spans="1:24" ht="13.8">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row>
    <row r="426" spans="1:24" ht="13.8">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row>
    <row r="427" spans="1:24" ht="13.8">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row>
    <row r="428" spans="1:24" ht="13.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row>
    <row r="429" spans="1:24" ht="13.8">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row>
    <row r="430" spans="1:24" ht="13.8">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row>
    <row r="431" spans="1:24" ht="13.8">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row>
    <row r="432" spans="1:24" ht="13.8">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row>
    <row r="433" spans="1:24" ht="13.8">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row>
    <row r="434" spans="1:24" ht="13.8">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row>
    <row r="435" spans="1:24" ht="13.8">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row>
    <row r="436" spans="1:24" ht="13.8">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row>
    <row r="437" spans="1:24" ht="13.8">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row>
    <row r="438" spans="1:24" ht="1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row>
    <row r="439" spans="1:24" ht="13.8">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row>
    <row r="440" spans="1:24" ht="13.8">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row>
    <row r="441" spans="1:24" ht="13.8">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row>
    <row r="442" spans="1:24" ht="13.8">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row>
    <row r="443" spans="1:24" ht="13.8">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row>
    <row r="444" spans="1:24" ht="13.8">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row>
    <row r="445" spans="1:24" ht="13.8">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row>
    <row r="446" spans="1:24" ht="13.8">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row>
    <row r="447" spans="1:24" ht="13.8">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row>
    <row r="448" spans="1:24" ht="13.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row>
    <row r="449" spans="1:24" ht="13.8">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row>
    <row r="450" spans="1:24" ht="13.8">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row>
    <row r="451" spans="1:24" ht="13.8">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row>
    <row r="452" spans="1:24" ht="13.8">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row>
    <row r="453" spans="1:24" ht="13.8">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row>
    <row r="454" spans="1:24" ht="13.8">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row>
    <row r="455" spans="1:24" ht="13.8">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row>
    <row r="456" spans="1:24" ht="13.8">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row>
    <row r="457" spans="1:24" ht="13.8">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row>
    <row r="458" spans="1:24" ht="13.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row>
    <row r="459" spans="1:24" ht="13.8">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row>
    <row r="460" spans="1:24" ht="13.8">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row>
    <row r="461" spans="1:24" ht="13.8">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row>
    <row r="462" spans="1:24" ht="13.8">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row>
    <row r="463" spans="1:24" ht="13.8">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row>
    <row r="464" spans="1:24" ht="13.8">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row>
    <row r="465" spans="1:24" ht="13.8">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row>
    <row r="466" spans="1:24" ht="13.8">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row>
    <row r="467" spans="1:24" ht="13.8">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row>
    <row r="468" spans="1:24" ht="13.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row>
    <row r="469" spans="1:24" ht="13.8">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row>
    <row r="470" spans="1:24" ht="13.8">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row>
    <row r="471" spans="1:24" ht="13.8">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row>
    <row r="472" spans="1:24" ht="13.8">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row>
    <row r="473" spans="1:24" ht="13.8">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row>
    <row r="474" spans="1:24" ht="13.8">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row>
    <row r="475" spans="1:24" ht="13.8">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row>
    <row r="476" spans="1:24" ht="13.8">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row>
    <row r="477" spans="1:24" ht="13.8">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row>
    <row r="478" spans="1:24" ht="13.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row>
    <row r="479" spans="1:24" ht="13.8">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row>
    <row r="480" spans="1:24" ht="13.8">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row>
    <row r="481" spans="1:24" ht="13.8">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row>
    <row r="482" spans="1:24" ht="13.8">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row>
    <row r="483" spans="1:24" ht="13.8">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row>
    <row r="484" spans="1:24" ht="13.8">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row>
    <row r="485" spans="1:24" ht="13.8">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row>
    <row r="486" spans="1:24" ht="13.8">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row>
    <row r="487" spans="1:24" ht="13.8">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row>
    <row r="488" spans="1:24" ht="13.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row>
    <row r="489" spans="1:24" ht="13.8">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row>
    <row r="490" spans="1:24" ht="13.8">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row>
    <row r="491" spans="1:24" ht="13.8">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row>
    <row r="492" spans="1:24" ht="13.8">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row>
    <row r="493" spans="1:24" ht="13.8">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row>
    <row r="494" spans="1:24" ht="13.8">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row>
    <row r="495" spans="1:24" ht="13.8">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row>
    <row r="496" spans="1:24" ht="13.8">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row>
    <row r="497" spans="1:24" ht="13.8">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row>
    <row r="498" spans="1:24" ht="13.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row>
    <row r="499" spans="1:24" ht="13.8">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row>
    <row r="500" spans="1:24" ht="13.8">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row>
    <row r="501" spans="1:24" ht="13.8">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row>
    <row r="502" spans="1:24" ht="13.8">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row>
    <row r="503" spans="1:24" ht="13.8">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row>
    <row r="504" spans="1:24" ht="13.8">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row>
    <row r="505" spans="1:24" ht="13.8">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row>
    <row r="506" spans="1:24" ht="13.8">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row>
    <row r="507" spans="1:24" ht="13.8">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row>
    <row r="508" spans="1:24" ht="13.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row>
    <row r="509" spans="1:24" ht="13.8">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row>
    <row r="510" spans="1:24" ht="13.8">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row>
    <row r="511" spans="1:24" ht="13.8">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row>
    <row r="512" spans="1:24" ht="13.8">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row>
    <row r="513" spans="1:24" ht="13.8">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row>
    <row r="514" spans="1:24" ht="13.8">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row>
    <row r="515" spans="1:24" ht="13.8">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row>
    <row r="516" spans="1:24" ht="13.8">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row>
    <row r="517" spans="1:24" ht="13.8">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row>
    <row r="518" spans="1:24" ht="13.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row>
    <row r="519" spans="1:24" ht="13.8">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row>
    <row r="520" spans="1:24" ht="13.8">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row>
    <row r="521" spans="1:24" ht="13.8">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row>
    <row r="522" spans="1:24" ht="13.8">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row>
    <row r="523" spans="1:24" ht="13.8">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row>
    <row r="524" spans="1:24" ht="13.8">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row>
    <row r="525" spans="1:24" ht="13.8">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row>
    <row r="526" spans="1:24" ht="13.8">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row>
    <row r="527" spans="1:24" ht="13.8">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row>
    <row r="528" spans="1:24" ht="13.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row>
    <row r="529" spans="1:24" ht="13.8">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row>
    <row r="530" spans="1:24" ht="13.8">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row>
    <row r="531" spans="1:24" ht="13.8">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row>
    <row r="532" spans="1:24" ht="13.8">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row>
    <row r="533" spans="1:24" ht="13.8">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row>
    <row r="534" spans="1:24" ht="13.8">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row>
    <row r="535" spans="1:24" ht="13.8">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row>
    <row r="536" spans="1:24" ht="13.8">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row>
    <row r="537" spans="1:24" ht="13.8">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row>
    <row r="538" spans="1:24" ht="1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row>
    <row r="539" spans="1:24" ht="13.8">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row>
    <row r="540" spans="1:24" ht="13.8">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row>
    <row r="541" spans="1:24" ht="13.8">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row>
    <row r="542" spans="1:24" ht="13.8">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row>
    <row r="543" spans="1:24" ht="13.8">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row>
    <row r="544" spans="1:24" ht="13.8">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row>
    <row r="545" spans="1:24" ht="13.8">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row>
    <row r="546" spans="1:24" ht="13.8">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row>
    <row r="547" spans="1:24" ht="13.8">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row>
    <row r="548" spans="1:24" ht="13.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row>
    <row r="549" spans="1:24" ht="13.8">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row>
    <row r="550" spans="1:24" ht="13.8">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row>
    <row r="551" spans="1:24" ht="13.8">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row>
    <row r="552" spans="1:24" ht="13.8">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row>
    <row r="553" spans="1:24" ht="13.8">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row>
    <row r="554" spans="1:24" ht="13.8">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row>
    <row r="555" spans="1:24" ht="13.8">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row>
    <row r="556" spans="1:24" ht="13.8">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row>
    <row r="557" spans="1:24" ht="13.8">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row>
    <row r="558" spans="1:24" ht="13.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row>
    <row r="559" spans="1:24" ht="13.8">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row>
    <row r="560" spans="1:24" ht="13.8">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row>
    <row r="561" spans="1:24" ht="13.8">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row>
    <row r="562" spans="1:24" ht="13.8">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row>
    <row r="563" spans="1:24" ht="13.8">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row>
    <row r="564" spans="1:24" ht="13.8">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row>
    <row r="565" spans="1:24" ht="13.8">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row>
    <row r="566" spans="1:24" ht="13.8">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row>
    <row r="567" spans="1:24" ht="13.8">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row>
    <row r="568" spans="1:24" ht="13.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row>
    <row r="569" spans="1:24" ht="13.8">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row>
    <row r="570" spans="1:24" ht="13.8">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row>
    <row r="571" spans="1:24" ht="13.8">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row>
    <row r="572" spans="1:24" ht="13.8">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row>
    <row r="573" spans="1:24" ht="13.8">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row>
    <row r="574" spans="1:24" ht="13.8">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row>
    <row r="575" spans="1:24" ht="13.8">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row>
    <row r="576" spans="1:24" ht="13.8">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row>
    <row r="577" spans="1:24" ht="13.8">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row>
    <row r="578" spans="1:24" ht="13.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row>
    <row r="579" spans="1:24" ht="13.8">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row>
    <row r="580" spans="1:24" ht="13.8">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row>
    <row r="581" spans="1:24" ht="13.8">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row>
    <row r="582" spans="1:24" ht="13.8">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row>
    <row r="583" spans="1:24" ht="13.8">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row>
    <row r="584" spans="1:24" ht="13.8">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row>
    <row r="585" spans="1:24" ht="13.8">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row>
    <row r="586" spans="1:24" ht="13.8">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row>
    <row r="587" spans="1:24" ht="13.8">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row>
    <row r="588" spans="1:24" ht="13.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row>
    <row r="589" spans="1:24" ht="13.8">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row>
    <row r="590" spans="1:24" ht="13.8">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row>
    <row r="591" spans="1:24" ht="13.8">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row>
    <row r="592" spans="1:24" ht="13.8">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row>
    <row r="593" spans="1:24" ht="13.8">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row>
    <row r="594" spans="1:24" ht="13.8">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row>
    <row r="595" spans="1:24" ht="13.8">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row>
    <row r="596" spans="1:24" ht="13.8">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row>
    <row r="597" spans="1:24" ht="13.8">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row>
    <row r="598" spans="1:24" ht="13.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row>
    <row r="599" spans="1:24" ht="13.8">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row>
    <row r="600" spans="1:24" ht="13.8">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row>
    <row r="601" spans="1:24" ht="13.8">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row>
    <row r="602" spans="1:24" ht="13.8">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row>
    <row r="603" spans="1:24" ht="13.8">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row>
    <row r="604" spans="1:24" ht="13.8">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row>
    <row r="605" spans="1:24" ht="13.8">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row>
    <row r="606" spans="1:24" ht="13.8">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row>
    <row r="607" spans="1:24" ht="13.8">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row>
    <row r="608" spans="1:24" ht="13.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row>
    <row r="609" spans="1:24" ht="13.8">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row>
    <row r="610" spans="1:24" ht="13.8">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row>
    <row r="611" spans="1:24" ht="13.8">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row>
    <row r="612" spans="1:24" ht="13.8">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row>
    <row r="613" spans="1:24" ht="13.8">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row>
    <row r="614" spans="1:24" ht="13.8">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row>
    <row r="615" spans="1:24" ht="13.8">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row>
    <row r="616" spans="1:24" ht="13.8">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row>
    <row r="617" spans="1:24" ht="13.8">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row>
    <row r="618" spans="1:24" ht="13.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row>
    <row r="619" spans="1:24" ht="13.8">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row>
    <row r="620" spans="1:24" ht="13.8">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row>
    <row r="621" spans="1:24" ht="13.8">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row>
    <row r="622" spans="1:24" ht="13.8">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row>
    <row r="623" spans="1:24" ht="13.8">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row>
    <row r="624" spans="1:24" ht="13.8">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row>
    <row r="625" spans="1:24" ht="13.8">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row>
    <row r="626" spans="1:24" ht="13.8">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row>
    <row r="627" spans="1:24" ht="13.8">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row>
    <row r="628" spans="1:24" ht="13.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row>
    <row r="629" spans="1:24" ht="13.8">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row>
    <row r="630" spans="1:24" ht="13.8">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row>
    <row r="631" spans="1:24" ht="13.8">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row>
    <row r="632" spans="1:24" ht="13.8">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row>
    <row r="633" spans="1:24" ht="13.8">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row>
    <row r="634" spans="1:24" ht="13.8">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row>
    <row r="635" spans="1:24" ht="13.8">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row>
    <row r="636" spans="1:24" ht="13.8">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row>
    <row r="637" spans="1:24" ht="13.8">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row>
    <row r="638" spans="1:24" ht="1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row>
    <row r="639" spans="1:24" ht="13.8">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row>
    <row r="640" spans="1:24" ht="13.8">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row>
    <row r="641" spans="1:24" ht="13.8">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row>
    <row r="642" spans="1:24" ht="13.8">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row>
    <row r="643" spans="1:24" ht="13.8">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row>
    <row r="644" spans="1:24" ht="13.8">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row>
    <row r="645" spans="1:24" ht="13.8">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row>
    <row r="646" spans="1:24" ht="13.8">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row>
    <row r="647" spans="1:24" ht="13.8">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row>
    <row r="648" spans="1:24" ht="13.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row>
    <row r="649" spans="1:24" ht="13.8">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row>
    <row r="650" spans="1:24" ht="13.8">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row>
    <row r="651" spans="1:24" ht="13.8">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row>
    <row r="652" spans="1:24" ht="13.8">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row>
    <row r="653" spans="1:24" ht="13.8">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row>
    <row r="654" spans="1:24" ht="13.8">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row>
    <row r="655" spans="1:24" ht="13.8">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row>
    <row r="656" spans="1:24" ht="13.8">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row>
    <row r="657" spans="1:24" ht="13.8">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row>
    <row r="658" spans="1:24" ht="13.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row>
    <row r="659" spans="1:24" ht="13.8">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row>
    <row r="660" spans="1:24" ht="13.8">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row>
    <row r="661" spans="1:24" ht="13.8">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row>
    <row r="662" spans="1:24" ht="13.8">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row>
    <row r="663" spans="1:24" ht="13.8">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row>
    <row r="664" spans="1:24" ht="13.8">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row>
    <row r="665" spans="1:24" ht="13.8">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row>
    <row r="666" spans="1:24" ht="13.8">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row>
    <row r="667" spans="1:24" ht="13.8">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row>
    <row r="668" spans="1:24" ht="13.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row>
    <row r="669" spans="1:24" ht="13.8">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row>
    <row r="670" spans="1:24" ht="13.8">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row>
    <row r="671" spans="1:24" ht="13.8">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row>
    <row r="672" spans="1:24" ht="13.8">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row>
    <row r="673" spans="1:24" ht="13.8">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row>
    <row r="674" spans="1:24" ht="13.8">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row>
    <row r="675" spans="1:24" ht="13.8">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row>
    <row r="676" spans="1:24" ht="13.8">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row>
    <row r="677" spans="1:24" ht="13.8">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row>
    <row r="678" spans="1:24" ht="13.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row>
    <row r="679" spans="1:24" ht="13.8">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row>
    <row r="680" spans="1:24" ht="13.8">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row>
    <row r="681" spans="1:24" ht="13.8">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row>
    <row r="682" spans="1:24" ht="13.8">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row>
    <row r="683" spans="1:24" ht="13.8">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row>
    <row r="684" spans="1:24" ht="13.8">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row>
    <row r="685" spans="1:24" ht="13.8">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row>
    <row r="686" spans="1:24" ht="13.8">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row>
    <row r="687" spans="1:24" ht="13.8">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row>
    <row r="688" spans="1:24" ht="13.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row>
    <row r="689" spans="1:24" ht="13.8">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row>
    <row r="690" spans="1:24" ht="13.8">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row>
    <row r="691" spans="1:24" ht="13.8">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row>
    <row r="692" spans="1:24" ht="13.8">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row>
    <row r="693" spans="1:24" ht="13.8">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row>
    <row r="694" spans="1:24" ht="13.8">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row>
    <row r="695" spans="1:24" ht="13.8">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row>
    <row r="696" spans="1:24" ht="13.8">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row>
    <row r="697" spans="1:24" ht="13.8">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row>
    <row r="698" spans="1:24" ht="13.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row>
    <row r="699" spans="1:24" ht="13.8">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row>
    <row r="700" spans="1:24" ht="13.8">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row>
    <row r="701" spans="1:24" ht="13.8">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row>
    <row r="702" spans="1:24" ht="13.8">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row>
    <row r="703" spans="1:24" ht="13.8">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row>
    <row r="704" spans="1:24" ht="13.8">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row>
    <row r="705" spans="1:24" ht="13.8">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row>
    <row r="706" spans="1:24" ht="13.8">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row>
    <row r="707" spans="1:24" ht="13.8">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row>
    <row r="708" spans="1:24" ht="13.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row>
    <row r="709" spans="1:24" ht="13.8">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row>
    <row r="710" spans="1:24" ht="13.8">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row>
    <row r="711" spans="1:24" ht="13.8">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row>
    <row r="712" spans="1:24" ht="13.8">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row>
    <row r="713" spans="1:24" ht="13.8">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row>
    <row r="714" spans="1:24" ht="13.8">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row>
    <row r="715" spans="1:24" ht="13.8">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row>
    <row r="716" spans="1:24" ht="13.8">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row>
    <row r="717" spans="1:24" ht="13.8">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row>
    <row r="718" spans="1:24" ht="13.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row>
    <row r="719" spans="1:24" ht="13.8">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row>
    <row r="720" spans="1:24" ht="13.8">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row>
    <row r="721" spans="1:24" ht="13.8">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row>
    <row r="722" spans="1:24" ht="13.8">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row>
    <row r="723" spans="1:24" ht="13.8">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row>
    <row r="724" spans="1:24" ht="13.8">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row>
    <row r="725" spans="1:24" ht="13.8">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row>
    <row r="726" spans="1:24" ht="13.8">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row>
    <row r="727" spans="1:24" ht="13.8">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row>
    <row r="728" spans="1:24" ht="13.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row>
    <row r="729" spans="1:24" ht="13.8">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row>
    <row r="730" spans="1:24" ht="13.8">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row>
    <row r="731" spans="1:24" ht="13.8">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row>
    <row r="732" spans="1:24" ht="13.8">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row>
    <row r="733" spans="1:24" ht="13.8">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row>
    <row r="734" spans="1:24" ht="13.8">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row>
    <row r="735" spans="1:24" ht="13.8">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row>
    <row r="736" spans="1:24" ht="13.8">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row>
    <row r="737" spans="1:24" ht="13.8">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row>
    <row r="738" spans="1:24" ht="1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row>
    <row r="739" spans="1:24" ht="13.8">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row>
    <row r="740" spans="1:24" ht="13.8">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row>
    <row r="741" spans="1:24" ht="13.8">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row>
    <row r="742" spans="1:24" ht="13.8">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row>
    <row r="743" spans="1:24" ht="13.8">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row>
    <row r="744" spans="1:24" ht="13.8">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row>
    <row r="745" spans="1:24" ht="13.8">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row>
    <row r="746" spans="1:24" ht="13.8">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row>
    <row r="747" spans="1:24" ht="13.8">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row>
    <row r="748" spans="1:24" ht="13.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row>
    <row r="749" spans="1:24" ht="13.8">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row>
    <row r="750" spans="1:24" ht="13.8">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row>
    <row r="751" spans="1:24" ht="13.8">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row>
    <row r="752" spans="1:24" ht="13.8">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row>
    <row r="753" spans="1:24" ht="13.8">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row>
    <row r="754" spans="1:24" ht="13.8">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row>
    <row r="755" spans="1:24" ht="13.8">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row>
    <row r="756" spans="1:24" ht="13.8">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row>
    <row r="757" spans="1:24" ht="13.8">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row>
    <row r="758" spans="1:24" ht="13.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row>
    <row r="759" spans="1:24" ht="13.8">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row>
    <row r="760" spans="1:24" ht="13.8">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row>
    <row r="761" spans="1:24" ht="13.8">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row>
    <row r="762" spans="1:24" ht="13.8">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row>
    <row r="763" spans="1:24" ht="13.8">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row>
    <row r="764" spans="1:24" ht="13.8">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row>
    <row r="765" spans="1:24" ht="13.8">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row>
    <row r="766" spans="1:24" ht="13.8">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row>
    <row r="767" spans="1:24" ht="13.8">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row>
    <row r="768" spans="1:24" ht="13.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row>
    <row r="769" spans="1:24" ht="13.8">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row>
    <row r="770" spans="1:24" ht="13.8">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row>
    <row r="771" spans="1:24" ht="13.8">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row>
    <row r="772" spans="1:24" ht="13.8">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row>
    <row r="773" spans="1:24" ht="13.8">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row>
    <row r="774" spans="1:24" ht="13.8">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row>
    <row r="775" spans="1:24" ht="13.8">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row>
    <row r="776" spans="1:24" ht="13.8">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row>
    <row r="777" spans="1:24" ht="13.8">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row>
    <row r="778" spans="1:24" ht="13.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row>
    <row r="779" spans="1:24" ht="13.8">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row>
    <row r="780" spans="1:24" ht="13.8">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row>
    <row r="781" spans="1:24" ht="13.8">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row>
    <row r="782" spans="1:24" ht="13.8">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row>
    <row r="783" spans="1:24" ht="13.8">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row>
    <row r="784" spans="1:24" ht="13.8">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row>
    <row r="785" spans="1:24" ht="13.8">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row>
    <row r="786" spans="1:24" ht="13.8">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row>
    <row r="787" spans="1:24" ht="13.8">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row>
    <row r="788" spans="1:24" ht="13.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row>
    <row r="789" spans="1:24" ht="13.8">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row>
    <row r="790" spans="1:24" ht="13.8">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row>
    <row r="791" spans="1:24" ht="13.8">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row>
    <row r="792" spans="1:24" ht="13.8">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row>
    <row r="793" spans="1:24" ht="13.8">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row>
    <row r="794" spans="1:24" ht="13.8">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row>
    <row r="795" spans="1:24" ht="13.8">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row>
    <row r="796" spans="1:24" ht="13.8">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row>
    <row r="797" spans="1:24" ht="13.8">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row>
    <row r="798" spans="1:24" ht="13.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row>
    <row r="799" spans="1:24" ht="13.8">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row>
    <row r="800" spans="1:24" ht="13.8">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row>
    <row r="801" spans="1:24" ht="13.8">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row>
    <row r="802" spans="1:24" ht="13.8">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row>
    <row r="803" spans="1:24" ht="13.8">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row>
    <row r="804" spans="1:24" ht="13.8">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row>
    <row r="805" spans="1:24" ht="13.8">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row>
    <row r="806" spans="1:24" ht="13.8">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row>
    <row r="807" spans="1:24" ht="13.8">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row>
    <row r="808" spans="1:24" ht="13.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row>
    <row r="809" spans="1:24" ht="13.8">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row>
    <row r="810" spans="1:24" ht="13.8">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row>
    <row r="811" spans="1:24" ht="13.8">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row>
    <row r="812" spans="1:24" ht="13.8">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row>
    <row r="813" spans="1:24" ht="13.8">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row>
    <row r="814" spans="1:24" ht="13.8">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row>
    <row r="815" spans="1:24" ht="13.8">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row>
    <row r="816" spans="1:24" ht="13.8">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row>
    <row r="817" spans="1:24" ht="13.8">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row>
    <row r="818" spans="1:24" ht="13.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row>
    <row r="819" spans="1:24" ht="13.8">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row>
    <row r="820" spans="1:24" ht="13.8">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row>
    <row r="821" spans="1:24" ht="13.8">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row>
    <row r="822" spans="1:24" ht="13.8">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row>
    <row r="823" spans="1:24" ht="13.8">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row>
    <row r="824" spans="1:24" ht="13.8">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row>
    <row r="825" spans="1:24" ht="13.8">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row>
    <row r="826" spans="1:24" ht="13.8">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row>
    <row r="827" spans="1:24" ht="13.8">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row>
    <row r="828" spans="1:24" ht="13.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row>
    <row r="829" spans="1:24" ht="13.8">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row>
    <row r="830" spans="1:24" ht="13.8">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row>
    <row r="831" spans="1:24" ht="13.8">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row>
    <row r="832" spans="1:24" ht="13.8">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row>
    <row r="833" spans="1:24" ht="13.8">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row>
    <row r="834" spans="1:24" ht="13.8">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row>
    <row r="835" spans="1:24" ht="13.8">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row>
    <row r="836" spans="1:24" ht="13.8">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row>
    <row r="837" spans="1:24" ht="13.8">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row>
    <row r="838" spans="1:24" ht="1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row>
    <row r="839" spans="1:24" ht="13.8">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row>
    <row r="840" spans="1:24" ht="13.8">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row>
    <row r="841" spans="1:24" ht="13.8">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row>
    <row r="842" spans="1:24" ht="13.8">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row>
    <row r="843" spans="1:24" ht="13.8">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row>
    <row r="844" spans="1:24" ht="13.8">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row>
    <row r="845" spans="1:24" ht="13.8">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row>
    <row r="846" spans="1:24" ht="13.8">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row>
    <row r="847" spans="1:24" ht="13.8">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row>
    <row r="848" spans="1:24" ht="13.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row>
    <row r="849" spans="1:24" ht="13.8">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row>
    <row r="850" spans="1:24" ht="13.8">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row>
    <row r="851" spans="1:24" ht="13.8">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row>
    <row r="852" spans="1:24" ht="13.8">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row>
    <row r="853" spans="1:24" ht="13.8">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row>
    <row r="854" spans="1:24" ht="13.8">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row>
    <row r="855" spans="1:24" ht="13.8">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row>
    <row r="856" spans="1:24" ht="13.8">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row>
    <row r="857" spans="1:24" ht="13.8">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row>
    <row r="858" spans="1:24" ht="13.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row>
    <row r="859" spans="1:24" ht="13.8">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row>
    <row r="860" spans="1:24" ht="13.8">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row>
    <row r="861" spans="1:24" ht="13.8">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row>
    <row r="862" spans="1:24" ht="13.8">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row>
    <row r="863" spans="1:24" ht="13.8">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row>
    <row r="864" spans="1:24" ht="13.8">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row>
    <row r="865" spans="1:24" ht="13.8">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row>
    <row r="866" spans="1:24" ht="13.8">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row>
    <row r="867" spans="1:24" ht="13.8">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row>
    <row r="868" spans="1:24" ht="13.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row>
    <row r="869" spans="1:24" ht="13.8">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row>
    <row r="870" spans="1:24" ht="13.8">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row>
    <row r="871" spans="1:24" ht="13.8">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row>
    <row r="872" spans="1:24" ht="13.8">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row>
    <row r="873" spans="1:24" ht="13.8">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row>
    <row r="874" spans="1:24" ht="13.8">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row>
    <row r="875" spans="1:24" ht="13.8">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row>
    <row r="876" spans="1:24" ht="13.8">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row>
    <row r="877" spans="1:24" ht="13.8">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row>
    <row r="878" spans="1:24" ht="13.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row>
    <row r="879" spans="1:24" ht="13.8">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row>
    <row r="880" spans="1:24" ht="13.8">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row>
    <row r="881" spans="1:24" ht="13.8">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row>
    <row r="882" spans="1:24" ht="13.8">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row>
    <row r="883" spans="1:24" ht="13.8">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row>
    <row r="884" spans="1:24" ht="13.8">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row>
    <row r="885" spans="1:24" ht="13.8">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row>
    <row r="886" spans="1:24" ht="13.8">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row>
    <row r="887" spans="1:24" ht="13.8">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row>
    <row r="888" spans="1:24" ht="13.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row>
    <row r="889" spans="1:24" ht="13.8">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row>
    <row r="890" spans="1:24" ht="13.8">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row>
    <row r="891" spans="1:24" ht="13.8">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row>
    <row r="892" spans="1:24" ht="13.8">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row>
    <row r="893" spans="1:24" ht="13.8">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row>
    <row r="894" spans="1:24" ht="13.8">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row>
    <row r="895" spans="1:24" ht="13.8">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row>
    <row r="896" spans="1:24" ht="13.8">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row>
    <row r="897" spans="1:24" ht="13.8">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row>
    <row r="898" spans="1:24" ht="13.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row>
    <row r="899" spans="1:24" ht="13.8">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row>
    <row r="900" spans="1:24" ht="13.8">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row>
    <row r="901" spans="1:24" ht="13.8">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row>
    <row r="902" spans="1:24" ht="13.8">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row>
    <row r="903" spans="1:24" ht="13.8">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row>
    <row r="904" spans="1:24" ht="13.8">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row>
    <row r="905" spans="1:24" ht="13.8">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row>
    <row r="906" spans="1:24" ht="13.8">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row>
    <row r="907" spans="1:24" ht="13.8">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row>
    <row r="908" spans="1:24" ht="13.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row>
    <row r="909" spans="1:24" ht="13.8">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row>
    <row r="910" spans="1:24" ht="13.8">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row>
    <row r="911" spans="1:24" ht="13.8">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row>
    <row r="912" spans="1:24" ht="13.8">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row>
    <row r="913" spans="1:24" ht="13.8">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row>
    <row r="914" spans="1:24" ht="13.8">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row>
    <row r="915" spans="1:24" ht="13.8">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row>
    <row r="916" spans="1:24" ht="13.8">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row>
    <row r="917" spans="1:24" ht="13.8">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row>
    <row r="918" spans="1:24" ht="13.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row>
    <row r="919" spans="1:24" ht="13.8">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row>
    <row r="920" spans="1:24" ht="13.8">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row>
    <row r="921" spans="1:24" ht="13.8">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row>
    <row r="922" spans="1:24" ht="13.8">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row>
    <row r="923" spans="1:24" ht="13.8">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row>
    <row r="924" spans="1:24" ht="13.8">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row>
    <row r="925" spans="1:24" ht="13.8">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row>
    <row r="926" spans="1:24" ht="13.8">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row>
    <row r="927" spans="1:24" ht="13.8">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row>
    <row r="928" spans="1:24" ht="13.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row>
    <row r="929" spans="1:24" ht="13.8">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row>
    <row r="930" spans="1:24" ht="13.8">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row>
    <row r="931" spans="1:24" ht="13.8">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row>
    <row r="932" spans="1:24" ht="13.8">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row>
    <row r="933" spans="1:24" ht="13.8">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row>
    <row r="934" spans="1:24" ht="13.8">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row>
    <row r="935" spans="1:24" ht="13.8">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row>
    <row r="936" spans="1:24" ht="13.8">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row>
    <row r="937" spans="1:24" ht="13.8">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row>
    <row r="938" spans="1:24" ht="1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row>
    <row r="939" spans="1:24" ht="13.8">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row>
    <row r="940" spans="1:24" ht="13.8">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row>
    <row r="941" spans="1:24" ht="13.8">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row>
    <row r="942" spans="1:24" ht="13.8">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row>
    <row r="943" spans="1:24" ht="13.8">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row>
    <row r="944" spans="1:24" ht="13.8">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row>
    <row r="945" spans="1:24" ht="13.8">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row>
    <row r="946" spans="1:24" ht="13.8">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row>
    <row r="947" spans="1:24" ht="13.8">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row>
    <row r="948" spans="1:24" ht="13.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row>
    <row r="949" spans="1:24" ht="13.8">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row>
    <row r="950" spans="1:24" ht="13.8">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row>
    <row r="951" spans="1:24" ht="13.8">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row>
    <row r="952" spans="1:24" ht="13.8">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row>
    <row r="953" spans="1:24" ht="13.8">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row>
    <row r="954" spans="1:24" ht="13.8">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row>
    <row r="955" spans="1:24" ht="13.8">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row>
    <row r="956" spans="1:24" ht="13.8">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row>
    <row r="957" spans="1:24" ht="13.8">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row>
    <row r="958" spans="1:24" ht="13.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row>
    <row r="959" spans="1:24" ht="13.8">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row>
    <row r="960" spans="1:24" ht="13.8">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row>
    <row r="961" spans="1:24" ht="13.8">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row>
    <row r="962" spans="1:24" ht="13.8">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row>
    <row r="963" spans="1:24" ht="13.8">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row>
    <row r="964" spans="1:24" ht="13.8">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row>
    <row r="965" spans="1:24" ht="13.8">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row>
    <row r="966" spans="1:24" ht="13.8">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row>
    <row r="967" spans="1:24" ht="13.8">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row>
    <row r="968" spans="1:24" ht="13.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row>
    <row r="969" spans="1:24" ht="13.8">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row>
    <row r="970" spans="1:24" ht="13.8">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row>
    <row r="971" spans="1:24" ht="13.8">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row>
    <row r="972" spans="1:24" ht="13.8">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row>
    <row r="973" spans="1:24" ht="13.8">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row>
    <row r="974" spans="1:24" ht="13.8">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row>
    <row r="975" spans="1:24" ht="13.8">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row>
    <row r="976" spans="1:24" ht="13.8">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row>
    <row r="977" spans="1:24" ht="13.8">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row>
    <row r="978" spans="1:24" ht="13.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row>
    <row r="979" spans="1:24" ht="13.8">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row>
    <row r="980" spans="1:24" ht="13.8">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row>
    <row r="981" spans="1:24" ht="13.8">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row>
    <row r="982" spans="1:24" ht="13.8">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row>
    <row r="983" spans="1:24" ht="13.8">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row>
    <row r="984" spans="1:24" ht="13.8">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row>
    <row r="985" spans="1:24" ht="13.8">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row>
    <row r="986" spans="1:24" ht="13.8">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row>
    <row r="987" spans="1:24" ht="13.8">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row>
    <row r="988" spans="1:24" ht="13.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row>
    <row r="989" spans="1:24" ht="13.8">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row>
    <row r="990" spans="1:24" ht="13.8">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row>
    <row r="991" spans="1:24" ht="13.8">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row>
    <row r="992" spans="1:24" ht="13.8">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row>
  </sheetData>
  <mergeCells count="6">
    <mergeCell ref="E1:E2"/>
    <mergeCell ref="G1:G2"/>
    <mergeCell ref="I1:I2"/>
    <mergeCell ref="E20:E21"/>
    <mergeCell ref="G20:G21"/>
    <mergeCell ref="I20:I21"/>
  </mergeCells>
  <pageMargins left="0.75" right="0.75" top="0.6" bottom="0.48" header="0" footer="0"/>
  <pageSetup scale="71" orientation="portrait" r:id="rId1"/>
  <ignoredErrors>
    <ignoredError sqref="E22:E44 G22:G44 H23:H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CF23-8A19-4753-ABD2-37ABE4F4C213}">
  <sheetPr>
    <tabColor rgb="FF0070C0"/>
    <pageSetUpPr fitToPage="1"/>
  </sheetPr>
  <dimension ref="A1:K72"/>
  <sheetViews>
    <sheetView workbookViewId="0"/>
  </sheetViews>
  <sheetFormatPr defaultColWidth="11.19921875" defaultRowHeight="15.6" customHeight="1"/>
  <cols>
    <col min="1" max="1" width="29.59765625" customWidth="1"/>
    <col min="7" max="7" width="30.19921875" customWidth="1"/>
  </cols>
  <sheetData>
    <row r="1" spans="1:11" ht="15.6" customHeight="1">
      <c r="A1" s="61" t="s">
        <v>113</v>
      </c>
      <c r="B1" s="61"/>
      <c r="C1" s="61"/>
      <c r="D1" s="61"/>
      <c r="E1" s="61"/>
      <c r="F1" s="61"/>
      <c r="G1" s="61" t="s">
        <v>113</v>
      </c>
      <c r="H1" s="61"/>
      <c r="I1" s="61"/>
      <c r="J1" s="61"/>
      <c r="K1" s="61"/>
    </row>
    <row r="2" spans="1:11" ht="15.6" customHeight="1">
      <c r="A2" s="62"/>
      <c r="B2" s="155"/>
      <c r="C2" s="155"/>
      <c r="D2" s="155"/>
      <c r="E2" s="155"/>
      <c r="F2" s="61"/>
      <c r="G2" s="62"/>
      <c r="H2" s="155"/>
      <c r="I2" s="155"/>
      <c r="J2" s="155"/>
      <c r="K2" s="155"/>
    </row>
    <row r="3" spans="1:11" ht="15.6" customHeight="1">
      <c r="A3" s="63" t="s">
        <v>77</v>
      </c>
      <c r="B3" s="156" t="s">
        <v>108</v>
      </c>
      <c r="C3" s="156" t="s">
        <v>109</v>
      </c>
      <c r="D3" s="156" t="s">
        <v>110</v>
      </c>
      <c r="E3" s="156" t="s">
        <v>111</v>
      </c>
      <c r="F3" s="61"/>
      <c r="G3" s="63" t="s">
        <v>76</v>
      </c>
      <c r="H3" s="156" t="s">
        <v>108</v>
      </c>
      <c r="I3" s="156" t="s">
        <v>109</v>
      </c>
      <c r="J3" s="156" t="s">
        <v>110</v>
      </c>
      <c r="K3" s="156" t="s">
        <v>111</v>
      </c>
    </row>
    <row r="4" spans="1:11" ht="15.6" customHeight="1">
      <c r="A4" s="42" t="s">
        <v>0</v>
      </c>
      <c r="B4" s="43">
        <v>7549</v>
      </c>
      <c r="C4" s="43">
        <v>7076</v>
      </c>
      <c r="D4" s="43">
        <v>6842</v>
      </c>
      <c r="E4" s="43">
        <v>6584</v>
      </c>
      <c r="F4" s="44"/>
      <c r="G4" s="42" t="s">
        <v>67</v>
      </c>
      <c r="H4" s="41">
        <v>616</v>
      </c>
      <c r="I4" s="41">
        <v>512</v>
      </c>
      <c r="J4" s="41">
        <v>367</v>
      </c>
      <c r="K4" s="41">
        <v>486</v>
      </c>
    </row>
    <row r="5" spans="1:11" ht="15.6" customHeight="1">
      <c r="A5" s="42" t="s">
        <v>1</v>
      </c>
      <c r="B5" s="45">
        <v>6.6799999999999998E-2</v>
      </c>
      <c r="C5" s="45">
        <v>3.4200000000000001E-2</v>
      </c>
      <c r="D5" s="45">
        <v>3.9199999999999999E-2</v>
      </c>
      <c r="E5" s="45">
        <v>0.16489999999999999</v>
      </c>
      <c r="F5" s="44"/>
      <c r="G5" s="42" t="s">
        <v>99</v>
      </c>
      <c r="H5" s="41">
        <v>775</v>
      </c>
      <c r="I5" s="41">
        <v>737</v>
      </c>
      <c r="J5" s="41">
        <v>648</v>
      </c>
      <c r="K5" s="41">
        <v>596</v>
      </c>
    </row>
    <row r="6" spans="1:11" ht="15.6" customHeight="1">
      <c r="A6" s="42" t="s">
        <v>2</v>
      </c>
      <c r="B6" s="43">
        <v>2120</v>
      </c>
      <c r="C6" s="43">
        <v>1774</v>
      </c>
      <c r="D6" s="43">
        <v>1745</v>
      </c>
      <c r="E6" s="43">
        <v>1725</v>
      </c>
      <c r="F6" s="44"/>
      <c r="G6" s="42" t="s">
        <v>66</v>
      </c>
      <c r="H6" s="41" t="s">
        <v>112</v>
      </c>
      <c r="I6" s="41" t="s">
        <v>112</v>
      </c>
      <c r="J6" s="41" t="s">
        <v>112</v>
      </c>
      <c r="K6" s="41" t="s">
        <v>112</v>
      </c>
    </row>
    <row r="7" spans="1:11" ht="15.6" customHeight="1">
      <c r="A7" s="42" t="s">
        <v>3</v>
      </c>
      <c r="B7" s="43">
        <v>5429</v>
      </c>
      <c r="C7" s="43">
        <v>5302</v>
      </c>
      <c r="D7" s="43">
        <v>5097</v>
      </c>
      <c r="E7" s="43">
        <v>4859</v>
      </c>
      <c r="F7" s="44"/>
      <c r="G7" s="42" t="s">
        <v>65</v>
      </c>
      <c r="H7" s="41" t="s">
        <v>112</v>
      </c>
      <c r="I7" s="41" t="s">
        <v>112</v>
      </c>
      <c r="J7" s="41">
        <v>342</v>
      </c>
      <c r="K7" s="41">
        <v>150</v>
      </c>
    </row>
    <row r="8" spans="1:11" ht="15.6" customHeight="1">
      <c r="A8" s="42" t="s">
        <v>75</v>
      </c>
      <c r="B8" s="41" t="s">
        <v>112</v>
      </c>
      <c r="C8" s="41" t="s">
        <v>112</v>
      </c>
      <c r="D8" s="41" t="s">
        <v>112</v>
      </c>
      <c r="E8" s="41" t="s">
        <v>112</v>
      </c>
      <c r="F8" s="41"/>
      <c r="G8" s="42" t="s">
        <v>64</v>
      </c>
      <c r="H8" s="43">
        <v>1871</v>
      </c>
      <c r="I8" s="43">
        <v>1609</v>
      </c>
      <c r="J8" s="43">
        <v>1609</v>
      </c>
      <c r="K8" s="43">
        <v>1532</v>
      </c>
    </row>
    <row r="9" spans="1:11" ht="15.6" customHeight="1">
      <c r="A9" s="42" t="s">
        <v>4</v>
      </c>
      <c r="B9" s="43">
        <v>2892</v>
      </c>
      <c r="C9" s="43">
        <v>2876</v>
      </c>
      <c r="D9" s="43">
        <v>2807</v>
      </c>
      <c r="E9" s="43">
        <v>2636</v>
      </c>
      <c r="F9" s="44"/>
      <c r="G9" s="42" t="s">
        <v>123</v>
      </c>
      <c r="H9" s="43">
        <v>1304</v>
      </c>
      <c r="I9" s="43">
        <v>1197</v>
      </c>
      <c r="J9" s="43">
        <v>1171</v>
      </c>
      <c r="K9" s="43">
        <v>1207</v>
      </c>
    </row>
    <row r="10" spans="1:11" ht="15.6" customHeight="1">
      <c r="A10" s="42" t="s">
        <v>5</v>
      </c>
      <c r="B10" s="43">
        <v>2403</v>
      </c>
      <c r="C10" s="43">
        <v>2318</v>
      </c>
      <c r="D10" s="43">
        <v>2187</v>
      </c>
      <c r="E10" s="43">
        <v>2139</v>
      </c>
      <c r="F10" s="44"/>
      <c r="G10" s="42" t="s">
        <v>62</v>
      </c>
      <c r="H10" s="41" t="s">
        <v>112</v>
      </c>
      <c r="I10" s="41" t="s">
        <v>112</v>
      </c>
      <c r="J10" s="41">
        <v>274</v>
      </c>
      <c r="K10" s="41">
        <v>277</v>
      </c>
    </row>
    <row r="11" spans="1:11" ht="15.6" customHeight="1">
      <c r="A11" s="42" t="s">
        <v>34</v>
      </c>
      <c r="B11" s="41" t="s">
        <v>112</v>
      </c>
      <c r="C11" s="41" t="s">
        <v>112</v>
      </c>
      <c r="D11" s="41">
        <v>537</v>
      </c>
      <c r="E11" s="41">
        <v>522</v>
      </c>
      <c r="F11" s="44"/>
      <c r="G11" s="42" t="s">
        <v>61</v>
      </c>
      <c r="H11" s="43">
        <v>1152</v>
      </c>
      <c r="I11" s="43">
        <v>1019</v>
      </c>
      <c r="J11" s="41">
        <v>992</v>
      </c>
      <c r="K11" s="43">
        <v>1016</v>
      </c>
    </row>
    <row r="12" spans="1:11" ht="15.6" customHeight="1">
      <c r="A12" s="42" t="s">
        <v>6</v>
      </c>
      <c r="B12" s="41">
        <v>-503</v>
      </c>
      <c r="C12" s="41">
        <v>-500</v>
      </c>
      <c r="D12" s="41">
        <v>-525</v>
      </c>
      <c r="E12" s="41">
        <v>-465</v>
      </c>
      <c r="F12" s="44"/>
      <c r="G12" s="42" t="s">
        <v>70</v>
      </c>
      <c r="H12" s="43">
        <v>1071</v>
      </c>
      <c r="I12" s="43">
        <v>1045</v>
      </c>
      <c r="J12" s="41">
        <v>750</v>
      </c>
      <c r="K12" s="41">
        <v>724</v>
      </c>
    </row>
    <row r="13" spans="1:11" ht="15.6" customHeight="1">
      <c r="A13" s="42" t="s">
        <v>7</v>
      </c>
      <c r="B13" s="41">
        <v>489</v>
      </c>
      <c r="C13" s="41">
        <v>513</v>
      </c>
      <c r="D13" s="41">
        <v>527</v>
      </c>
      <c r="E13" s="41">
        <v>544</v>
      </c>
      <c r="F13" s="44"/>
      <c r="G13" s="42" t="s">
        <v>60</v>
      </c>
      <c r="H13" s="43">
        <v>1329</v>
      </c>
      <c r="I13" s="43">
        <v>1361</v>
      </c>
      <c r="J13" s="43">
        <v>1324</v>
      </c>
      <c r="K13" s="43">
        <v>1487</v>
      </c>
    </row>
    <row r="14" spans="1:11" ht="15.6" customHeight="1">
      <c r="A14" s="42" t="s">
        <v>8</v>
      </c>
      <c r="B14" s="43">
        <v>1900</v>
      </c>
      <c r="C14" s="43">
        <v>1818</v>
      </c>
      <c r="D14" s="43">
        <v>1662</v>
      </c>
      <c r="E14" s="43">
        <v>1674</v>
      </c>
      <c r="F14" s="44"/>
      <c r="G14" s="42" t="s">
        <v>59</v>
      </c>
      <c r="H14" s="43">
        <v>4856</v>
      </c>
      <c r="I14" s="43">
        <v>4622</v>
      </c>
      <c r="J14" s="43">
        <v>4237</v>
      </c>
      <c r="K14" s="43">
        <v>4434</v>
      </c>
    </row>
    <row r="15" spans="1:11" ht="15.6" customHeight="1">
      <c r="A15" s="42" t="s">
        <v>9</v>
      </c>
      <c r="B15" s="41">
        <v>414</v>
      </c>
      <c r="C15" s="41">
        <v>221</v>
      </c>
      <c r="D15" s="41">
        <v>337</v>
      </c>
      <c r="E15" s="41">
        <v>99</v>
      </c>
      <c r="F15" s="44"/>
      <c r="G15" s="42" t="s">
        <v>58</v>
      </c>
      <c r="H15" s="43">
        <v>6727</v>
      </c>
      <c r="I15" s="43">
        <v>6231</v>
      </c>
      <c r="J15" s="43">
        <v>5846</v>
      </c>
      <c r="K15" s="43">
        <v>5966</v>
      </c>
    </row>
    <row r="16" spans="1:11" ht="15.6" customHeight="1">
      <c r="A16" s="42" t="s">
        <v>10</v>
      </c>
      <c r="B16" s="43">
        <v>1486</v>
      </c>
      <c r="C16" s="43">
        <v>1597</v>
      </c>
      <c r="D16" s="43">
        <v>1325</v>
      </c>
      <c r="E16" s="43">
        <v>1575</v>
      </c>
      <c r="F16" s="44"/>
      <c r="G16" s="42" t="s">
        <v>57</v>
      </c>
      <c r="H16" s="43">
        <v>1211</v>
      </c>
      <c r="I16" s="43">
        <v>1169</v>
      </c>
      <c r="J16" s="43">
        <v>1251</v>
      </c>
      <c r="K16" s="43">
        <v>1334</v>
      </c>
    </row>
    <row r="17" spans="1:11" ht="15.6" customHeight="1">
      <c r="A17" s="42" t="s">
        <v>11</v>
      </c>
      <c r="B17" s="43">
        <v>1486</v>
      </c>
      <c r="C17" s="43">
        <v>1597</v>
      </c>
      <c r="D17" s="43">
        <v>1325</v>
      </c>
      <c r="E17" s="43">
        <v>1575</v>
      </c>
      <c r="F17" s="44"/>
      <c r="G17" s="42" t="s">
        <v>55</v>
      </c>
      <c r="H17" s="41">
        <v>27</v>
      </c>
      <c r="I17" s="41">
        <v>53</v>
      </c>
      <c r="J17" s="41">
        <v>398</v>
      </c>
      <c r="K17" s="41">
        <v>68</v>
      </c>
    </row>
    <row r="18" spans="1:11" ht="15.6" customHeight="1">
      <c r="A18" s="42" t="s">
        <v>12</v>
      </c>
      <c r="B18" s="41">
        <v>5.28</v>
      </c>
      <c r="C18" s="41">
        <v>5.68</v>
      </c>
      <c r="D18" s="41">
        <v>4.63</v>
      </c>
      <c r="E18" s="41">
        <v>5.3</v>
      </c>
      <c r="F18" s="44"/>
      <c r="G18" s="42" t="s">
        <v>54</v>
      </c>
      <c r="H18" s="41">
        <v>31</v>
      </c>
      <c r="I18" s="41">
        <v>55</v>
      </c>
      <c r="J18" s="41">
        <v>16</v>
      </c>
      <c r="K18" s="41">
        <v>13</v>
      </c>
    </row>
    <row r="19" spans="1:11" ht="15.6" customHeight="1">
      <c r="A19" s="42" t="s">
        <v>13</v>
      </c>
      <c r="B19" s="41">
        <v>5.22</v>
      </c>
      <c r="C19" s="41">
        <v>5.59</v>
      </c>
      <c r="D19" s="41">
        <v>4.57</v>
      </c>
      <c r="E19" s="41">
        <v>5.21</v>
      </c>
      <c r="F19" s="44"/>
      <c r="G19" s="42" t="s">
        <v>53</v>
      </c>
      <c r="H19" s="41" t="s">
        <v>112</v>
      </c>
      <c r="I19" s="41" t="s">
        <v>112</v>
      </c>
      <c r="J19" s="41">
        <v>929</v>
      </c>
      <c r="K19" s="43">
        <v>1019</v>
      </c>
    </row>
    <row r="20" spans="1:11" ht="15.6" customHeight="1">
      <c r="A20" s="42" t="s">
        <v>14</v>
      </c>
      <c r="B20" s="41">
        <v>282</v>
      </c>
      <c r="C20" s="41">
        <v>281</v>
      </c>
      <c r="D20" s="41">
        <v>286</v>
      </c>
      <c r="E20" s="41">
        <v>297</v>
      </c>
      <c r="F20" s="44"/>
      <c r="G20" s="42" t="s">
        <v>52</v>
      </c>
      <c r="H20" s="43">
        <v>1269</v>
      </c>
      <c r="I20" s="43">
        <v>1277</v>
      </c>
      <c r="J20" s="43">
        <v>1665</v>
      </c>
      <c r="K20" s="43">
        <v>1415</v>
      </c>
    </row>
    <row r="21" spans="1:11" ht="15.6" customHeight="1">
      <c r="A21" s="42" t="s">
        <v>15</v>
      </c>
      <c r="B21" s="41">
        <v>285</v>
      </c>
      <c r="C21" s="41">
        <v>285</v>
      </c>
      <c r="D21" s="41">
        <v>290</v>
      </c>
      <c r="E21" s="41">
        <v>302</v>
      </c>
      <c r="F21" s="44"/>
      <c r="G21" s="42" t="s">
        <v>51</v>
      </c>
      <c r="H21" s="43">
        <v>11306</v>
      </c>
      <c r="I21" s="43">
        <v>11142</v>
      </c>
      <c r="J21" s="43">
        <v>11453</v>
      </c>
      <c r="K21" s="43">
        <v>11178</v>
      </c>
    </row>
    <row r="22" spans="1:11" ht="15.6" customHeight="1">
      <c r="A22" s="42" t="s">
        <v>92</v>
      </c>
      <c r="B22" s="45">
        <v>0.71919999999999995</v>
      </c>
      <c r="C22" s="45">
        <v>0.74929999999999997</v>
      </c>
      <c r="D22" s="45">
        <v>0.745</v>
      </c>
      <c r="E22" s="45">
        <v>0.73799999999999999</v>
      </c>
      <c r="F22" s="44"/>
      <c r="G22" s="42" t="s">
        <v>49</v>
      </c>
      <c r="H22" s="41" t="s">
        <v>112</v>
      </c>
      <c r="I22" s="41" t="s">
        <v>112</v>
      </c>
      <c r="J22" s="41">
        <v>-750</v>
      </c>
      <c r="K22" s="41">
        <v>-724</v>
      </c>
    </row>
    <row r="23" spans="1:11" ht="15.6" customHeight="1">
      <c r="A23" s="42" t="s">
        <v>17</v>
      </c>
      <c r="B23" s="45">
        <v>0.31830000000000003</v>
      </c>
      <c r="C23" s="45">
        <v>0.3276</v>
      </c>
      <c r="D23" s="45">
        <v>0.3196</v>
      </c>
      <c r="E23" s="45">
        <v>0.32490000000000002</v>
      </c>
      <c r="F23" s="44"/>
      <c r="G23" s="42" t="s">
        <v>69</v>
      </c>
      <c r="H23" s="41" t="s">
        <v>112</v>
      </c>
      <c r="I23" s="41" t="s">
        <v>112</v>
      </c>
      <c r="J23" s="41" t="s">
        <v>112</v>
      </c>
      <c r="K23" s="41" t="s">
        <v>112</v>
      </c>
    </row>
    <row r="24" spans="1:11" ht="15.6" customHeight="1">
      <c r="A24" s="42" t="s">
        <v>18</v>
      </c>
      <c r="B24" s="45">
        <v>0.25169999999999998</v>
      </c>
      <c r="C24" s="45">
        <v>0.25690000000000002</v>
      </c>
      <c r="D24" s="45">
        <v>0.2429</v>
      </c>
      <c r="E24" s="45">
        <v>0.25430000000000003</v>
      </c>
      <c r="F24" s="44"/>
      <c r="G24" s="42" t="s">
        <v>48</v>
      </c>
      <c r="H24" s="43">
        <v>1800</v>
      </c>
      <c r="I24" s="43">
        <v>1670</v>
      </c>
      <c r="J24" s="43">
        <v>1604</v>
      </c>
      <c r="K24" s="43">
        <v>1746</v>
      </c>
    </row>
    <row r="25" spans="1:11" ht="15.6" customHeight="1">
      <c r="A25" s="42" t="s">
        <v>19</v>
      </c>
      <c r="B25" s="45">
        <v>0.1968</v>
      </c>
      <c r="C25" s="45">
        <v>0.22570000000000001</v>
      </c>
      <c r="D25" s="45">
        <v>0.19370000000000001</v>
      </c>
      <c r="E25" s="45">
        <v>0.2392</v>
      </c>
      <c r="F25" s="44"/>
      <c r="G25" s="42" t="s">
        <v>47</v>
      </c>
      <c r="H25" s="43">
        <v>13106</v>
      </c>
      <c r="I25" s="43">
        <v>12812</v>
      </c>
      <c r="J25" s="43">
        <v>13057</v>
      </c>
      <c r="K25" s="43">
        <v>12924</v>
      </c>
    </row>
    <row r="26" spans="1:11" ht="15.6" customHeight="1">
      <c r="A26" s="42" t="s">
        <v>20</v>
      </c>
      <c r="B26" s="45">
        <v>0.18970000000000001</v>
      </c>
      <c r="C26" s="45">
        <v>0.18629999999999999</v>
      </c>
      <c r="D26" s="45">
        <v>0.1678</v>
      </c>
      <c r="E26" s="45">
        <v>0.22420000000000001</v>
      </c>
      <c r="F26" s="44"/>
      <c r="G26" s="42" t="s">
        <v>46</v>
      </c>
      <c r="H26" s="43">
        <v>14375</v>
      </c>
      <c r="I26" s="43">
        <v>14089</v>
      </c>
      <c r="J26" s="43">
        <v>14722</v>
      </c>
      <c r="K26" s="43">
        <v>14339</v>
      </c>
    </row>
    <row r="27" spans="1:11" ht="15.6" customHeight="1">
      <c r="A27" s="42" t="s">
        <v>21</v>
      </c>
      <c r="B27" s="43">
        <v>2578</v>
      </c>
      <c r="C27" s="43">
        <v>2471</v>
      </c>
      <c r="D27" s="43">
        <v>2333</v>
      </c>
      <c r="E27" s="43">
        <v>2303</v>
      </c>
      <c r="F27" s="44"/>
      <c r="G27" s="42" t="s">
        <v>44</v>
      </c>
      <c r="H27" s="41">
        <v>0</v>
      </c>
      <c r="I27" s="41">
        <v>60</v>
      </c>
      <c r="J27" s="41">
        <v>0</v>
      </c>
      <c r="K27" s="41" t="s">
        <v>112</v>
      </c>
    </row>
    <row r="28" spans="1:11" ht="15.6" customHeight="1">
      <c r="A28" s="42" t="s">
        <v>22</v>
      </c>
      <c r="B28" s="43">
        <v>2403</v>
      </c>
      <c r="C28" s="43">
        <v>2318</v>
      </c>
      <c r="D28" s="43">
        <v>2187</v>
      </c>
      <c r="E28" s="43">
        <v>2139</v>
      </c>
      <c r="F28" s="44"/>
      <c r="G28" s="42" t="s">
        <v>43</v>
      </c>
      <c r="H28" s="43">
        <v>-7256</v>
      </c>
      <c r="I28" s="43">
        <v>-7616</v>
      </c>
      <c r="J28" s="43">
        <v>-8507</v>
      </c>
      <c r="K28" s="43">
        <v>-8048</v>
      </c>
    </row>
    <row r="29" spans="1:11" ht="15.6" customHeight="1">
      <c r="A29" s="42" t="s">
        <v>23</v>
      </c>
      <c r="B29" s="43">
        <v>1486</v>
      </c>
      <c r="C29" s="43">
        <v>1597</v>
      </c>
      <c r="D29" s="43">
        <v>1325</v>
      </c>
      <c r="E29" s="43">
        <v>1575</v>
      </c>
      <c r="F29" s="44"/>
      <c r="G29" s="42" t="s">
        <v>41</v>
      </c>
      <c r="H29" s="43">
        <v>-7648</v>
      </c>
      <c r="I29" s="43">
        <v>-7858</v>
      </c>
      <c r="J29" s="43">
        <v>-8876</v>
      </c>
      <c r="K29" s="43">
        <v>-8373</v>
      </c>
    </row>
    <row r="30" spans="1:11" ht="15.6" customHeight="1">
      <c r="A30" s="42" t="s">
        <v>74</v>
      </c>
      <c r="B30" s="41" t="s">
        <v>112</v>
      </c>
      <c r="C30" s="41" t="s">
        <v>112</v>
      </c>
      <c r="D30" s="41" t="s">
        <v>112</v>
      </c>
      <c r="E30" s="41" t="s">
        <v>112</v>
      </c>
      <c r="F30" s="41"/>
      <c r="G30" s="42" t="s">
        <v>40</v>
      </c>
      <c r="H30" s="43">
        <v>-7648</v>
      </c>
      <c r="I30" s="43">
        <v>-7858</v>
      </c>
      <c r="J30" s="43">
        <v>-8876</v>
      </c>
      <c r="K30" s="43">
        <v>-8373</v>
      </c>
    </row>
    <row r="31" spans="1:11" ht="15.6" customHeight="1">
      <c r="A31" s="42" t="s">
        <v>24</v>
      </c>
      <c r="B31" s="43">
        <v>1486</v>
      </c>
      <c r="C31" s="43">
        <v>1597</v>
      </c>
      <c r="D31" s="43">
        <v>1325</v>
      </c>
      <c r="E31" s="43">
        <v>1575</v>
      </c>
      <c r="F31" s="44"/>
      <c r="G31" s="42" t="s">
        <v>39</v>
      </c>
      <c r="H31" s="43">
        <v>6727</v>
      </c>
      <c r="I31" s="43">
        <v>6231</v>
      </c>
      <c r="J31" s="43">
        <v>5846</v>
      </c>
      <c r="K31" s="43">
        <v>5966</v>
      </c>
    </row>
    <row r="32" spans="1:11" ht="15.6" customHeight="1">
      <c r="A32" s="42" t="s">
        <v>25</v>
      </c>
      <c r="B32" s="41">
        <v>5.27</v>
      </c>
      <c r="C32" s="41">
        <v>5.68</v>
      </c>
      <c r="D32" s="41">
        <v>4.63</v>
      </c>
      <c r="E32" s="41">
        <v>5.3</v>
      </c>
      <c r="F32" s="44"/>
      <c r="G32" s="42" t="s">
        <v>38</v>
      </c>
      <c r="H32" s="41">
        <v>279</v>
      </c>
      <c r="I32" s="41">
        <v>281</v>
      </c>
      <c r="J32" s="41">
        <v>280</v>
      </c>
      <c r="K32" s="41">
        <v>289</v>
      </c>
    </row>
    <row r="33" spans="1:11" ht="15.6" customHeight="1">
      <c r="A33" s="42" t="s">
        <v>73</v>
      </c>
      <c r="B33" s="41" t="s">
        <v>112</v>
      </c>
      <c r="C33" s="41" t="s">
        <v>112</v>
      </c>
      <c r="D33" s="41" t="s">
        <v>112</v>
      </c>
      <c r="E33" s="41" t="s">
        <v>112</v>
      </c>
      <c r="F33" s="41"/>
      <c r="G33" s="42" t="s">
        <v>37</v>
      </c>
      <c r="H33" s="43">
        <v>-8800</v>
      </c>
      <c r="I33" s="43">
        <v>-8877</v>
      </c>
      <c r="J33" s="43">
        <v>-9868</v>
      </c>
      <c r="K33" s="43">
        <v>-9389</v>
      </c>
    </row>
    <row r="34" spans="1:11" ht="15.6" customHeight="1">
      <c r="A34" s="42" t="s">
        <v>26</v>
      </c>
      <c r="B34" s="41">
        <v>5.27</v>
      </c>
      <c r="C34" s="41">
        <v>5.68</v>
      </c>
      <c r="D34" s="41">
        <v>4.63</v>
      </c>
      <c r="E34" s="41">
        <v>5.3</v>
      </c>
      <c r="F34" s="44"/>
      <c r="G34" s="42" t="s">
        <v>36</v>
      </c>
      <c r="H34" s="43">
        <v>10717</v>
      </c>
      <c r="I34" s="43">
        <v>10683</v>
      </c>
      <c r="J34" s="43">
        <v>11484</v>
      </c>
      <c r="K34" s="43">
        <v>10760</v>
      </c>
    </row>
    <row r="35" spans="1:11" ht="15.6" customHeight="1">
      <c r="A35" s="42" t="s">
        <v>27</v>
      </c>
      <c r="B35" s="41">
        <v>5.21</v>
      </c>
      <c r="C35" s="41">
        <v>5.6</v>
      </c>
      <c r="D35" s="41">
        <v>4.57</v>
      </c>
      <c r="E35" s="41">
        <v>5.22</v>
      </c>
      <c r="F35" s="44"/>
      <c r="G35" s="42" t="s">
        <v>35</v>
      </c>
      <c r="H35" s="43">
        <v>11333</v>
      </c>
      <c r="I35" s="43">
        <v>11195</v>
      </c>
      <c r="J35" s="43">
        <v>11851</v>
      </c>
      <c r="K35" s="43">
        <v>11246</v>
      </c>
    </row>
    <row r="36" spans="1:11" ht="15.6" customHeight="1">
      <c r="A36" s="42" t="s">
        <v>72</v>
      </c>
      <c r="B36" s="41" t="s">
        <v>112</v>
      </c>
      <c r="C36" s="41" t="s">
        <v>112</v>
      </c>
      <c r="D36" s="41" t="s">
        <v>112</v>
      </c>
      <c r="E36" s="41" t="s">
        <v>112</v>
      </c>
      <c r="F36" s="41"/>
      <c r="G36" s="41"/>
      <c r="H36" s="41"/>
      <c r="I36" s="41"/>
      <c r="J36" s="44"/>
      <c r="K36" s="44"/>
    </row>
    <row r="37" spans="1:11" ht="15.6" customHeight="1">
      <c r="A37" s="42" t="s">
        <v>28</v>
      </c>
      <c r="B37" s="41">
        <v>285</v>
      </c>
      <c r="C37" s="41">
        <v>285</v>
      </c>
      <c r="D37" s="41">
        <v>290</v>
      </c>
      <c r="E37" s="41">
        <v>302</v>
      </c>
      <c r="F37" s="44"/>
      <c r="G37" s="44"/>
      <c r="H37" s="44"/>
      <c r="I37" s="44"/>
      <c r="J37" s="44"/>
      <c r="K37" s="44"/>
    </row>
    <row r="38" spans="1:11" ht="15.6" customHeight="1">
      <c r="A38" s="42" t="s">
        <v>29</v>
      </c>
      <c r="B38" s="41">
        <v>5.21</v>
      </c>
      <c r="C38" s="41">
        <v>5.6</v>
      </c>
      <c r="D38" s="41">
        <v>4.57</v>
      </c>
      <c r="E38" s="41">
        <v>5.22</v>
      </c>
      <c r="F38" s="44"/>
      <c r="G38" s="44"/>
      <c r="H38" s="44"/>
      <c r="I38" s="44"/>
      <c r="J38" s="44"/>
      <c r="K38" s="44"/>
    </row>
    <row r="39" spans="1:11" ht="15.6" customHeight="1">
      <c r="A39" s="42" t="s">
        <v>30</v>
      </c>
      <c r="B39" s="45">
        <v>0.34150000000000003</v>
      </c>
      <c r="C39" s="45">
        <v>0.34920000000000001</v>
      </c>
      <c r="D39" s="45">
        <v>0.34100000000000003</v>
      </c>
      <c r="E39" s="45">
        <v>0.3498</v>
      </c>
      <c r="F39" s="44"/>
      <c r="G39" s="44"/>
      <c r="H39" s="44"/>
      <c r="I39" s="44"/>
      <c r="J39" s="44"/>
      <c r="K39" s="44"/>
    </row>
    <row r="40" spans="1:11" ht="15.6" customHeight="1">
      <c r="A40" s="42" t="s">
        <v>31</v>
      </c>
      <c r="B40" s="45">
        <v>0.22370000000000001</v>
      </c>
      <c r="C40" s="45">
        <v>0.22650000000000001</v>
      </c>
      <c r="D40" s="45">
        <v>0.20860000000000001</v>
      </c>
      <c r="E40" s="45">
        <v>0.2591</v>
      </c>
      <c r="F40" s="42"/>
      <c r="G40" s="40"/>
      <c r="H40" s="40"/>
      <c r="I40" s="40"/>
      <c r="J40" s="40"/>
      <c r="K40" s="40"/>
    </row>
    <row r="41" spans="1:11" ht="15.6" customHeight="1">
      <c r="A41" s="42" t="s">
        <v>67</v>
      </c>
      <c r="B41" s="41">
        <v>616</v>
      </c>
      <c r="C41" s="41">
        <v>512</v>
      </c>
      <c r="D41" s="41">
        <v>367</v>
      </c>
      <c r="E41" s="41">
        <v>486</v>
      </c>
    </row>
    <row r="42" spans="1:11" ht="15.6" customHeight="1">
      <c r="A42" s="42" t="s">
        <v>99</v>
      </c>
      <c r="B42" s="41">
        <v>775</v>
      </c>
      <c r="C42" s="41">
        <v>737</v>
      </c>
      <c r="D42" s="41">
        <v>648</v>
      </c>
      <c r="E42" s="41">
        <v>596</v>
      </c>
    </row>
    <row r="43" spans="1:11" ht="15.6" customHeight="1">
      <c r="A43" s="42" t="s">
        <v>66</v>
      </c>
      <c r="B43" s="41" t="s">
        <v>112</v>
      </c>
      <c r="C43" s="41" t="s">
        <v>112</v>
      </c>
      <c r="D43" s="41" t="s">
        <v>112</v>
      </c>
      <c r="E43" s="41" t="s">
        <v>112</v>
      </c>
    </row>
    <row r="44" spans="1:11" ht="15.6" customHeight="1">
      <c r="A44" s="42" t="s">
        <v>65</v>
      </c>
      <c r="B44" s="41" t="s">
        <v>112</v>
      </c>
      <c r="C44" s="41" t="s">
        <v>112</v>
      </c>
      <c r="D44" s="41">
        <v>342</v>
      </c>
      <c r="E44" s="41">
        <v>150</v>
      </c>
    </row>
    <row r="45" spans="1:11" ht="15.6" customHeight="1">
      <c r="A45" s="42" t="s">
        <v>64</v>
      </c>
      <c r="B45" s="43">
        <v>1871</v>
      </c>
      <c r="C45" s="43">
        <v>1609</v>
      </c>
      <c r="D45" s="43">
        <v>1609</v>
      </c>
      <c r="E45" s="43">
        <v>1532</v>
      </c>
    </row>
    <row r="46" spans="1:11" ht="15.6" customHeight="1">
      <c r="A46" s="42" t="s">
        <v>123</v>
      </c>
      <c r="B46" s="43">
        <v>1304</v>
      </c>
      <c r="C46" s="43">
        <v>1197</v>
      </c>
      <c r="D46" s="43">
        <v>1171</v>
      </c>
      <c r="E46" s="43">
        <v>1207</v>
      </c>
    </row>
    <row r="47" spans="1:11" ht="15.6" customHeight="1">
      <c r="A47" s="42" t="s">
        <v>62</v>
      </c>
      <c r="B47" s="41" t="s">
        <v>112</v>
      </c>
      <c r="C47" s="41" t="s">
        <v>112</v>
      </c>
      <c r="D47" s="41">
        <v>274</v>
      </c>
      <c r="E47" s="41">
        <v>277</v>
      </c>
    </row>
    <row r="48" spans="1:11" ht="15.6" customHeight="1">
      <c r="A48" s="42" t="s">
        <v>61</v>
      </c>
      <c r="B48" s="43">
        <v>1152</v>
      </c>
      <c r="C48" s="43">
        <v>1019</v>
      </c>
      <c r="D48" s="41">
        <v>992</v>
      </c>
      <c r="E48" s="43">
        <v>1016</v>
      </c>
    </row>
    <row r="49" spans="1:5" ht="15.6" customHeight="1">
      <c r="A49" s="42" t="s">
        <v>70</v>
      </c>
      <c r="B49" s="43">
        <v>1071</v>
      </c>
      <c r="C49" s="43">
        <v>1045</v>
      </c>
      <c r="D49" s="41">
        <v>750</v>
      </c>
      <c r="E49" s="41">
        <v>724</v>
      </c>
    </row>
    <row r="50" spans="1:5" ht="15.6" customHeight="1">
      <c r="A50" s="42" t="s">
        <v>60</v>
      </c>
      <c r="B50" s="43">
        <v>1329</v>
      </c>
      <c r="C50" s="43">
        <v>1361</v>
      </c>
      <c r="D50" s="43">
        <v>1324</v>
      </c>
      <c r="E50" s="43">
        <v>1487</v>
      </c>
    </row>
    <row r="51" spans="1:5" ht="15.6" customHeight="1">
      <c r="A51" s="42" t="s">
        <v>59</v>
      </c>
      <c r="B51" s="43">
        <v>4856</v>
      </c>
      <c r="C51" s="43">
        <v>4622</v>
      </c>
      <c r="D51" s="43">
        <v>4237</v>
      </c>
      <c r="E51" s="43">
        <v>4434</v>
      </c>
    </row>
    <row r="52" spans="1:5" ht="15.6" customHeight="1">
      <c r="A52" s="42" t="s">
        <v>58</v>
      </c>
      <c r="B52" s="43">
        <v>6727</v>
      </c>
      <c r="C52" s="43">
        <v>6231</v>
      </c>
      <c r="D52" s="43">
        <v>5846</v>
      </c>
      <c r="E52" s="43">
        <v>5966</v>
      </c>
    </row>
    <row r="53" spans="1:5" ht="15.6" customHeight="1">
      <c r="A53" s="42" t="s">
        <v>57</v>
      </c>
      <c r="B53" s="43">
        <v>1211</v>
      </c>
      <c r="C53" s="43">
        <v>1169</v>
      </c>
      <c r="D53" s="43">
        <v>1251</v>
      </c>
      <c r="E53" s="43">
        <v>1334</v>
      </c>
    </row>
    <row r="54" spans="1:5" ht="15.6" customHeight="1">
      <c r="A54" s="42" t="s">
        <v>55</v>
      </c>
      <c r="B54" s="41">
        <v>27</v>
      </c>
      <c r="C54" s="41">
        <v>53</v>
      </c>
      <c r="D54" s="41">
        <v>398</v>
      </c>
      <c r="E54" s="41">
        <v>68</v>
      </c>
    </row>
    <row r="55" spans="1:5" ht="15.6" customHeight="1">
      <c r="A55" s="42" t="s">
        <v>54</v>
      </c>
      <c r="B55" s="41">
        <v>31</v>
      </c>
      <c r="C55" s="41">
        <v>55</v>
      </c>
      <c r="D55" s="41">
        <v>16</v>
      </c>
      <c r="E55" s="41">
        <v>13</v>
      </c>
    </row>
    <row r="56" spans="1:5" ht="15.6" customHeight="1">
      <c r="A56" s="42" t="s">
        <v>53</v>
      </c>
      <c r="B56" s="41" t="s">
        <v>112</v>
      </c>
      <c r="C56" s="41" t="s">
        <v>112</v>
      </c>
      <c r="D56" s="41">
        <v>929</v>
      </c>
      <c r="E56" s="43">
        <v>1019</v>
      </c>
    </row>
    <row r="57" spans="1:5" ht="15.6" customHeight="1">
      <c r="A57" s="42" t="s">
        <v>52</v>
      </c>
      <c r="B57" s="43">
        <v>1269</v>
      </c>
      <c r="C57" s="43">
        <v>1277</v>
      </c>
      <c r="D57" s="43">
        <v>1665</v>
      </c>
      <c r="E57" s="43">
        <v>1415</v>
      </c>
    </row>
    <row r="58" spans="1:5" ht="15.6" customHeight="1">
      <c r="A58" s="42" t="s">
        <v>51</v>
      </c>
      <c r="B58" s="43">
        <v>11306</v>
      </c>
      <c r="C58" s="43">
        <v>11142</v>
      </c>
      <c r="D58" s="43">
        <v>11453</v>
      </c>
      <c r="E58" s="43">
        <v>11178</v>
      </c>
    </row>
    <row r="59" spans="1:5" ht="15.6" customHeight="1">
      <c r="A59" s="42" t="s">
        <v>49</v>
      </c>
      <c r="B59" s="41" t="s">
        <v>112</v>
      </c>
      <c r="C59" s="41" t="s">
        <v>112</v>
      </c>
      <c r="D59" s="41">
        <v>-750</v>
      </c>
      <c r="E59" s="41">
        <v>-724</v>
      </c>
    </row>
    <row r="60" spans="1:5" ht="15.6" customHeight="1">
      <c r="A60" s="42" t="s">
        <v>69</v>
      </c>
      <c r="B60" s="41" t="s">
        <v>112</v>
      </c>
      <c r="C60" s="41" t="s">
        <v>112</v>
      </c>
      <c r="D60" s="41" t="s">
        <v>112</v>
      </c>
      <c r="E60" s="41" t="s">
        <v>112</v>
      </c>
    </row>
    <row r="61" spans="1:5" ht="15.6" customHeight="1">
      <c r="A61" s="42" t="s">
        <v>48</v>
      </c>
      <c r="B61" s="43">
        <v>1800</v>
      </c>
      <c r="C61" s="43">
        <v>1670</v>
      </c>
      <c r="D61" s="43">
        <v>1604</v>
      </c>
      <c r="E61" s="43">
        <v>1746</v>
      </c>
    </row>
    <row r="62" spans="1:5" ht="15.6" customHeight="1">
      <c r="A62" s="42" t="s">
        <v>47</v>
      </c>
      <c r="B62" s="43">
        <v>13106</v>
      </c>
      <c r="C62" s="43">
        <v>12812</v>
      </c>
      <c r="D62" s="43">
        <v>13057</v>
      </c>
      <c r="E62" s="43">
        <v>12924</v>
      </c>
    </row>
    <row r="63" spans="1:5" ht="15.6" customHeight="1">
      <c r="A63" s="42" t="s">
        <v>46</v>
      </c>
      <c r="B63" s="43">
        <v>14375</v>
      </c>
      <c r="C63" s="43">
        <v>14089</v>
      </c>
      <c r="D63" s="43">
        <v>14722</v>
      </c>
      <c r="E63" s="43">
        <v>14339</v>
      </c>
    </row>
    <row r="64" spans="1:5" ht="15.6" customHeight="1">
      <c r="A64" s="42" t="s">
        <v>44</v>
      </c>
      <c r="B64" s="41">
        <v>0</v>
      </c>
      <c r="C64" s="41">
        <v>60</v>
      </c>
      <c r="D64" s="41">
        <v>0</v>
      </c>
      <c r="E64" s="41" t="s">
        <v>112</v>
      </c>
    </row>
    <row r="65" spans="1:5" ht="15.6" customHeight="1">
      <c r="A65" s="42" t="s">
        <v>43</v>
      </c>
      <c r="B65" s="43">
        <v>-7256</v>
      </c>
      <c r="C65" s="43">
        <v>-7616</v>
      </c>
      <c r="D65" s="43">
        <v>-8507</v>
      </c>
      <c r="E65" s="43">
        <v>-8048</v>
      </c>
    </row>
    <row r="66" spans="1:5" ht="15.6" customHeight="1">
      <c r="A66" s="42" t="s">
        <v>41</v>
      </c>
      <c r="B66" s="43">
        <v>-7648</v>
      </c>
      <c r="C66" s="43">
        <v>-7858</v>
      </c>
      <c r="D66" s="43">
        <v>-8876</v>
      </c>
      <c r="E66" s="43">
        <v>-8373</v>
      </c>
    </row>
    <row r="67" spans="1:5" ht="15.6" customHeight="1">
      <c r="A67" s="42" t="s">
        <v>40</v>
      </c>
      <c r="B67" s="43">
        <v>-7648</v>
      </c>
      <c r="C67" s="43">
        <v>-7858</v>
      </c>
      <c r="D67" s="43">
        <v>-8876</v>
      </c>
      <c r="E67" s="43">
        <v>-8373</v>
      </c>
    </row>
    <row r="68" spans="1:5" ht="15.6" customHeight="1">
      <c r="A68" s="42" t="s">
        <v>39</v>
      </c>
      <c r="B68" s="43">
        <v>6727</v>
      </c>
      <c r="C68" s="43">
        <v>6231</v>
      </c>
      <c r="D68" s="43">
        <v>5846</v>
      </c>
      <c r="E68" s="43">
        <v>5966</v>
      </c>
    </row>
    <row r="69" spans="1:5" ht="15.6" customHeight="1">
      <c r="A69" s="42" t="s">
        <v>38</v>
      </c>
      <c r="B69" s="41">
        <v>279</v>
      </c>
      <c r="C69" s="41">
        <v>281</v>
      </c>
      <c r="D69" s="41">
        <v>280</v>
      </c>
      <c r="E69" s="41">
        <v>289</v>
      </c>
    </row>
    <row r="70" spans="1:5" ht="15.6" customHeight="1">
      <c r="A70" s="42" t="s">
        <v>37</v>
      </c>
      <c r="B70" s="43">
        <v>-8800</v>
      </c>
      <c r="C70" s="43">
        <v>-8877</v>
      </c>
      <c r="D70" s="43">
        <v>-9868</v>
      </c>
      <c r="E70" s="43">
        <v>-9389</v>
      </c>
    </row>
    <row r="71" spans="1:5" ht="15.6" customHeight="1">
      <c r="A71" s="42" t="s">
        <v>36</v>
      </c>
      <c r="B71" s="43">
        <v>10717</v>
      </c>
      <c r="C71" s="43">
        <v>10683</v>
      </c>
      <c r="D71" s="43">
        <v>11484</v>
      </c>
      <c r="E71" s="43">
        <v>10760</v>
      </c>
    </row>
    <row r="72" spans="1:5" ht="15.6" customHeight="1">
      <c r="A72" s="42" t="s">
        <v>35</v>
      </c>
      <c r="B72" s="43">
        <v>11333</v>
      </c>
      <c r="C72" s="43">
        <v>11195</v>
      </c>
      <c r="D72" s="43">
        <v>11851</v>
      </c>
      <c r="E72" s="43">
        <v>11246</v>
      </c>
    </row>
  </sheetData>
  <pageMargins left="0.7" right="0.7" top="0.75" bottom="0.75" header="0.3" footer="0.3"/>
  <pageSetup scale="50"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A593A-D601-415D-9EF7-EAD0B3501FC6}">
  <sheetPr>
    <tabColor rgb="FF0070C0"/>
    <pageSetUpPr fitToPage="1"/>
  </sheetPr>
  <dimension ref="A1:X992"/>
  <sheetViews>
    <sheetView workbookViewId="0"/>
  </sheetViews>
  <sheetFormatPr defaultColWidth="13" defaultRowHeight="13.2"/>
  <cols>
    <col min="1" max="1" width="33.59765625" style="14" bestFit="1" customWidth="1"/>
    <col min="2" max="2" width="4.5" style="14" customWidth="1"/>
    <col min="3" max="4" width="9.09765625" style="14" bestFit="1" customWidth="1"/>
    <col min="5" max="5" width="11.19921875" style="14" customWidth="1"/>
    <col min="6" max="6" width="9.09765625" style="14" bestFit="1" customWidth="1"/>
    <col min="7" max="7" width="11.69921875" style="14" customWidth="1"/>
    <col min="8" max="8" width="9.09765625" style="14" bestFit="1" customWidth="1"/>
    <col min="9" max="9" width="11.19921875" style="14" customWidth="1"/>
    <col min="10" max="10" width="8.19921875" style="14" customWidth="1"/>
    <col min="11" max="24" width="7.8984375" style="14" customWidth="1"/>
    <col min="25" max="16384" width="13" style="14"/>
  </cols>
  <sheetData>
    <row r="1" spans="1:24" ht="15" thickBot="1">
      <c r="A1" s="182" t="s">
        <v>78</v>
      </c>
      <c r="B1" s="183"/>
      <c r="C1" s="184" t="s">
        <v>107</v>
      </c>
      <c r="D1" s="184" t="s">
        <v>107</v>
      </c>
      <c r="E1" s="264" t="s">
        <v>117</v>
      </c>
      <c r="F1" s="184" t="s">
        <v>107</v>
      </c>
      <c r="G1" s="264" t="s">
        <v>114</v>
      </c>
      <c r="H1" s="184" t="s">
        <v>107</v>
      </c>
      <c r="I1" s="266" t="s">
        <v>116</v>
      </c>
      <c r="J1" s="24"/>
      <c r="K1" s="24"/>
      <c r="L1" s="24"/>
      <c r="M1" s="24"/>
      <c r="N1" s="24"/>
      <c r="O1" s="24"/>
      <c r="P1" s="24"/>
      <c r="Q1" s="24"/>
      <c r="R1" s="24"/>
      <c r="S1" s="24"/>
      <c r="T1" s="24"/>
      <c r="U1" s="24"/>
      <c r="V1" s="24"/>
      <c r="W1" s="24"/>
      <c r="X1" s="24"/>
    </row>
    <row r="2" spans="1:24" ht="14.4" thickBot="1">
      <c r="A2" s="185" t="s">
        <v>98</v>
      </c>
      <c r="B2" s="186"/>
      <c r="C2" s="187">
        <v>2024</v>
      </c>
      <c r="D2" s="187">
        <v>2023</v>
      </c>
      <c r="E2" s="265"/>
      <c r="F2" s="187">
        <v>2022</v>
      </c>
      <c r="G2" s="265"/>
      <c r="H2" s="187">
        <v>2021</v>
      </c>
      <c r="I2" s="267"/>
      <c r="J2" s="24"/>
      <c r="K2" s="24"/>
      <c r="L2" s="24"/>
      <c r="M2" s="24"/>
      <c r="N2" s="24"/>
      <c r="O2" s="24"/>
      <c r="P2" s="24"/>
      <c r="Q2" s="24"/>
      <c r="R2" s="24"/>
      <c r="S2" s="24"/>
      <c r="T2" s="24"/>
      <c r="U2" s="24"/>
      <c r="V2" s="24"/>
      <c r="W2" s="24"/>
      <c r="X2" s="24"/>
    </row>
    <row r="3" spans="1:24" ht="14.4">
      <c r="A3" s="118" t="s">
        <v>120</v>
      </c>
      <c r="B3" s="126"/>
      <c r="C3" s="123">
        <v>133.52000000000001</v>
      </c>
      <c r="D3" s="93">
        <v>130.66</v>
      </c>
      <c r="E3" s="85">
        <f>+(C3-D3)/D3</f>
        <v>2.1888871881218533E-2</v>
      </c>
      <c r="F3" s="93">
        <v>128.08000000000001</v>
      </c>
      <c r="G3" s="94">
        <f>+(D3-F3)/F3</f>
        <v>2.0143660212367145E-2</v>
      </c>
      <c r="H3" s="93">
        <v>138.38999999999999</v>
      </c>
      <c r="I3" s="94">
        <f>(F3-H3)/H3</f>
        <v>-7.4499602572440024E-2</v>
      </c>
      <c r="J3" s="27"/>
      <c r="K3" s="24"/>
      <c r="L3" s="24"/>
      <c r="M3" s="24"/>
      <c r="N3" s="24"/>
      <c r="O3" s="24"/>
      <c r="P3" s="24"/>
      <c r="Q3" s="24"/>
      <c r="R3" s="24"/>
      <c r="S3" s="24"/>
      <c r="T3" s="24"/>
      <c r="U3" s="24"/>
      <c r="V3" s="24"/>
      <c r="W3" s="24"/>
      <c r="X3" s="24"/>
    </row>
    <row r="4" spans="1:24" ht="14.4">
      <c r="A4" s="119" t="s">
        <v>0</v>
      </c>
      <c r="B4" s="127"/>
      <c r="C4" s="124">
        <f>_xlfn.XLOOKUP(A4,'Y24-21'!$A$4:$A$72,'Y24-21'!$B$4:$B$72)</f>
        <v>7549</v>
      </c>
      <c r="D4" s="107">
        <f>_xlfn.XLOOKUP(A4,'Y24-21'!$A$4:$A$72,'Y24-21'!$C$4:$C$72)</f>
        <v>7076</v>
      </c>
      <c r="E4" s="36">
        <f t="shared" ref="E4:E19" si="0">+(C4-D4)/D4</f>
        <v>6.6845675522894291E-2</v>
      </c>
      <c r="F4" s="107">
        <f>_xlfn.XLOOKUP(A4,'Y24-21'!$A$4:$A$72,'Y24-21'!$D$4:$D$72)</f>
        <v>6842</v>
      </c>
      <c r="G4" s="91">
        <f t="shared" ref="G4:G19" si="1">+(D4-F4)/F4</f>
        <v>3.4200526161940956E-2</v>
      </c>
      <c r="H4" s="107">
        <f>_xlfn.XLOOKUP(A4,'Y24-21'!$A$4:$A$72,'Y24-21'!$E$4:$E$72)</f>
        <v>6584</v>
      </c>
      <c r="I4" s="91">
        <f t="shared" ref="I4:I19" si="2">(F4-H4)/H4</f>
        <v>3.9185905224787362E-2</v>
      </c>
      <c r="J4" s="24"/>
      <c r="K4" s="24"/>
      <c r="L4" s="24"/>
      <c r="M4" s="24"/>
      <c r="N4" s="24"/>
      <c r="O4" s="24"/>
      <c r="P4" s="24"/>
      <c r="Q4" s="24"/>
      <c r="R4" s="24"/>
      <c r="S4" s="24"/>
      <c r="T4" s="24"/>
      <c r="U4" s="24"/>
      <c r="V4" s="24"/>
      <c r="W4" s="24"/>
      <c r="X4" s="24"/>
    </row>
    <row r="5" spans="1:24" ht="14.4">
      <c r="A5" s="119" t="s">
        <v>2</v>
      </c>
      <c r="B5" s="127"/>
      <c r="C5" s="124">
        <f>_xlfn.XLOOKUP(A5,'Y24-21'!$A$4:$A$72,'Y24-21'!$B$4:$B$72)</f>
        <v>2120</v>
      </c>
      <c r="D5" s="107">
        <f>_xlfn.XLOOKUP(A5,'Y24-21'!$A$4:$A$72,'Y24-21'!$C$4:$C$72)</f>
        <v>1774</v>
      </c>
      <c r="E5" s="36">
        <f t="shared" si="0"/>
        <v>0.19503945885005636</v>
      </c>
      <c r="F5" s="107">
        <f>_xlfn.XLOOKUP(A5,'Y24-21'!$A$4:$A$72,'Y24-21'!$D$4:$D$72)</f>
        <v>1745</v>
      </c>
      <c r="G5" s="91">
        <f t="shared" si="1"/>
        <v>1.66189111747851E-2</v>
      </c>
      <c r="H5" s="107">
        <f>_xlfn.XLOOKUP(A5,'Y24-21'!$A$4:$A$72,'Y24-21'!$E$4:$E$72)</f>
        <v>1725</v>
      </c>
      <c r="I5" s="91">
        <f t="shared" si="2"/>
        <v>1.1594202898550725E-2</v>
      </c>
      <c r="J5" s="24"/>
      <c r="K5" s="24"/>
      <c r="L5" s="24"/>
      <c r="M5" s="24"/>
      <c r="N5" s="24"/>
      <c r="O5" s="24"/>
      <c r="P5" s="24"/>
      <c r="Q5" s="24"/>
      <c r="R5" s="24"/>
      <c r="S5" s="24"/>
      <c r="T5" s="24"/>
      <c r="U5" s="24"/>
      <c r="V5" s="24"/>
      <c r="W5" s="24"/>
      <c r="X5" s="24"/>
    </row>
    <row r="6" spans="1:24" ht="14.4">
      <c r="A6" s="120" t="s">
        <v>3</v>
      </c>
      <c r="B6" s="127"/>
      <c r="C6" s="124">
        <f>_xlfn.XLOOKUP(A6,'Y24-21'!$A$4:$A$72,'Y24-21'!$B$4:$B$72)</f>
        <v>5429</v>
      </c>
      <c r="D6" s="107">
        <f>_xlfn.XLOOKUP(A6,'Y24-21'!$A$4:$A$72,'Y24-21'!$C$4:$C$72)</f>
        <v>5302</v>
      </c>
      <c r="E6" s="36">
        <f t="shared" si="0"/>
        <v>2.3953225198038476E-2</v>
      </c>
      <c r="F6" s="107">
        <f>_xlfn.XLOOKUP(A6,'Y24-21'!$A$4:$A$72,'Y24-21'!$D$4:$D$72)</f>
        <v>5097</v>
      </c>
      <c r="G6" s="91">
        <f t="shared" si="1"/>
        <v>4.0219737100255053E-2</v>
      </c>
      <c r="H6" s="107">
        <f>_xlfn.XLOOKUP(A6,'Y24-21'!$A$4:$A$72,'Y24-21'!$E$4:$E$72)</f>
        <v>4859</v>
      </c>
      <c r="I6" s="91">
        <f t="shared" si="2"/>
        <v>4.8981271866639225E-2</v>
      </c>
      <c r="J6" s="24"/>
      <c r="K6" s="24"/>
      <c r="L6" s="24"/>
      <c r="M6" s="24"/>
      <c r="N6" s="24"/>
      <c r="O6" s="24"/>
      <c r="P6" s="24"/>
      <c r="Q6" s="24"/>
      <c r="R6" s="24"/>
      <c r="S6" s="24"/>
      <c r="T6" s="24"/>
      <c r="U6" s="24"/>
      <c r="V6" s="24"/>
      <c r="W6" s="24"/>
      <c r="X6" s="24"/>
    </row>
    <row r="7" spans="1:24" ht="14.4">
      <c r="A7" s="119" t="s">
        <v>4</v>
      </c>
      <c r="B7" s="127"/>
      <c r="C7" s="124">
        <f>_xlfn.XLOOKUP(A7,'Y24-21'!$A$4:$A$72,'Y24-21'!$B$4:$B$72)</f>
        <v>2892</v>
      </c>
      <c r="D7" s="107">
        <f>_xlfn.XLOOKUP(A7,'Y24-21'!$A$4:$A$72,'Y24-21'!$C$4:$C$72)</f>
        <v>2876</v>
      </c>
      <c r="E7" s="36">
        <f t="shared" si="0"/>
        <v>5.5632823365785811E-3</v>
      </c>
      <c r="F7" s="107">
        <f>_xlfn.XLOOKUP(A7,'Y24-21'!$A$4:$A$72,'Y24-21'!$D$4:$D$72)</f>
        <v>2807</v>
      </c>
      <c r="G7" s="91">
        <f t="shared" si="1"/>
        <v>2.458140363377271E-2</v>
      </c>
      <c r="H7" s="107">
        <f>_xlfn.XLOOKUP(A7,'Y24-21'!$A$4:$A$72,'Y24-21'!$E$4:$E$72)</f>
        <v>2636</v>
      </c>
      <c r="I7" s="91">
        <f t="shared" si="2"/>
        <v>6.4871016691957509E-2</v>
      </c>
      <c r="J7" s="24"/>
      <c r="K7" s="24"/>
      <c r="L7" s="24"/>
      <c r="M7" s="24"/>
      <c r="N7" s="24"/>
      <c r="O7" s="24"/>
      <c r="P7" s="24"/>
      <c r="Q7" s="24"/>
      <c r="R7" s="24"/>
      <c r="S7" s="24"/>
      <c r="T7" s="24"/>
      <c r="U7" s="24"/>
      <c r="V7" s="24"/>
      <c r="W7" s="24"/>
      <c r="X7" s="24"/>
    </row>
    <row r="8" spans="1:24" ht="14.4">
      <c r="A8" s="119" t="s">
        <v>5</v>
      </c>
      <c r="B8" s="127"/>
      <c r="C8" s="124">
        <f>_xlfn.XLOOKUP(A8,'Y24-21'!$A$4:$A$72,'Y24-21'!$B$4:$B$72)</f>
        <v>2403</v>
      </c>
      <c r="D8" s="107">
        <f>_xlfn.XLOOKUP(A8,'Y24-21'!$A$4:$A$72,'Y24-21'!$C$4:$C$72)</f>
        <v>2318</v>
      </c>
      <c r="E8" s="36">
        <f t="shared" si="0"/>
        <v>3.6669542709232096E-2</v>
      </c>
      <c r="F8" s="107">
        <f>_xlfn.XLOOKUP(A8,'Y24-21'!$A$4:$A$72,'Y24-21'!$D$4:$D$72)</f>
        <v>2187</v>
      </c>
      <c r="G8" s="91">
        <f t="shared" si="1"/>
        <v>5.9899405578417927E-2</v>
      </c>
      <c r="H8" s="107">
        <f>_xlfn.XLOOKUP(A8,'Y24-21'!$A$4:$A$72,'Y24-21'!$E$4:$E$72)</f>
        <v>2139</v>
      </c>
      <c r="I8" s="91">
        <f t="shared" si="2"/>
        <v>2.244039270687237E-2</v>
      </c>
      <c r="J8" s="24"/>
      <c r="K8" s="24"/>
      <c r="L8" s="24"/>
      <c r="M8" s="24"/>
      <c r="N8" s="24"/>
      <c r="O8" s="24"/>
      <c r="P8" s="24"/>
      <c r="Q8" s="24"/>
      <c r="R8" s="24"/>
      <c r="S8" s="24"/>
      <c r="T8" s="24"/>
      <c r="U8" s="24"/>
      <c r="V8" s="24"/>
      <c r="W8" s="24"/>
      <c r="X8" s="24"/>
    </row>
    <row r="9" spans="1:24" ht="14.4">
      <c r="A9" s="121" t="s">
        <v>11</v>
      </c>
      <c r="B9" s="127"/>
      <c r="C9" s="124">
        <f>_xlfn.XLOOKUP(A9,'Y24-21'!$A$4:$A$72,'Y24-21'!$B$4:$B$72)</f>
        <v>1486</v>
      </c>
      <c r="D9" s="107">
        <f>_xlfn.XLOOKUP(A9,'Y24-21'!$A$4:$A$72,'Y24-21'!$C$4:$C$72)</f>
        <v>1597</v>
      </c>
      <c r="E9" s="36">
        <f t="shared" si="0"/>
        <v>-6.9505322479649342E-2</v>
      </c>
      <c r="F9" s="107">
        <f>_xlfn.XLOOKUP(A9,'Y24-21'!$A$4:$A$72,'Y24-21'!$D$4:$D$72)</f>
        <v>1325</v>
      </c>
      <c r="G9" s="91">
        <f t="shared" si="1"/>
        <v>0.20528301886792452</v>
      </c>
      <c r="H9" s="107">
        <f>_xlfn.XLOOKUP(A9,'Y24-21'!$A$4:$A$72,'Y24-21'!$E$4:$E$72)</f>
        <v>1575</v>
      </c>
      <c r="I9" s="91">
        <f t="shared" si="2"/>
        <v>-0.15873015873015872</v>
      </c>
      <c r="J9" s="24"/>
      <c r="K9" s="24"/>
      <c r="L9" s="24"/>
      <c r="M9" s="24"/>
      <c r="N9" s="24"/>
      <c r="O9" s="24"/>
      <c r="P9" s="24"/>
      <c r="Q9" s="24"/>
      <c r="R9" s="24"/>
      <c r="S9" s="24"/>
      <c r="T9" s="24"/>
      <c r="U9" s="24"/>
      <c r="V9" s="24"/>
      <c r="W9" s="24"/>
      <c r="X9" s="24"/>
    </row>
    <row r="10" spans="1:24" ht="14.4">
      <c r="A10" s="119" t="s">
        <v>67</v>
      </c>
      <c r="B10" s="127"/>
      <c r="C10" s="124">
        <f>_xlfn.XLOOKUP(A10,'Y24-21'!$A$4:$A$72,'Y24-21'!$B$4:$B$72)</f>
        <v>616</v>
      </c>
      <c r="D10" s="107">
        <f>_xlfn.XLOOKUP(A10,'Y24-21'!$A$4:$A$72,'Y24-21'!$C$4:$C$72)</f>
        <v>512</v>
      </c>
      <c r="E10" s="36">
        <f t="shared" si="0"/>
        <v>0.203125</v>
      </c>
      <c r="F10" s="107">
        <f>_xlfn.XLOOKUP(A10,'Y24-21'!$A$4:$A$72,'Y24-21'!$D$4:$D$72)</f>
        <v>367</v>
      </c>
      <c r="G10" s="91">
        <f t="shared" si="1"/>
        <v>0.39509536784741145</v>
      </c>
      <c r="H10" s="107">
        <f>_xlfn.XLOOKUP(A10,'Y24-21'!$A$4:$A$72,'Y24-21'!$E$4:$E$72)</f>
        <v>486</v>
      </c>
      <c r="I10" s="91">
        <f t="shared" si="2"/>
        <v>-0.2448559670781893</v>
      </c>
      <c r="J10" s="24"/>
      <c r="K10" s="24"/>
      <c r="L10" s="24"/>
      <c r="M10" s="24"/>
      <c r="N10" s="24"/>
      <c r="O10" s="24"/>
      <c r="P10" s="24"/>
      <c r="Q10" s="24"/>
      <c r="R10" s="24"/>
      <c r="S10" s="24"/>
      <c r="T10" s="24"/>
      <c r="U10" s="24"/>
      <c r="V10" s="24"/>
      <c r="W10" s="24"/>
      <c r="X10" s="24"/>
    </row>
    <row r="11" spans="1:24" ht="14.4">
      <c r="A11" s="119" t="s">
        <v>99</v>
      </c>
      <c r="B11" s="127"/>
      <c r="C11" s="124">
        <f>_xlfn.XLOOKUP(A11,'Y24-21'!$A$4:$A$72,'Y24-21'!$B$4:$B$72)</f>
        <v>775</v>
      </c>
      <c r="D11" s="107">
        <f>_xlfn.XLOOKUP(A11,'Y24-21'!$A$4:$A$72,'Y24-21'!$C$4:$C$72)</f>
        <v>737</v>
      </c>
      <c r="E11" s="36">
        <f t="shared" si="0"/>
        <v>5.1560379918588875E-2</v>
      </c>
      <c r="F11" s="107">
        <f>_xlfn.XLOOKUP(A11,'Y24-21'!$A$4:$A$72,'Y24-21'!$D$4:$D$72)</f>
        <v>648</v>
      </c>
      <c r="G11" s="91">
        <f t="shared" si="1"/>
        <v>0.13734567901234568</v>
      </c>
      <c r="H11" s="107">
        <f>_xlfn.XLOOKUP(A11,'Y24-21'!$A$4:$A$72,'Y24-21'!$E$4:$E$72)</f>
        <v>596</v>
      </c>
      <c r="I11" s="91">
        <f t="shared" si="2"/>
        <v>8.7248322147651006E-2</v>
      </c>
      <c r="J11" s="24"/>
      <c r="K11" s="24"/>
      <c r="L11" s="24"/>
      <c r="M11" s="24"/>
      <c r="N11" s="24"/>
      <c r="O11" s="24"/>
      <c r="P11" s="24"/>
      <c r="Q11" s="24"/>
      <c r="R11" s="24"/>
      <c r="S11" s="24"/>
      <c r="T11" s="24"/>
      <c r="U11" s="24"/>
      <c r="V11" s="24"/>
      <c r="W11" s="24"/>
      <c r="X11" s="24"/>
    </row>
    <row r="12" spans="1:24" ht="14.4">
      <c r="A12" s="120" t="s">
        <v>66</v>
      </c>
      <c r="B12" s="127"/>
      <c r="C12" s="124">
        <v>10</v>
      </c>
      <c r="D12" s="107">
        <v>10</v>
      </c>
      <c r="E12" s="36">
        <f t="shared" si="0"/>
        <v>0</v>
      </c>
      <c r="F12" s="107">
        <v>10</v>
      </c>
      <c r="G12" s="91">
        <f t="shared" si="1"/>
        <v>0</v>
      </c>
      <c r="H12" s="107">
        <v>10</v>
      </c>
      <c r="I12" s="91">
        <f t="shared" si="2"/>
        <v>0</v>
      </c>
      <c r="J12" s="24"/>
      <c r="K12" s="24"/>
      <c r="L12" s="24"/>
      <c r="M12" s="24"/>
      <c r="N12" s="24"/>
      <c r="O12" s="24"/>
      <c r="P12" s="24"/>
      <c r="Q12" s="24"/>
      <c r="R12" s="24"/>
      <c r="S12" s="24"/>
      <c r="T12" s="24"/>
      <c r="U12" s="24"/>
      <c r="V12" s="24"/>
      <c r="W12" s="24"/>
      <c r="X12" s="24"/>
    </row>
    <row r="13" spans="1:24" ht="14.4">
      <c r="A13" s="119" t="s">
        <v>64</v>
      </c>
      <c r="B13" s="127"/>
      <c r="C13" s="124">
        <f>_xlfn.XLOOKUP(A13,'Y24-21'!$A$4:$A$72,'Y24-21'!$B$4:$B$72)</f>
        <v>1871</v>
      </c>
      <c r="D13" s="107">
        <f>_xlfn.XLOOKUP(A13,'Y24-21'!$A$4:$A$72,'Y24-21'!$C$4:$C$72)</f>
        <v>1609</v>
      </c>
      <c r="E13" s="36">
        <f t="shared" si="0"/>
        <v>0.16283405842137974</v>
      </c>
      <c r="F13" s="107">
        <f>_xlfn.XLOOKUP(A13,'Y24-21'!$A$4:$A$72,'Y24-21'!$D$4:$D$72)</f>
        <v>1609</v>
      </c>
      <c r="G13" s="91">
        <f t="shared" si="1"/>
        <v>0</v>
      </c>
      <c r="H13" s="107">
        <f>_xlfn.XLOOKUP(A13,'Y24-21'!$A$4:$A$72,'Y24-21'!$E$4:$E$72)</f>
        <v>1532</v>
      </c>
      <c r="I13" s="91">
        <f t="shared" si="2"/>
        <v>5.0261096605744127E-2</v>
      </c>
      <c r="J13" s="24"/>
      <c r="K13" s="24"/>
      <c r="L13" s="24"/>
      <c r="M13" s="24"/>
      <c r="N13" s="24"/>
      <c r="O13" s="24"/>
      <c r="P13" s="24"/>
      <c r="Q13" s="24"/>
      <c r="R13" s="24"/>
      <c r="S13" s="24"/>
      <c r="T13" s="24"/>
      <c r="U13" s="24"/>
      <c r="V13" s="24"/>
      <c r="W13" s="24"/>
      <c r="X13" s="24"/>
    </row>
    <row r="14" spans="1:24" ht="14.4">
      <c r="A14" s="119" t="s">
        <v>58</v>
      </c>
      <c r="B14" s="127"/>
      <c r="C14" s="124">
        <f>_xlfn.XLOOKUP(A14,'Y24-21'!$A$4:$A$72,'Y24-21'!$B$4:$B$72)</f>
        <v>6727</v>
      </c>
      <c r="D14" s="107">
        <f>_xlfn.XLOOKUP(A14,'Y24-21'!$A$4:$A$72,'Y24-21'!$C$4:$C$72)</f>
        <v>6231</v>
      </c>
      <c r="E14" s="36">
        <f t="shared" si="0"/>
        <v>7.9601990049751242E-2</v>
      </c>
      <c r="F14" s="107">
        <f>_xlfn.XLOOKUP(A14,'Y24-21'!$A$4:$A$72,'Y24-21'!$D$4:$D$72)</f>
        <v>5846</v>
      </c>
      <c r="G14" s="91">
        <f t="shared" si="1"/>
        <v>6.5856996236743071E-2</v>
      </c>
      <c r="H14" s="107">
        <f>_xlfn.XLOOKUP(A14,'Y24-21'!$A$4:$A$72,'Y24-21'!$E$4:$E$72)</f>
        <v>5966</v>
      </c>
      <c r="I14" s="91">
        <f t="shared" si="2"/>
        <v>-2.0113979215554811E-2</v>
      </c>
      <c r="J14" s="24"/>
      <c r="K14" s="24"/>
      <c r="L14" s="24"/>
      <c r="M14" s="24"/>
      <c r="N14" s="24"/>
      <c r="O14" s="24"/>
      <c r="P14" s="24"/>
      <c r="Q14" s="24"/>
      <c r="R14" s="24"/>
      <c r="S14" s="24"/>
      <c r="T14" s="24"/>
      <c r="U14" s="24"/>
      <c r="V14" s="24"/>
      <c r="W14" s="24"/>
      <c r="X14" s="24"/>
    </row>
    <row r="15" spans="1:24" ht="14.4">
      <c r="A15" s="119" t="s">
        <v>52</v>
      </c>
      <c r="B15" s="127"/>
      <c r="C15" s="124">
        <f>_xlfn.XLOOKUP(A15,'Y24-21'!$A$4:$A$72,'Y24-21'!$B$4:$B$72)</f>
        <v>1269</v>
      </c>
      <c r="D15" s="107">
        <f>_xlfn.XLOOKUP(A15,'Y24-21'!$A$4:$A$72,'Y24-21'!$C$4:$C$72)</f>
        <v>1277</v>
      </c>
      <c r="E15" s="36">
        <f t="shared" si="0"/>
        <v>-6.2646828504306969E-3</v>
      </c>
      <c r="F15" s="107">
        <f>_xlfn.XLOOKUP(A15,'Y24-21'!$A$4:$A$72,'Y24-21'!$D$4:$D$72)</f>
        <v>1665</v>
      </c>
      <c r="G15" s="91">
        <f t="shared" si="1"/>
        <v>-0.23303303303303302</v>
      </c>
      <c r="H15" s="107">
        <f>_xlfn.XLOOKUP(A15,'Y24-21'!$A$4:$A$72,'Y24-21'!$E$4:$E$72)</f>
        <v>1415</v>
      </c>
      <c r="I15" s="91">
        <f t="shared" si="2"/>
        <v>0.17667844522968199</v>
      </c>
      <c r="J15" s="24"/>
      <c r="K15" s="24"/>
      <c r="L15" s="24"/>
      <c r="M15" s="24"/>
      <c r="N15" s="24"/>
      <c r="O15" s="24"/>
      <c r="P15" s="24"/>
      <c r="Q15" s="24"/>
      <c r="R15" s="24"/>
      <c r="S15" s="24"/>
      <c r="T15" s="24"/>
      <c r="U15" s="24"/>
      <c r="V15" s="24"/>
      <c r="W15" s="24"/>
      <c r="X15" s="24"/>
    </row>
    <row r="16" spans="1:24" ht="14.4">
      <c r="A16" s="119" t="s">
        <v>51</v>
      </c>
      <c r="B16" s="127"/>
      <c r="C16" s="124">
        <f>_xlfn.XLOOKUP(A16,'Y24-21'!$A$4:$A$72,'Y24-21'!$B$4:$B$72)</f>
        <v>11306</v>
      </c>
      <c r="D16" s="107">
        <f>_xlfn.XLOOKUP(A16,'Y24-21'!$A$4:$A$72,'Y24-21'!$C$4:$C$72)</f>
        <v>11142</v>
      </c>
      <c r="E16" s="36">
        <f t="shared" si="0"/>
        <v>1.4719080954945252E-2</v>
      </c>
      <c r="F16" s="107">
        <f>_xlfn.XLOOKUP(A16,'Y24-21'!$A$4:$A$72,'Y24-21'!$D$4:$D$72)</f>
        <v>11453</v>
      </c>
      <c r="G16" s="91">
        <f t="shared" si="1"/>
        <v>-2.7154457347419891E-2</v>
      </c>
      <c r="H16" s="107">
        <f>_xlfn.XLOOKUP(A16,'Y24-21'!$A$4:$A$72,'Y24-21'!$E$4:$E$72)</f>
        <v>11178</v>
      </c>
      <c r="I16" s="91">
        <f t="shared" si="2"/>
        <v>2.4601896582572912E-2</v>
      </c>
      <c r="J16" s="24"/>
      <c r="K16" s="24"/>
      <c r="L16" s="24"/>
      <c r="M16" s="24"/>
      <c r="N16" s="24"/>
      <c r="O16" s="24"/>
      <c r="P16" s="24"/>
      <c r="Q16" s="24"/>
      <c r="R16" s="24"/>
      <c r="S16" s="24"/>
      <c r="T16" s="24"/>
      <c r="U16" s="24"/>
      <c r="V16" s="24"/>
      <c r="W16" s="24"/>
      <c r="X16" s="24"/>
    </row>
    <row r="17" spans="1:24" ht="14.4">
      <c r="A17" s="119" t="s">
        <v>46</v>
      </c>
      <c r="B17" s="127"/>
      <c r="C17" s="124">
        <f>_xlfn.XLOOKUP(A17,'Y24-21'!$A$4:$A$72,'Y24-21'!$B$4:$B$72)</f>
        <v>14375</v>
      </c>
      <c r="D17" s="107">
        <f>_xlfn.XLOOKUP(A17,'Y24-21'!$A$4:$A$72,'Y24-21'!$C$4:$C$72)</f>
        <v>14089</v>
      </c>
      <c r="E17" s="36">
        <f t="shared" si="0"/>
        <v>2.0299524451699909E-2</v>
      </c>
      <c r="F17" s="107">
        <f>_xlfn.XLOOKUP(A17,'Y24-21'!$A$4:$A$72,'Y24-21'!$D$4:$D$72)</f>
        <v>14722</v>
      </c>
      <c r="G17" s="91">
        <f t="shared" si="1"/>
        <v>-4.299687542453471E-2</v>
      </c>
      <c r="H17" s="107">
        <f>_xlfn.XLOOKUP(A17,'Y24-21'!$A$4:$A$72,'Y24-21'!$E$4:$E$72)</f>
        <v>14339</v>
      </c>
      <c r="I17" s="91">
        <f t="shared" si="2"/>
        <v>2.6710370318711207E-2</v>
      </c>
      <c r="J17" s="24"/>
      <c r="K17" s="24"/>
      <c r="L17" s="24"/>
      <c r="M17" s="24"/>
      <c r="N17" s="24"/>
      <c r="O17" s="24"/>
      <c r="P17" s="24"/>
      <c r="Q17" s="24"/>
      <c r="R17" s="24"/>
      <c r="S17" s="24"/>
      <c r="T17" s="24"/>
      <c r="U17" s="24"/>
      <c r="V17" s="24"/>
      <c r="W17" s="24"/>
      <c r="X17" s="24"/>
    </row>
    <row r="18" spans="1:24" ht="14.4">
      <c r="A18" s="119" t="s">
        <v>41</v>
      </c>
      <c r="B18" s="127"/>
      <c r="C18" s="124">
        <f>_xlfn.XLOOKUP(A18,'Y24-21'!$A$4:$A$72,'Y24-21'!$B$4:$B$72)</f>
        <v>-7648</v>
      </c>
      <c r="D18" s="107">
        <f>_xlfn.XLOOKUP(A18,'Y24-21'!$A$4:$A$72,'Y24-21'!$C$4:$C$72)</f>
        <v>-7858</v>
      </c>
      <c r="E18" s="36">
        <f t="shared" si="0"/>
        <v>-2.6724357342835327E-2</v>
      </c>
      <c r="F18" s="107">
        <f>_xlfn.XLOOKUP(A18,'Y24-21'!$A$4:$A$72,'Y24-21'!$D$4:$D$72)</f>
        <v>-8876</v>
      </c>
      <c r="G18" s="91">
        <f t="shared" si="1"/>
        <v>-0.11469130238846327</v>
      </c>
      <c r="H18" s="107">
        <f>_xlfn.XLOOKUP(A18,'Y24-21'!$A$4:$A$72,'Y24-21'!$E$4:$E$72)</f>
        <v>-8373</v>
      </c>
      <c r="I18" s="91">
        <f t="shared" si="2"/>
        <v>6.0074047533739398E-2</v>
      </c>
      <c r="J18" s="24"/>
      <c r="K18" s="24"/>
      <c r="L18" s="24"/>
      <c r="M18" s="24"/>
      <c r="N18" s="24"/>
      <c r="O18" s="24"/>
      <c r="P18" s="24"/>
      <c r="Q18" s="24"/>
      <c r="R18" s="24"/>
      <c r="S18" s="24"/>
      <c r="T18" s="24"/>
      <c r="U18" s="24"/>
      <c r="V18" s="24"/>
      <c r="W18" s="24"/>
      <c r="X18" s="24"/>
    </row>
    <row r="19" spans="1:24" ht="15" thickBot="1">
      <c r="A19" s="122" t="s">
        <v>14</v>
      </c>
      <c r="B19" s="128"/>
      <c r="C19" s="125">
        <f>_xlfn.XLOOKUP(A19,'Y24-21'!$A$4:$A$72,'Y24-21'!$B$4:$B$72)</f>
        <v>282</v>
      </c>
      <c r="D19" s="108">
        <f>_xlfn.XLOOKUP(A19,'Y24-21'!$A$4:$A$72,'Y24-21'!$C$4:$C$72)</f>
        <v>281</v>
      </c>
      <c r="E19" s="88">
        <f t="shared" si="0"/>
        <v>3.5587188612099642E-3</v>
      </c>
      <c r="F19" s="108">
        <f>_xlfn.XLOOKUP(A19,'Y24-21'!$A$4:$A$72,'Y24-21'!$D$4:$D$72)</f>
        <v>286</v>
      </c>
      <c r="G19" s="97">
        <f t="shared" si="1"/>
        <v>-1.7482517482517484E-2</v>
      </c>
      <c r="H19" s="108">
        <f>_xlfn.XLOOKUP(A19,'Y24-21'!$A$4:$A$72,'Y24-21'!$E$4:$E$72)</f>
        <v>297</v>
      </c>
      <c r="I19" s="97">
        <f t="shared" si="2"/>
        <v>-3.7037037037037035E-2</v>
      </c>
      <c r="J19" s="24"/>
      <c r="K19" s="24"/>
      <c r="L19" s="24"/>
      <c r="M19" s="24"/>
      <c r="N19" s="24"/>
      <c r="O19" s="24"/>
      <c r="P19" s="24"/>
      <c r="Q19" s="24"/>
      <c r="R19" s="24"/>
      <c r="S19" s="24"/>
      <c r="T19" s="24"/>
      <c r="U19" s="24"/>
      <c r="V19" s="24"/>
      <c r="W19" s="24"/>
      <c r="X19" s="24"/>
    </row>
    <row r="20" spans="1:24" ht="15" thickBot="1">
      <c r="A20" s="188" t="s">
        <v>81</v>
      </c>
      <c r="B20" s="189"/>
      <c r="C20" s="190" t="s">
        <v>107</v>
      </c>
      <c r="D20" s="184" t="s">
        <v>107</v>
      </c>
      <c r="E20" s="264" t="s">
        <v>117</v>
      </c>
      <c r="F20" s="184" t="s">
        <v>107</v>
      </c>
      <c r="G20" s="264" t="s">
        <v>114</v>
      </c>
      <c r="H20" s="184" t="s">
        <v>107</v>
      </c>
      <c r="I20" s="266" t="s">
        <v>116</v>
      </c>
      <c r="J20" s="24"/>
      <c r="K20" s="24"/>
      <c r="L20" s="24"/>
      <c r="M20" s="24"/>
      <c r="N20" s="24"/>
      <c r="O20" s="24"/>
      <c r="P20" s="24"/>
      <c r="Q20" s="24"/>
      <c r="R20" s="24"/>
      <c r="S20" s="24"/>
      <c r="T20" s="24"/>
      <c r="U20" s="24"/>
      <c r="V20" s="24"/>
      <c r="W20" s="24"/>
      <c r="X20" s="24"/>
    </row>
    <row r="21" spans="1:24" ht="15" thickBot="1">
      <c r="A21" s="191" t="s">
        <v>82</v>
      </c>
      <c r="B21" s="192"/>
      <c r="C21" s="187">
        <v>2024</v>
      </c>
      <c r="D21" s="187">
        <v>2023</v>
      </c>
      <c r="E21" s="265"/>
      <c r="F21" s="187">
        <v>2022</v>
      </c>
      <c r="G21" s="265"/>
      <c r="H21" s="187">
        <v>2021</v>
      </c>
      <c r="I21" s="267"/>
      <c r="J21" s="24"/>
      <c r="K21" s="24"/>
      <c r="L21" s="24"/>
      <c r="M21" s="24"/>
      <c r="N21" s="24"/>
      <c r="O21" s="24"/>
      <c r="P21" s="24"/>
      <c r="Q21" s="24"/>
      <c r="R21" s="24"/>
      <c r="S21" s="24"/>
      <c r="T21" s="24"/>
      <c r="U21" s="24"/>
      <c r="V21" s="24"/>
      <c r="W21" s="24"/>
      <c r="X21" s="24"/>
    </row>
    <row r="22" spans="1:24" ht="14.4">
      <c r="A22" s="118" t="s">
        <v>83</v>
      </c>
      <c r="B22" s="127"/>
      <c r="C22" s="131">
        <f>C13/C15</f>
        <v>1.4743892828999212</v>
      </c>
      <c r="D22" s="84">
        <f t="shared" ref="D22:H22" si="3">D13/D15</f>
        <v>1.2599843382928739</v>
      </c>
      <c r="E22" s="94">
        <f>(C22-D22)/D22</f>
        <v>0.17016476958558072</v>
      </c>
      <c r="F22" s="84">
        <f t="shared" si="3"/>
        <v>0.96636636636636641</v>
      </c>
      <c r="G22" s="94">
        <f>(D22-F22)/F22</f>
        <v>0.30383711824588877</v>
      </c>
      <c r="H22" s="84">
        <f t="shared" si="3"/>
        <v>1.0826855123674912</v>
      </c>
      <c r="I22" s="85">
        <f>(F22-H22)/H22</f>
        <v>-0.10743576474646971</v>
      </c>
      <c r="J22" s="24"/>
      <c r="K22" s="24"/>
      <c r="L22" s="24"/>
      <c r="M22" s="24"/>
      <c r="N22" s="24"/>
      <c r="O22" s="24"/>
      <c r="P22" s="24"/>
      <c r="Q22" s="24"/>
      <c r="R22" s="24"/>
      <c r="S22" s="24"/>
      <c r="T22" s="24"/>
      <c r="U22" s="24"/>
      <c r="V22" s="24"/>
      <c r="W22" s="24"/>
      <c r="X22" s="24"/>
    </row>
    <row r="23" spans="1:24" ht="14.4">
      <c r="A23" s="120" t="s">
        <v>84</v>
      </c>
      <c r="B23" s="127"/>
      <c r="C23" s="132">
        <f>(C13-C12)/C15</f>
        <v>1.4665090622537431</v>
      </c>
      <c r="D23" s="38">
        <f t="shared" ref="D23:H23" si="4">(D13-D12)/D15</f>
        <v>1.2521534847298355</v>
      </c>
      <c r="E23" s="91">
        <f t="shared" ref="E23:E44" si="5">(C23-D23)/D23</f>
        <v>0.17118953877300194</v>
      </c>
      <c r="F23" s="38">
        <f t="shared" si="4"/>
        <v>0.96036036036036032</v>
      </c>
      <c r="G23" s="91">
        <f t="shared" ref="G23:G44" si="6">(D23-F23)/F23</f>
        <v>0.30383711824588877</v>
      </c>
      <c r="H23" s="38">
        <f t="shared" si="4"/>
        <v>1.0756183745583039</v>
      </c>
      <c r="I23" s="36">
        <f t="shared" ref="I23:I44" si="7">(F23-H23)/H23</f>
        <v>-0.10715511832463216</v>
      </c>
      <c r="J23" s="24"/>
      <c r="K23" s="24"/>
      <c r="L23" s="24"/>
      <c r="M23" s="24"/>
      <c r="N23" s="24"/>
      <c r="O23" s="24"/>
      <c r="P23" s="24"/>
      <c r="Q23" s="24"/>
      <c r="R23" s="24"/>
      <c r="S23" s="24"/>
      <c r="T23" s="24"/>
      <c r="U23" s="24"/>
      <c r="V23" s="24"/>
      <c r="W23" s="24"/>
      <c r="X23" s="24"/>
    </row>
    <row r="24" spans="1:24" ht="15" thickBot="1">
      <c r="A24" s="129" t="s">
        <v>85</v>
      </c>
      <c r="B24" s="180"/>
      <c r="C24" s="133">
        <f>C13-C15</f>
        <v>602</v>
      </c>
      <c r="D24" s="100">
        <f t="shared" ref="D24:H24" si="8">D13-D15</f>
        <v>332</v>
      </c>
      <c r="E24" s="97">
        <f t="shared" si="5"/>
        <v>0.81325301204819278</v>
      </c>
      <c r="F24" s="100">
        <f t="shared" si="8"/>
        <v>-56</v>
      </c>
      <c r="G24" s="97">
        <f t="shared" si="6"/>
        <v>-6.9285714285714288</v>
      </c>
      <c r="H24" s="100">
        <f t="shared" si="8"/>
        <v>117</v>
      </c>
      <c r="I24" s="88">
        <f t="shared" si="7"/>
        <v>-1.4786324786324787</v>
      </c>
      <c r="J24" s="24"/>
      <c r="K24" s="24"/>
      <c r="L24" s="24"/>
      <c r="M24" s="24"/>
      <c r="N24" s="24"/>
      <c r="O24" s="24"/>
      <c r="P24" s="24"/>
      <c r="Q24" s="24"/>
      <c r="R24" s="24"/>
      <c r="S24" s="24"/>
      <c r="T24" s="24"/>
      <c r="U24" s="24"/>
      <c r="V24" s="24"/>
      <c r="W24" s="24"/>
      <c r="X24" s="24"/>
    </row>
    <row r="25" spans="1:24" ht="15" thickBot="1">
      <c r="A25" s="31" t="s">
        <v>86</v>
      </c>
      <c r="B25" s="181"/>
      <c r="C25" s="32"/>
      <c r="D25" s="32"/>
      <c r="E25" s="117"/>
      <c r="F25" s="32"/>
      <c r="G25" s="117"/>
      <c r="H25" s="32"/>
      <c r="I25" s="86"/>
      <c r="J25" s="24"/>
      <c r="K25" s="24"/>
      <c r="L25" s="24"/>
      <c r="M25" s="24"/>
      <c r="N25" s="24"/>
      <c r="O25" s="24"/>
      <c r="P25" s="24"/>
      <c r="Q25" s="24"/>
      <c r="R25" s="24"/>
      <c r="S25" s="24"/>
      <c r="T25" s="24"/>
      <c r="U25" s="24"/>
      <c r="V25" s="24"/>
      <c r="W25" s="24"/>
      <c r="X25" s="24"/>
    </row>
    <row r="26" spans="1:24" ht="14.4">
      <c r="A26" s="118" t="s">
        <v>87</v>
      </c>
      <c r="B26" s="177"/>
      <c r="C26" s="131">
        <f>C4/C11</f>
        <v>9.7406451612903222</v>
      </c>
      <c r="D26" s="84">
        <f t="shared" ref="D26:H26" si="9">D4/D11</f>
        <v>9.601085481682496</v>
      </c>
      <c r="E26" s="94">
        <f t="shared" si="5"/>
        <v>1.4535823045642727E-2</v>
      </c>
      <c r="F26" s="84">
        <f t="shared" si="9"/>
        <v>10.558641975308642</v>
      </c>
      <c r="G26" s="94">
        <f t="shared" si="6"/>
        <v>-9.068936098651606E-2</v>
      </c>
      <c r="H26" s="84">
        <f t="shared" si="9"/>
        <v>11.046979865771812</v>
      </c>
      <c r="I26" s="85">
        <f t="shared" si="7"/>
        <v>-4.4205556305596749E-2</v>
      </c>
      <c r="J26" s="24"/>
      <c r="K26" s="24"/>
      <c r="L26" s="24"/>
      <c r="M26" s="24"/>
      <c r="N26" s="24"/>
      <c r="O26" s="24"/>
      <c r="P26" s="24"/>
      <c r="Q26" s="24"/>
      <c r="R26" s="24"/>
      <c r="S26" s="24"/>
      <c r="T26" s="24"/>
      <c r="U26" s="24"/>
      <c r="V26" s="24"/>
      <c r="W26" s="24"/>
      <c r="X26" s="24"/>
    </row>
    <row r="27" spans="1:24" ht="14.4">
      <c r="A27" s="120" t="s">
        <v>88</v>
      </c>
      <c r="B27" s="127"/>
      <c r="C27" s="132">
        <f>C4/C12</f>
        <v>754.9</v>
      </c>
      <c r="D27" s="38">
        <f t="shared" ref="D27:H27" si="10">D4/D12</f>
        <v>707.6</v>
      </c>
      <c r="E27" s="91">
        <f t="shared" si="5"/>
        <v>6.6845675522894221E-2</v>
      </c>
      <c r="F27" s="38">
        <f t="shared" si="10"/>
        <v>684.2</v>
      </c>
      <c r="G27" s="91">
        <f t="shared" si="6"/>
        <v>3.4200526161940914E-2</v>
      </c>
      <c r="H27" s="38">
        <f t="shared" si="10"/>
        <v>658.4</v>
      </c>
      <c r="I27" s="36">
        <f t="shared" si="7"/>
        <v>3.9185905224787466E-2</v>
      </c>
      <c r="J27" s="24"/>
      <c r="K27" s="24"/>
      <c r="L27" s="24"/>
      <c r="M27" s="24"/>
      <c r="N27" s="24"/>
      <c r="O27" s="24"/>
      <c r="P27" s="24"/>
      <c r="Q27" s="24"/>
      <c r="R27" s="24"/>
      <c r="S27" s="24"/>
      <c r="T27" s="24"/>
      <c r="U27" s="24"/>
      <c r="V27" s="24"/>
      <c r="W27" s="24"/>
      <c r="X27" s="24"/>
    </row>
    <row r="28" spans="1:24" ht="15" thickBot="1">
      <c r="A28" s="129" t="s">
        <v>89</v>
      </c>
      <c r="B28" s="180"/>
      <c r="C28" s="134">
        <f>C4/C14</f>
        <v>1.1221941430057976</v>
      </c>
      <c r="D28" s="87">
        <f t="shared" ref="D28:H28" si="11">D4/D14</f>
        <v>1.1356122612742738</v>
      </c>
      <c r="E28" s="97">
        <f t="shared" si="5"/>
        <v>-1.1815756773724657E-2</v>
      </c>
      <c r="F28" s="87">
        <f t="shared" si="11"/>
        <v>1.1703729045501197</v>
      </c>
      <c r="G28" s="97">
        <f t="shared" si="6"/>
        <v>-2.9700485324553452E-2</v>
      </c>
      <c r="H28" s="87">
        <f t="shared" si="11"/>
        <v>1.1035869929601072</v>
      </c>
      <c r="I28" s="88">
        <f t="shared" si="7"/>
        <v>6.0517124627280428E-2</v>
      </c>
      <c r="J28" s="24"/>
      <c r="K28" s="24"/>
      <c r="L28" s="24"/>
      <c r="M28" s="24"/>
      <c r="N28" s="24"/>
      <c r="O28" s="24"/>
      <c r="P28" s="24"/>
      <c r="Q28" s="24"/>
      <c r="R28" s="24"/>
      <c r="S28" s="24"/>
      <c r="T28" s="24"/>
      <c r="U28" s="24"/>
      <c r="V28" s="24"/>
      <c r="W28" s="24"/>
      <c r="X28" s="24"/>
    </row>
    <row r="29" spans="1:24" ht="15" thickBot="1">
      <c r="A29" s="31" t="s">
        <v>90</v>
      </c>
      <c r="B29" s="181"/>
      <c r="C29" s="32"/>
      <c r="D29" s="32"/>
      <c r="E29" s="117"/>
      <c r="F29" s="32"/>
      <c r="G29" s="117"/>
      <c r="H29" s="32"/>
      <c r="I29" s="86"/>
      <c r="J29" s="24"/>
      <c r="K29" s="24"/>
      <c r="L29" s="24"/>
      <c r="M29" s="24"/>
      <c r="N29" s="24"/>
      <c r="O29" s="24"/>
      <c r="P29" s="24"/>
      <c r="Q29" s="24"/>
      <c r="R29" s="24"/>
      <c r="S29" s="24"/>
      <c r="T29" s="24"/>
      <c r="U29" s="24"/>
      <c r="V29" s="24"/>
      <c r="W29" s="24"/>
      <c r="X29" s="24"/>
    </row>
    <row r="30" spans="1:24" ht="14.4">
      <c r="A30" s="118" t="s">
        <v>121</v>
      </c>
      <c r="B30" s="177"/>
      <c r="C30" s="131">
        <f>C16/C18</f>
        <v>-1.4782949790794979</v>
      </c>
      <c r="D30" s="84">
        <f t="shared" ref="D30:H30" si="12">D16/D18</f>
        <v>-1.4179180453041487</v>
      </c>
      <c r="E30" s="94">
        <f t="shared" si="5"/>
        <v>4.258139881589431E-2</v>
      </c>
      <c r="F30" s="84">
        <f t="shared" si="12"/>
        <v>-1.2903334835511491</v>
      </c>
      <c r="G30" s="94">
        <f t="shared" si="6"/>
        <v>9.8877199870743421E-2</v>
      </c>
      <c r="H30" s="84">
        <f t="shared" si="12"/>
        <v>-1.3350053744177715</v>
      </c>
      <c r="I30" s="85">
        <f t="shared" si="7"/>
        <v>-3.3461955826286381E-2</v>
      </c>
      <c r="J30" s="24"/>
      <c r="K30" s="24"/>
      <c r="L30" s="24"/>
      <c r="M30" s="24"/>
      <c r="N30" s="24"/>
      <c r="O30" s="24"/>
      <c r="P30" s="24"/>
      <c r="Q30" s="24"/>
      <c r="R30" s="24"/>
      <c r="S30" s="24"/>
      <c r="T30" s="24"/>
      <c r="U30" s="24"/>
      <c r="V30" s="24"/>
      <c r="W30" s="24"/>
      <c r="X30" s="24"/>
    </row>
    <row r="31" spans="1:24" ht="15" thickBot="1">
      <c r="A31" s="129" t="s">
        <v>100</v>
      </c>
      <c r="B31" s="180"/>
      <c r="C31" s="134">
        <f>C14/C18</f>
        <v>-0.87957635983263593</v>
      </c>
      <c r="D31" s="87">
        <f t="shared" ref="D31:H31" si="13">D14/D18</f>
        <v>-0.79294986001527101</v>
      </c>
      <c r="E31" s="97">
        <f t="shared" si="5"/>
        <v>0.10924587314473658</v>
      </c>
      <c r="F31" s="87">
        <f t="shared" si="13"/>
        <v>-0.65863001351960337</v>
      </c>
      <c r="G31" s="97">
        <f t="shared" si="6"/>
        <v>0.2039382411042672</v>
      </c>
      <c r="H31" s="87">
        <f t="shared" si="13"/>
        <v>-0.71252836498268246</v>
      </c>
      <c r="I31" s="88">
        <f t="shared" si="7"/>
        <v>-7.5643797653429629E-2</v>
      </c>
      <c r="J31" s="24"/>
      <c r="K31" s="24"/>
      <c r="L31" s="24"/>
      <c r="M31" s="24"/>
      <c r="N31" s="24"/>
      <c r="O31" s="24"/>
      <c r="P31" s="24"/>
      <c r="Q31" s="24"/>
      <c r="R31" s="24"/>
      <c r="S31" s="24"/>
      <c r="T31" s="24"/>
      <c r="U31" s="24"/>
      <c r="V31" s="24"/>
      <c r="W31" s="24"/>
      <c r="X31" s="24"/>
    </row>
    <row r="32" spans="1:24" ht="15" thickBot="1">
      <c r="A32" s="31" t="s">
        <v>91</v>
      </c>
      <c r="B32" s="181"/>
      <c r="C32" s="32"/>
      <c r="D32" s="32"/>
      <c r="E32" s="117"/>
      <c r="F32" s="32"/>
      <c r="G32" s="117"/>
      <c r="H32" s="32"/>
      <c r="I32" s="86"/>
      <c r="J32" s="24"/>
      <c r="K32" s="24"/>
      <c r="L32" s="24"/>
      <c r="M32" s="24"/>
      <c r="N32" s="24"/>
      <c r="O32" s="24"/>
      <c r="P32" s="24"/>
      <c r="Q32" s="24"/>
      <c r="R32" s="24"/>
      <c r="S32" s="24"/>
      <c r="T32" s="24"/>
      <c r="U32" s="24"/>
      <c r="V32" s="24"/>
      <c r="W32" s="24"/>
      <c r="X32" s="24"/>
    </row>
    <row r="33" spans="1:24" ht="14.4">
      <c r="A33" s="118" t="s">
        <v>19</v>
      </c>
      <c r="B33" s="177"/>
      <c r="C33" s="135">
        <f>_xlfn.XLOOKUP(A33,'Y24-21'!$A$4:$A$72,'Y24-21'!B4:B72)</f>
        <v>0.1968</v>
      </c>
      <c r="D33" s="85">
        <f>_xlfn.XLOOKUP(A33,'Y24-21'!$A$4:$A$72,'Y24-21'!C4:C72)</f>
        <v>0.22570000000000001</v>
      </c>
      <c r="E33" s="94">
        <f t="shared" si="5"/>
        <v>-0.12804607886575103</v>
      </c>
      <c r="F33" s="85">
        <f>_xlfn.XLOOKUP(A33,'Y24-21'!$A$4:$A$72,'Y24-21'!D4:D72)</f>
        <v>0.19370000000000001</v>
      </c>
      <c r="G33" s="94">
        <f t="shared" si="6"/>
        <v>0.16520392359318534</v>
      </c>
      <c r="H33" s="85">
        <f>_xlfn.XLOOKUP(A33,'Y24-21'!$A$4:$A$72,'Y24-21'!E4:E72)</f>
        <v>0.2392</v>
      </c>
      <c r="I33" s="85">
        <f t="shared" si="7"/>
        <v>-0.19021739130434775</v>
      </c>
      <c r="J33" s="24"/>
      <c r="K33" s="24"/>
      <c r="L33" s="24"/>
      <c r="M33" s="24"/>
      <c r="N33" s="24"/>
      <c r="O33" s="24"/>
      <c r="P33" s="24"/>
      <c r="Q33" s="24"/>
      <c r="R33" s="24"/>
      <c r="S33" s="24"/>
      <c r="T33" s="24"/>
      <c r="U33" s="24"/>
      <c r="V33" s="24"/>
      <c r="W33" s="24"/>
      <c r="X33" s="24"/>
    </row>
    <row r="34" spans="1:24" ht="14.4">
      <c r="A34" s="120" t="s">
        <v>92</v>
      </c>
      <c r="B34" s="127"/>
      <c r="C34" s="136">
        <f>_xlfn.XLOOKUP($A$34,'Y24-21'!$A$4:$A$72,'Y24-21'!B4:B72)</f>
        <v>0.71919999999999995</v>
      </c>
      <c r="D34" s="36">
        <f>_xlfn.XLOOKUP($A$34,'Y24-21'!$A$4:$A$72,'Y24-21'!C4:C72)</f>
        <v>0.74929999999999997</v>
      </c>
      <c r="E34" s="91">
        <f t="shared" si="5"/>
        <v>-4.0170826104364094E-2</v>
      </c>
      <c r="F34" s="36">
        <f>_xlfn.XLOOKUP($A$34,'Y24-21'!$A$4:$A$72,'Y24-21'!D4:D72)</f>
        <v>0.745</v>
      </c>
      <c r="G34" s="91">
        <f t="shared" si="6"/>
        <v>5.7718120805368735E-3</v>
      </c>
      <c r="H34" s="36">
        <f>_xlfn.XLOOKUP($A$34,'Y24-21'!$A$4:$A$72,'Y24-21'!E4:E72)</f>
        <v>0.73799999999999999</v>
      </c>
      <c r="I34" s="36">
        <f t="shared" si="7"/>
        <v>9.4850948509485177E-3</v>
      </c>
      <c r="J34" s="24"/>
      <c r="K34" s="24"/>
      <c r="L34" s="24"/>
      <c r="M34" s="24"/>
      <c r="N34" s="24"/>
      <c r="O34" s="24"/>
      <c r="P34" s="24"/>
      <c r="Q34" s="24"/>
      <c r="R34" s="24"/>
      <c r="S34" s="24"/>
      <c r="T34" s="24"/>
      <c r="U34" s="24"/>
      <c r="V34" s="24"/>
      <c r="W34" s="24"/>
      <c r="X34" s="24"/>
    </row>
    <row r="35" spans="1:24" ht="14.4">
      <c r="A35" s="120" t="s">
        <v>101</v>
      </c>
      <c r="B35" s="127"/>
      <c r="C35" s="137">
        <f>C33*C28</f>
        <v>0.22084780734354095</v>
      </c>
      <c r="D35" s="35">
        <f t="shared" ref="D35:H35" si="14">D33*D28</f>
        <v>0.25630768736960363</v>
      </c>
      <c r="E35" s="91">
        <f t="shared" si="5"/>
        <v>-0.13834887431576889</v>
      </c>
      <c r="F35" s="35">
        <f t="shared" si="14"/>
        <v>0.22670123161135819</v>
      </c>
      <c r="G35" s="91">
        <f t="shared" si="6"/>
        <v>0.13059680156039391</v>
      </c>
      <c r="H35" s="35">
        <f t="shared" si="14"/>
        <v>0.26397800871605764</v>
      </c>
      <c r="I35" s="36">
        <f t="shared" si="7"/>
        <v>-0.14121167625290873</v>
      </c>
      <c r="J35" s="24"/>
      <c r="K35" s="24"/>
      <c r="L35" s="24"/>
      <c r="M35" s="24"/>
      <c r="N35" s="24"/>
      <c r="O35" s="24"/>
      <c r="P35" s="24"/>
      <c r="Q35" s="24"/>
      <c r="R35" s="24"/>
      <c r="S35" s="24"/>
      <c r="T35" s="24"/>
      <c r="U35" s="24"/>
      <c r="V35" s="24"/>
      <c r="W35" s="24"/>
      <c r="X35" s="24"/>
    </row>
    <row r="36" spans="1:24" ht="15" thickBot="1">
      <c r="A36" s="129" t="s">
        <v>102</v>
      </c>
      <c r="B36" s="180"/>
      <c r="C36" s="138">
        <f>C35*C31</f>
        <v>-0.19425251046025102</v>
      </c>
      <c r="D36" s="89">
        <f t="shared" ref="D36:H36" si="15">D35*D31</f>
        <v>-0.20323914482056504</v>
      </c>
      <c r="E36" s="97">
        <f t="shared" si="5"/>
        <v>-4.4217044744249957E-2</v>
      </c>
      <c r="F36" s="89">
        <f t="shared" si="15"/>
        <v>-0.14931223524109957</v>
      </c>
      <c r="G36" s="97">
        <f t="shared" si="6"/>
        <v>0.3611687246687309</v>
      </c>
      <c r="H36" s="89">
        <f t="shared" si="15"/>
        <v>-0.18809181894183685</v>
      </c>
      <c r="I36" s="88">
        <f t="shared" si="7"/>
        <v>-0.20617368644156178</v>
      </c>
      <c r="J36" s="24"/>
      <c r="K36" s="24"/>
      <c r="L36" s="24"/>
      <c r="M36" s="24"/>
      <c r="N36" s="24"/>
      <c r="O36" s="24"/>
      <c r="P36" s="24"/>
      <c r="Q36" s="24"/>
      <c r="R36" s="24"/>
      <c r="S36" s="24"/>
      <c r="T36" s="24"/>
      <c r="U36" s="24"/>
      <c r="V36" s="24"/>
      <c r="W36" s="24"/>
      <c r="X36" s="24"/>
    </row>
    <row r="37" spans="1:24" ht="15" thickBot="1">
      <c r="A37" s="31" t="s">
        <v>93</v>
      </c>
      <c r="B37" s="181"/>
      <c r="C37" s="32"/>
      <c r="D37" s="32"/>
      <c r="E37" s="117"/>
      <c r="F37" s="32"/>
      <c r="G37" s="117"/>
      <c r="H37" s="32"/>
      <c r="I37" s="86"/>
      <c r="J37" s="24"/>
      <c r="K37" s="24"/>
      <c r="L37" s="24"/>
      <c r="M37" s="24"/>
      <c r="N37" s="24"/>
      <c r="O37" s="24"/>
      <c r="P37" s="24"/>
      <c r="Q37" s="24"/>
      <c r="R37" s="24"/>
      <c r="S37" s="24"/>
      <c r="T37" s="24"/>
      <c r="U37" s="24"/>
      <c r="V37" s="24"/>
      <c r="W37" s="24"/>
      <c r="X37" s="24"/>
    </row>
    <row r="38" spans="1:24" ht="14.4">
      <c r="A38" s="118" t="s">
        <v>129</v>
      </c>
      <c r="B38" s="177"/>
      <c r="C38" s="139">
        <f>C9/C19</f>
        <v>5.2695035460992905</v>
      </c>
      <c r="D38" s="90">
        <f t="shared" ref="D38:H38" si="16">D9/D19</f>
        <v>5.6832740213523127</v>
      </c>
      <c r="E38" s="94">
        <f t="shared" si="5"/>
        <v>-7.2804948995678936E-2</v>
      </c>
      <c r="F38" s="90">
        <f t="shared" si="16"/>
        <v>4.6328671328671325</v>
      </c>
      <c r="G38" s="94">
        <f t="shared" si="6"/>
        <v>0.22672933592963138</v>
      </c>
      <c r="H38" s="90">
        <f t="shared" si="16"/>
        <v>5.3030303030303028</v>
      </c>
      <c r="I38" s="85">
        <f t="shared" si="7"/>
        <v>-0.1263736263736264</v>
      </c>
      <c r="J38" s="24"/>
      <c r="K38" s="24"/>
      <c r="L38" s="24"/>
      <c r="M38" s="24"/>
      <c r="N38" s="24"/>
      <c r="O38" s="24"/>
      <c r="P38" s="24"/>
      <c r="Q38" s="24"/>
      <c r="R38" s="24"/>
      <c r="S38" s="24"/>
      <c r="T38" s="24"/>
      <c r="U38" s="24"/>
      <c r="V38" s="24"/>
      <c r="W38" s="24"/>
      <c r="X38" s="24"/>
    </row>
    <row r="39" spans="1:24" ht="14.4">
      <c r="A39" s="120" t="s">
        <v>94</v>
      </c>
      <c r="B39" s="127"/>
      <c r="C39" s="132">
        <f>C3/C38</f>
        <v>25.338250336473759</v>
      </c>
      <c r="D39" s="38">
        <f t="shared" ref="D39:H39" si="17">D3/D38</f>
        <v>22.990269254852851</v>
      </c>
      <c r="E39" s="91">
        <f t="shared" si="5"/>
        <v>0.10212934244453399</v>
      </c>
      <c r="F39" s="38">
        <f t="shared" si="17"/>
        <v>27.645947169811325</v>
      </c>
      <c r="G39" s="91">
        <f t="shared" si="6"/>
        <v>-0.16840363205361097</v>
      </c>
      <c r="H39" s="38">
        <f t="shared" si="17"/>
        <v>26.096399999999999</v>
      </c>
      <c r="I39" s="36">
        <f t="shared" si="7"/>
        <v>5.9377813407647279E-2</v>
      </c>
      <c r="J39" s="24"/>
      <c r="K39" s="24"/>
      <c r="L39" s="24"/>
      <c r="M39" s="24"/>
      <c r="N39" s="24"/>
      <c r="O39" s="24"/>
      <c r="P39" s="24"/>
      <c r="Q39" s="24"/>
      <c r="R39" s="24"/>
      <c r="S39" s="24"/>
      <c r="T39" s="24"/>
      <c r="U39" s="24"/>
      <c r="V39" s="24"/>
      <c r="W39" s="24"/>
      <c r="X39" s="24"/>
    </row>
    <row r="40" spans="1:24" ht="14.4">
      <c r="A40" s="120" t="s">
        <v>95</v>
      </c>
      <c r="B40" s="127"/>
      <c r="C40" s="140">
        <f>C18/C19</f>
        <v>-27.120567375886523</v>
      </c>
      <c r="D40" s="37">
        <f t="shared" ref="D40:H40" si="18">D18/D19</f>
        <v>-27.964412811387902</v>
      </c>
      <c r="E40" s="91">
        <f t="shared" si="5"/>
        <v>-3.0175689408995603E-2</v>
      </c>
      <c r="F40" s="37">
        <f t="shared" si="18"/>
        <v>-31.034965034965033</v>
      </c>
      <c r="G40" s="91">
        <f t="shared" si="6"/>
        <v>-9.8938478587546147E-2</v>
      </c>
      <c r="H40" s="37">
        <f t="shared" si="18"/>
        <v>-28.19191919191919</v>
      </c>
      <c r="I40" s="36">
        <f t="shared" si="7"/>
        <v>0.10084612628503707</v>
      </c>
      <c r="J40" s="24"/>
      <c r="K40" s="24"/>
      <c r="L40" s="24"/>
      <c r="M40" s="24"/>
      <c r="N40" s="24"/>
      <c r="O40" s="24"/>
      <c r="P40" s="24"/>
      <c r="Q40" s="24"/>
      <c r="R40" s="24"/>
      <c r="S40" s="24"/>
      <c r="T40" s="24"/>
      <c r="U40" s="24"/>
      <c r="V40" s="24"/>
      <c r="W40" s="24"/>
      <c r="X40" s="24"/>
    </row>
    <row r="41" spans="1:24" ht="14.4">
      <c r="A41" s="130" t="s">
        <v>119</v>
      </c>
      <c r="B41" s="127"/>
      <c r="C41" s="140">
        <f>C3*C19</f>
        <v>37652.639999999999</v>
      </c>
      <c r="D41" s="37">
        <f t="shared" ref="D41:H41" si="19">D3*D19</f>
        <v>36715.46</v>
      </c>
      <c r="E41" s="91">
        <f t="shared" si="5"/>
        <v>2.5525487083642703E-2</v>
      </c>
      <c r="F41" s="37">
        <f t="shared" si="19"/>
        <v>36630.880000000005</v>
      </c>
      <c r="G41" s="91">
        <f t="shared" si="6"/>
        <v>2.3089808380250339E-3</v>
      </c>
      <c r="H41" s="37">
        <f t="shared" si="19"/>
        <v>41101.829999999994</v>
      </c>
      <c r="I41" s="36">
        <f t="shared" si="7"/>
        <v>-0.108777395069757</v>
      </c>
      <c r="J41" s="24"/>
      <c r="K41" s="24"/>
      <c r="L41" s="24"/>
      <c r="M41" s="24"/>
      <c r="N41" s="24"/>
      <c r="O41" s="24"/>
      <c r="P41" s="24"/>
      <c r="Q41" s="24"/>
      <c r="R41" s="24"/>
      <c r="S41" s="24"/>
      <c r="T41" s="24"/>
      <c r="U41" s="24"/>
      <c r="V41" s="24"/>
      <c r="W41" s="24"/>
      <c r="X41" s="24"/>
    </row>
    <row r="42" spans="1:24" ht="14.4">
      <c r="A42" s="120" t="s">
        <v>96</v>
      </c>
      <c r="B42" s="127"/>
      <c r="C42" s="140">
        <f>C10/C19</f>
        <v>2.1843971631205674</v>
      </c>
      <c r="D42" s="37">
        <f t="shared" ref="D42:H42" si="20">D10/D19</f>
        <v>1.8220640569395017</v>
      </c>
      <c r="E42" s="91">
        <f t="shared" si="5"/>
        <v>0.19885859929078023</v>
      </c>
      <c r="F42" s="37">
        <f t="shared" si="20"/>
        <v>1.2832167832167831</v>
      </c>
      <c r="G42" s="91">
        <f t="shared" si="6"/>
        <v>0.41991912884113763</v>
      </c>
      <c r="H42" s="37">
        <f t="shared" si="20"/>
        <v>1.6363636363636365</v>
      </c>
      <c r="I42" s="36">
        <f t="shared" si="7"/>
        <v>-0.21581196581196593</v>
      </c>
      <c r="J42" s="24"/>
      <c r="K42" s="24"/>
      <c r="L42" s="24"/>
      <c r="M42" s="24"/>
      <c r="N42" s="24"/>
      <c r="O42" s="24"/>
      <c r="P42" s="24"/>
      <c r="Q42" s="24"/>
      <c r="R42" s="24"/>
      <c r="S42" s="24"/>
      <c r="T42" s="24"/>
      <c r="U42" s="24"/>
      <c r="V42" s="24"/>
      <c r="W42" s="24"/>
      <c r="X42" s="24"/>
    </row>
    <row r="43" spans="1:24" ht="14.4">
      <c r="A43" s="120" t="s">
        <v>97</v>
      </c>
      <c r="B43" s="127"/>
      <c r="C43" s="140">
        <f>C4/C19</f>
        <v>26.769503546099291</v>
      </c>
      <c r="D43" s="37">
        <f t="shared" ref="D43:H43" si="21">D4/D19</f>
        <v>25.181494661921707</v>
      </c>
      <c r="E43" s="91">
        <f t="shared" si="5"/>
        <v>6.3062534829550709E-2</v>
      </c>
      <c r="F43" s="37">
        <f t="shared" si="21"/>
        <v>23.923076923076923</v>
      </c>
      <c r="G43" s="91">
        <f t="shared" si="6"/>
        <v>5.2602670755569757E-2</v>
      </c>
      <c r="H43" s="37">
        <f t="shared" si="21"/>
        <v>22.16835016835017</v>
      </c>
      <c r="I43" s="36">
        <f t="shared" si="7"/>
        <v>7.9154593887279134E-2</v>
      </c>
      <c r="J43" s="24"/>
      <c r="K43" s="24"/>
      <c r="L43" s="24"/>
      <c r="M43" s="24"/>
      <c r="N43" s="24"/>
      <c r="O43" s="24"/>
      <c r="P43" s="24"/>
      <c r="Q43" s="24"/>
      <c r="R43" s="24"/>
      <c r="S43" s="24"/>
      <c r="T43" s="24"/>
      <c r="U43" s="24"/>
      <c r="V43" s="24"/>
      <c r="W43" s="24"/>
      <c r="X43" s="24"/>
    </row>
    <row r="44" spans="1:24" ht="15" thickBot="1">
      <c r="A44" s="129" t="s">
        <v>103</v>
      </c>
      <c r="B44" s="180"/>
      <c r="C44" s="134">
        <f>C3/C40</f>
        <v>-4.9232008368200848</v>
      </c>
      <c r="D44" s="87">
        <f t="shared" ref="D44:H44" si="22">D3/D40</f>
        <v>-4.6723670145075076</v>
      </c>
      <c r="E44" s="97">
        <f t="shared" si="5"/>
        <v>5.3684528962247298E-2</v>
      </c>
      <c r="F44" s="87">
        <f t="shared" si="22"/>
        <v>-4.1269580892293831</v>
      </c>
      <c r="G44" s="97">
        <f t="shared" si="6"/>
        <v>0.13215761185012842</v>
      </c>
      <c r="H44" s="87">
        <f t="shared" si="22"/>
        <v>-4.908853457542099</v>
      </c>
      <c r="I44" s="88">
        <f t="shared" si="7"/>
        <v>-0.15928268689940012</v>
      </c>
      <c r="J44" s="24"/>
      <c r="K44" s="24"/>
      <c r="L44" s="24"/>
      <c r="M44" s="24"/>
      <c r="N44" s="24"/>
      <c r="O44" s="24"/>
      <c r="P44" s="24"/>
      <c r="Q44" s="24"/>
      <c r="R44" s="24"/>
      <c r="S44" s="24"/>
      <c r="T44" s="24"/>
      <c r="U44" s="24"/>
      <c r="V44" s="24"/>
      <c r="W44" s="24"/>
      <c r="X44" s="24"/>
    </row>
    <row r="45" spans="1:24" ht="15" thickBot="1">
      <c r="A45" s="101"/>
      <c r="B45" s="181"/>
      <c r="C45" s="102"/>
      <c r="D45" s="102"/>
      <c r="E45" s="102"/>
      <c r="F45" s="102"/>
      <c r="G45" s="102"/>
      <c r="H45" s="102"/>
      <c r="I45" s="103"/>
      <c r="J45" s="24"/>
      <c r="K45" s="24"/>
      <c r="L45" s="24"/>
      <c r="M45" s="24"/>
      <c r="N45" s="24"/>
      <c r="O45" s="24"/>
      <c r="P45" s="24"/>
      <c r="Q45" s="24"/>
      <c r="R45" s="24"/>
      <c r="S45" s="24"/>
      <c r="T45" s="24"/>
      <c r="U45" s="24"/>
      <c r="V45" s="24"/>
      <c r="W45" s="24"/>
      <c r="X45" s="24"/>
    </row>
    <row r="46" spans="1:24" ht="13.8">
      <c r="A46" s="24"/>
      <c r="B46" s="24"/>
      <c r="C46" s="24"/>
      <c r="D46" s="24"/>
      <c r="E46" s="24"/>
      <c r="F46" s="24"/>
      <c r="G46" s="24"/>
      <c r="H46" s="24"/>
      <c r="I46" s="24"/>
      <c r="J46" s="24"/>
      <c r="K46" s="24"/>
      <c r="L46" s="24"/>
      <c r="M46" s="24"/>
      <c r="N46" s="24"/>
      <c r="O46" s="24"/>
      <c r="P46" s="24"/>
      <c r="Q46" s="24"/>
      <c r="R46" s="24"/>
      <c r="S46" s="24"/>
      <c r="T46" s="24"/>
      <c r="U46" s="24"/>
      <c r="V46" s="24"/>
      <c r="W46" s="24"/>
      <c r="X46" s="24"/>
    </row>
    <row r="47" spans="1:24" ht="13.8">
      <c r="A47" s="24"/>
      <c r="B47" s="24"/>
      <c r="C47" s="24"/>
      <c r="D47" s="24"/>
      <c r="E47" s="24"/>
      <c r="F47" s="24"/>
      <c r="G47" s="24"/>
      <c r="H47" s="24"/>
      <c r="I47" s="24"/>
      <c r="J47" s="24"/>
      <c r="K47" s="24"/>
      <c r="L47" s="24"/>
      <c r="M47" s="24"/>
      <c r="N47" s="24"/>
      <c r="O47" s="24"/>
      <c r="P47" s="24"/>
      <c r="Q47" s="24"/>
      <c r="R47" s="24"/>
      <c r="S47" s="24"/>
      <c r="T47" s="24"/>
      <c r="U47" s="24"/>
      <c r="V47" s="24"/>
      <c r="W47" s="24"/>
      <c r="X47" s="24"/>
    </row>
    <row r="48" spans="1:24" ht="13.8">
      <c r="A48" s="24"/>
      <c r="B48" s="24"/>
      <c r="C48" s="24"/>
      <c r="D48" s="24"/>
      <c r="E48" s="24"/>
      <c r="F48" s="24"/>
      <c r="G48" s="24"/>
      <c r="H48" s="24"/>
      <c r="I48" s="24"/>
      <c r="J48" s="24"/>
      <c r="K48" s="24"/>
      <c r="L48" s="24"/>
      <c r="M48" s="24"/>
      <c r="N48" s="24"/>
      <c r="O48" s="24"/>
      <c r="P48" s="24"/>
      <c r="Q48" s="24"/>
      <c r="R48" s="24"/>
      <c r="S48" s="24"/>
      <c r="T48" s="24"/>
      <c r="U48" s="24"/>
      <c r="V48" s="24"/>
      <c r="W48" s="24"/>
      <c r="X48" s="24"/>
    </row>
    <row r="49" spans="1:24" ht="13.8">
      <c r="A49" s="24"/>
      <c r="B49" s="29"/>
      <c r="C49" s="24"/>
      <c r="D49" s="24"/>
      <c r="E49" s="24"/>
      <c r="F49" s="24"/>
      <c r="G49" s="24"/>
      <c r="H49" s="24"/>
      <c r="I49" s="24"/>
      <c r="J49" s="24"/>
      <c r="K49" s="24"/>
      <c r="L49" s="24"/>
      <c r="M49" s="24"/>
      <c r="N49" s="24"/>
      <c r="O49" s="24"/>
      <c r="P49" s="24"/>
      <c r="Q49" s="24"/>
      <c r="R49" s="24"/>
      <c r="S49" s="24"/>
      <c r="T49" s="24"/>
      <c r="U49" s="24"/>
      <c r="V49" s="24"/>
      <c r="W49" s="24"/>
      <c r="X49" s="24"/>
    </row>
    <row r="50" spans="1:24" ht="13.8">
      <c r="A50" s="24"/>
      <c r="B50" s="24"/>
      <c r="C50" s="24"/>
      <c r="D50" s="24"/>
      <c r="E50" s="24"/>
      <c r="F50" s="24"/>
      <c r="G50" s="24"/>
      <c r="H50" s="24"/>
      <c r="I50" s="24"/>
      <c r="J50" s="24"/>
      <c r="K50" s="24"/>
      <c r="L50" s="24"/>
      <c r="M50" s="24"/>
      <c r="N50" s="24"/>
      <c r="O50" s="24"/>
      <c r="P50" s="24"/>
      <c r="Q50" s="24"/>
      <c r="R50" s="24"/>
      <c r="S50" s="24"/>
      <c r="T50" s="24"/>
      <c r="U50" s="24"/>
      <c r="V50" s="24"/>
      <c r="W50" s="24"/>
      <c r="X50" s="24"/>
    </row>
    <row r="51" spans="1:24" ht="13.8">
      <c r="A51" s="24"/>
      <c r="B51" s="24"/>
      <c r="C51" s="24"/>
      <c r="D51" s="24"/>
      <c r="E51" s="24"/>
      <c r="F51" s="24"/>
      <c r="G51" s="24"/>
      <c r="H51" s="24"/>
      <c r="I51" s="24"/>
      <c r="J51" s="24"/>
      <c r="K51" s="24"/>
      <c r="L51" s="24"/>
      <c r="M51" s="24"/>
      <c r="N51" s="24"/>
      <c r="O51" s="24"/>
      <c r="P51" s="24"/>
      <c r="Q51" s="24"/>
      <c r="R51" s="24"/>
      <c r="S51" s="24"/>
      <c r="T51" s="24"/>
      <c r="U51" s="24"/>
      <c r="V51" s="24"/>
      <c r="W51" s="24"/>
      <c r="X51" s="24"/>
    </row>
    <row r="52" spans="1:24" ht="13.8">
      <c r="A52" s="24"/>
      <c r="B52" s="24"/>
      <c r="C52" s="24"/>
      <c r="D52" s="24"/>
      <c r="E52" s="24"/>
      <c r="F52" s="24"/>
      <c r="G52" s="24"/>
      <c r="H52" s="24"/>
      <c r="I52" s="24"/>
      <c r="J52" s="24"/>
      <c r="K52" s="24"/>
      <c r="L52" s="24"/>
      <c r="M52" s="24"/>
      <c r="N52" s="24"/>
      <c r="O52" s="24"/>
      <c r="P52" s="24"/>
      <c r="Q52" s="24"/>
      <c r="R52" s="24"/>
      <c r="S52" s="24"/>
      <c r="T52" s="24"/>
      <c r="U52" s="24"/>
      <c r="V52" s="24"/>
      <c r="W52" s="24"/>
      <c r="X52" s="24"/>
    </row>
    <row r="53" spans="1:24" ht="13.8">
      <c r="A53" s="24"/>
      <c r="B53" s="24"/>
      <c r="C53" s="24"/>
      <c r="D53" s="24"/>
      <c r="E53" s="24"/>
      <c r="F53" s="24"/>
      <c r="G53" s="24"/>
      <c r="H53" s="24"/>
      <c r="I53" s="24"/>
      <c r="J53" s="24"/>
      <c r="K53" s="24"/>
      <c r="L53" s="24"/>
      <c r="M53" s="24"/>
      <c r="N53" s="24"/>
      <c r="O53" s="24"/>
      <c r="P53" s="24"/>
      <c r="Q53" s="24"/>
      <c r="R53" s="24"/>
      <c r="S53" s="24"/>
      <c r="T53" s="24"/>
      <c r="U53" s="24"/>
      <c r="V53" s="24"/>
      <c r="W53" s="24"/>
      <c r="X53" s="24"/>
    </row>
    <row r="54" spans="1:24" ht="13.8">
      <c r="A54" s="24"/>
      <c r="B54" s="24"/>
      <c r="C54" s="24"/>
      <c r="D54" s="24"/>
      <c r="E54" s="24"/>
      <c r="F54" s="24"/>
      <c r="G54" s="24"/>
      <c r="H54" s="24"/>
      <c r="I54" s="24"/>
      <c r="J54" s="24"/>
      <c r="K54" s="24"/>
      <c r="L54" s="24"/>
      <c r="M54" s="24"/>
      <c r="N54" s="24"/>
      <c r="O54" s="24"/>
      <c r="P54" s="24"/>
      <c r="Q54" s="24"/>
      <c r="R54" s="24"/>
      <c r="S54" s="24"/>
      <c r="T54" s="24"/>
      <c r="U54" s="24"/>
      <c r="V54" s="24"/>
      <c r="W54" s="24"/>
      <c r="X54" s="24"/>
    </row>
    <row r="55" spans="1:24" ht="13.8">
      <c r="A55" s="24"/>
      <c r="B55" s="24"/>
      <c r="C55" s="24"/>
      <c r="D55" s="24"/>
      <c r="E55" s="24"/>
      <c r="F55" s="24"/>
      <c r="G55" s="24"/>
      <c r="H55" s="24"/>
      <c r="I55" s="24"/>
      <c r="J55" s="24"/>
      <c r="K55" s="24"/>
      <c r="L55" s="24"/>
      <c r="M55" s="24"/>
      <c r="N55" s="24"/>
      <c r="O55" s="24"/>
      <c r="P55" s="24"/>
      <c r="Q55" s="24"/>
      <c r="R55" s="24"/>
      <c r="S55" s="24"/>
      <c r="T55" s="24"/>
      <c r="U55" s="24"/>
      <c r="V55" s="24"/>
      <c r="W55" s="24"/>
      <c r="X55" s="24"/>
    </row>
    <row r="56" spans="1:24" ht="13.8">
      <c r="A56" s="24"/>
      <c r="B56" s="24"/>
      <c r="C56" s="24"/>
      <c r="D56" s="24"/>
      <c r="E56" s="24"/>
      <c r="F56" s="24"/>
      <c r="G56" s="24"/>
      <c r="H56" s="24"/>
      <c r="I56" s="24"/>
      <c r="J56" s="24"/>
      <c r="K56" s="24"/>
      <c r="L56" s="24"/>
      <c r="M56" s="24"/>
      <c r="N56" s="24"/>
      <c r="O56" s="24"/>
      <c r="P56" s="24"/>
      <c r="Q56" s="24"/>
      <c r="R56" s="24"/>
      <c r="S56" s="24"/>
      <c r="T56" s="24"/>
      <c r="U56" s="24"/>
      <c r="V56" s="24"/>
      <c r="W56" s="24"/>
      <c r="X56" s="24"/>
    </row>
    <row r="57" spans="1:24" ht="13.8">
      <c r="A57" s="24"/>
      <c r="B57" s="24"/>
      <c r="C57" s="24"/>
      <c r="D57" s="24"/>
      <c r="E57" s="24"/>
      <c r="F57" s="24"/>
      <c r="G57" s="24"/>
      <c r="H57" s="24"/>
      <c r="I57" s="24"/>
      <c r="J57" s="24"/>
      <c r="K57" s="24"/>
      <c r="L57" s="24"/>
      <c r="M57" s="24"/>
      <c r="N57" s="24"/>
      <c r="O57" s="24"/>
      <c r="P57" s="24"/>
      <c r="Q57" s="24"/>
      <c r="R57" s="24"/>
      <c r="S57" s="24"/>
      <c r="T57" s="24"/>
      <c r="U57" s="24"/>
      <c r="V57" s="24"/>
      <c r="W57" s="24"/>
      <c r="X57" s="24"/>
    </row>
    <row r="58" spans="1:24" ht="13.8">
      <c r="A58" s="24"/>
      <c r="B58" s="24"/>
      <c r="C58" s="24"/>
      <c r="D58" s="24"/>
      <c r="E58" s="24"/>
      <c r="F58" s="24"/>
      <c r="G58" s="24"/>
      <c r="H58" s="24"/>
      <c r="I58" s="24"/>
      <c r="J58" s="24"/>
      <c r="K58" s="24"/>
      <c r="L58" s="24"/>
      <c r="M58" s="24"/>
      <c r="N58" s="24"/>
      <c r="O58" s="24"/>
      <c r="P58" s="24"/>
      <c r="Q58" s="24"/>
      <c r="R58" s="24"/>
      <c r="S58" s="24"/>
      <c r="T58" s="24"/>
      <c r="U58" s="24"/>
      <c r="V58" s="24"/>
      <c r="W58" s="24"/>
      <c r="X58" s="24"/>
    </row>
    <row r="59" spans="1:24" ht="13.8">
      <c r="A59" s="24"/>
      <c r="B59" s="24"/>
      <c r="C59" s="24"/>
      <c r="D59" s="24"/>
      <c r="E59" s="24"/>
      <c r="F59" s="24"/>
      <c r="G59" s="24"/>
      <c r="H59" s="24"/>
      <c r="I59" s="24"/>
      <c r="J59" s="24"/>
      <c r="K59" s="24"/>
      <c r="L59" s="24"/>
      <c r="M59" s="24"/>
      <c r="N59" s="24"/>
      <c r="O59" s="24"/>
      <c r="P59" s="24"/>
      <c r="Q59" s="24"/>
      <c r="R59" s="24"/>
      <c r="S59" s="24"/>
      <c r="T59" s="24"/>
      <c r="U59" s="24"/>
      <c r="V59" s="24"/>
      <c r="W59" s="24"/>
      <c r="X59" s="24"/>
    </row>
    <row r="60" spans="1:24" ht="13.8">
      <c r="A60" s="24"/>
      <c r="B60" s="24"/>
      <c r="C60" s="24"/>
      <c r="D60" s="24"/>
      <c r="E60" s="24"/>
      <c r="F60" s="24"/>
      <c r="G60" s="24"/>
      <c r="H60" s="24"/>
      <c r="I60" s="24"/>
      <c r="J60" s="24"/>
      <c r="K60" s="24"/>
      <c r="L60" s="24"/>
      <c r="M60" s="24"/>
      <c r="N60" s="24"/>
      <c r="O60" s="24"/>
      <c r="P60" s="24"/>
      <c r="Q60" s="24"/>
      <c r="R60" s="24"/>
      <c r="S60" s="24"/>
      <c r="T60" s="24"/>
      <c r="U60" s="24"/>
      <c r="V60" s="24"/>
      <c r="W60" s="24"/>
      <c r="X60" s="24"/>
    </row>
    <row r="61" spans="1:24" ht="13.8">
      <c r="A61" s="24"/>
      <c r="B61" s="24"/>
      <c r="C61" s="24"/>
      <c r="D61" s="24"/>
      <c r="E61" s="24"/>
      <c r="F61" s="24"/>
      <c r="G61" s="24"/>
      <c r="H61" s="24"/>
      <c r="I61" s="24"/>
      <c r="J61" s="24"/>
      <c r="K61" s="24"/>
      <c r="L61" s="24"/>
      <c r="M61" s="24"/>
      <c r="N61" s="24"/>
      <c r="O61" s="24"/>
      <c r="P61" s="24"/>
      <c r="Q61" s="24"/>
      <c r="R61" s="24"/>
      <c r="S61" s="24"/>
      <c r="T61" s="24"/>
      <c r="U61" s="24"/>
      <c r="V61" s="24"/>
      <c r="W61" s="24"/>
      <c r="X61" s="24"/>
    </row>
    <row r="62" spans="1:24" ht="13.8">
      <c r="A62" s="24"/>
      <c r="B62" s="24"/>
      <c r="C62" s="24"/>
      <c r="D62" s="24"/>
      <c r="E62" s="24"/>
      <c r="F62" s="24"/>
      <c r="G62" s="24"/>
      <c r="H62" s="24"/>
      <c r="I62" s="24"/>
      <c r="J62" s="24"/>
      <c r="K62" s="24"/>
      <c r="L62" s="24"/>
      <c r="M62" s="24"/>
      <c r="N62" s="24"/>
      <c r="O62" s="24"/>
      <c r="P62" s="24"/>
      <c r="Q62" s="24"/>
      <c r="R62" s="24"/>
      <c r="S62" s="24"/>
      <c r="T62" s="24"/>
      <c r="U62" s="24"/>
      <c r="V62" s="24"/>
      <c r="W62" s="24"/>
      <c r="X62" s="24"/>
    </row>
    <row r="63" spans="1:24" ht="13.8">
      <c r="A63" s="24"/>
      <c r="B63" s="24"/>
      <c r="C63" s="24"/>
      <c r="D63" s="24"/>
      <c r="E63" s="24"/>
      <c r="F63" s="24"/>
      <c r="G63" s="24"/>
      <c r="H63" s="24"/>
      <c r="I63" s="24"/>
      <c r="J63" s="24"/>
      <c r="K63" s="24"/>
      <c r="L63" s="24"/>
      <c r="M63" s="24"/>
      <c r="N63" s="24"/>
      <c r="O63" s="24"/>
      <c r="P63" s="24"/>
      <c r="Q63" s="24"/>
      <c r="R63" s="24"/>
      <c r="S63" s="24"/>
      <c r="T63" s="24"/>
      <c r="U63" s="24"/>
      <c r="V63" s="24"/>
      <c r="W63" s="24"/>
      <c r="X63" s="24"/>
    </row>
    <row r="64" spans="1:24" ht="13.8">
      <c r="A64" s="24"/>
      <c r="B64" s="24"/>
      <c r="C64" s="24"/>
      <c r="D64" s="24"/>
      <c r="E64" s="24"/>
      <c r="F64" s="24"/>
      <c r="G64" s="24"/>
      <c r="H64" s="24"/>
      <c r="I64" s="24"/>
      <c r="J64" s="24"/>
      <c r="K64" s="24"/>
      <c r="L64" s="24"/>
      <c r="M64" s="24"/>
      <c r="N64" s="24"/>
      <c r="O64" s="24"/>
      <c r="P64" s="24"/>
      <c r="Q64" s="24"/>
      <c r="R64" s="24"/>
      <c r="S64" s="24"/>
      <c r="T64" s="24"/>
      <c r="U64" s="24"/>
      <c r="V64" s="24"/>
      <c r="W64" s="24"/>
      <c r="X64" s="24"/>
    </row>
    <row r="65" spans="1:24" ht="13.8">
      <c r="A65" s="24"/>
      <c r="B65" s="24"/>
      <c r="C65" s="24"/>
      <c r="D65" s="24"/>
      <c r="E65" s="24"/>
      <c r="F65" s="24"/>
      <c r="G65" s="24"/>
      <c r="H65" s="24"/>
      <c r="I65" s="24"/>
      <c r="J65" s="24"/>
      <c r="K65" s="24"/>
      <c r="L65" s="24"/>
      <c r="M65" s="24"/>
      <c r="N65" s="24"/>
      <c r="O65" s="24"/>
      <c r="P65" s="24"/>
      <c r="Q65" s="24"/>
      <c r="R65" s="24"/>
      <c r="S65" s="24"/>
      <c r="T65" s="24"/>
      <c r="U65" s="24"/>
      <c r="V65" s="24"/>
      <c r="W65" s="24"/>
      <c r="X65" s="24"/>
    </row>
    <row r="66" spans="1:24" ht="13.8">
      <c r="A66" s="24"/>
      <c r="B66" s="24"/>
      <c r="C66" s="24"/>
      <c r="D66" s="24"/>
      <c r="E66" s="24"/>
      <c r="F66" s="24"/>
      <c r="G66" s="24"/>
      <c r="H66" s="24"/>
      <c r="I66" s="24"/>
      <c r="J66" s="24"/>
      <c r="K66" s="24"/>
      <c r="L66" s="24"/>
      <c r="M66" s="24"/>
      <c r="N66" s="24"/>
      <c r="O66" s="24"/>
      <c r="P66" s="24"/>
      <c r="Q66" s="24"/>
      <c r="R66" s="24"/>
      <c r="S66" s="24"/>
      <c r="T66" s="24"/>
      <c r="U66" s="24"/>
      <c r="V66" s="24"/>
      <c r="W66" s="24"/>
      <c r="X66" s="24"/>
    </row>
    <row r="67" spans="1:24" ht="13.8">
      <c r="A67" s="24"/>
      <c r="B67" s="24"/>
      <c r="C67" s="24"/>
      <c r="D67" s="24"/>
      <c r="E67" s="24"/>
      <c r="F67" s="24"/>
      <c r="G67" s="24"/>
      <c r="H67" s="24"/>
      <c r="I67" s="24"/>
      <c r="J67" s="24"/>
      <c r="K67" s="24"/>
      <c r="L67" s="24"/>
      <c r="M67" s="24"/>
      <c r="N67" s="24"/>
      <c r="O67" s="24"/>
      <c r="P67" s="24"/>
      <c r="Q67" s="24"/>
      <c r="R67" s="24"/>
      <c r="S67" s="24"/>
      <c r="T67" s="24"/>
      <c r="U67" s="24"/>
      <c r="V67" s="24"/>
      <c r="W67" s="24"/>
      <c r="X67" s="24"/>
    </row>
    <row r="68" spans="1:24" ht="13.8">
      <c r="A68" s="24"/>
      <c r="B68" s="24"/>
      <c r="C68" s="24"/>
      <c r="D68" s="24"/>
      <c r="E68" s="24"/>
      <c r="F68" s="24"/>
      <c r="G68" s="24"/>
      <c r="H68" s="24"/>
      <c r="I68" s="24"/>
      <c r="J68" s="24"/>
      <c r="K68" s="24"/>
      <c r="L68" s="24"/>
      <c r="M68" s="24"/>
      <c r="N68" s="24"/>
      <c r="O68" s="24"/>
      <c r="P68" s="24"/>
      <c r="Q68" s="24"/>
      <c r="R68" s="24"/>
      <c r="S68" s="24"/>
      <c r="T68" s="24"/>
      <c r="U68" s="24"/>
      <c r="V68" s="24"/>
      <c r="W68" s="24"/>
      <c r="X68" s="24"/>
    </row>
    <row r="69" spans="1:24" ht="13.8">
      <c r="A69" s="24"/>
      <c r="B69" s="24"/>
      <c r="C69" s="24"/>
      <c r="D69" s="24"/>
      <c r="E69" s="24"/>
      <c r="F69" s="24"/>
      <c r="G69" s="24"/>
      <c r="H69" s="24"/>
      <c r="I69" s="24"/>
      <c r="J69" s="24"/>
      <c r="K69" s="24"/>
      <c r="L69" s="24"/>
      <c r="M69" s="24"/>
      <c r="N69" s="24"/>
      <c r="O69" s="24"/>
      <c r="P69" s="24"/>
      <c r="Q69" s="24"/>
      <c r="R69" s="24"/>
      <c r="S69" s="24"/>
      <c r="T69" s="24"/>
      <c r="U69" s="24"/>
      <c r="V69" s="24"/>
      <c r="W69" s="24"/>
      <c r="X69" s="24"/>
    </row>
    <row r="70" spans="1:24" ht="13.8">
      <c r="A70" s="24"/>
      <c r="B70" s="24"/>
      <c r="C70" s="24"/>
      <c r="D70" s="24"/>
      <c r="E70" s="24"/>
      <c r="F70" s="24"/>
      <c r="G70" s="24"/>
      <c r="H70" s="24"/>
      <c r="I70" s="24"/>
      <c r="J70" s="24"/>
      <c r="K70" s="24"/>
      <c r="L70" s="24"/>
      <c r="M70" s="24"/>
      <c r="N70" s="24"/>
      <c r="O70" s="24"/>
      <c r="P70" s="24"/>
      <c r="Q70" s="24"/>
      <c r="R70" s="24"/>
      <c r="S70" s="24"/>
      <c r="T70" s="24"/>
      <c r="U70" s="24"/>
      <c r="V70" s="24"/>
      <c r="W70" s="24"/>
      <c r="X70" s="24"/>
    </row>
    <row r="71" spans="1:24" ht="13.8">
      <c r="A71" s="24"/>
      <c r="B71" s="24"/>
      <c r="C71" s="24"/>
      <c r="D71" s="24"/>
      <c r="E71" s="24"/>
      <c r="F71" s="24"/>
      <c r="G71" s="24"/>
      <c r="H71" s="24"/>
      <c r="I71" s="24"/>
      <c r="J71" s="24"/>
      <c r="K71" s="24"/>
      <c r="L71" s="24"/>
      <c r="M71" s="24"/>
      <c r="N71" s="24"/>
      <c r="O71" s="24"/>
      <c r="P71" s="24"/>
      <c r="Q71" s="24"/>
      <c r="R71" s="24"/>
      <c r="S71" s="24"/>
      <c r="T71" s="24"/>
      <c r="U71" s="24"/>
      <c r="V71" s="24"/>
      <c r="W71" s="24"/>
      <c r="X71" s="24"/>
    </row>
    <row r="72" spans="1:24" ht="13.8">
      <c r="A72" s="24"/>
      <c r="B72" s="24"/>
      <c r="C72" s="24"/>
      <c r="D72" s="24"/>
      <c r="E72" s="24"/>
      <c r="F72" s="24"/>
      <c r="G72" s="24"/>
      <c r="H72" s="24"/>
      <c r="I72" s="24"/>
      <c r="J72" s="24"/>
      <c r="K72" s="24"/>
      <c r="L72" s="24"/>
      <c r="M72" s="24"/>
      <c r="N72" s="24"/>
      <c r="O72" s="24"/>
      <c r="P72" s="24"/>
      <c r="Q72" s="24"/>
      <c r="R72" s="24"/>
      <c r="S72" s="24"/>
      <c r="T72" s="24"/>
      <c r="U72" s="24"/>
      <c r="V72" s="24"/>
      <c r="W72" s="24"/>
      <c r="X72" s="24"/>
    </row>
    <row r="73" spans="1:24" ht="13.8">
      <c r="A73" s="24"/>
      <c r="B73" s="24"/>
      <c r="C73" s="24"/>
      <c r="D73" s="24"/>
      <c r="E73" s="24"/>
      <c r="F73" s="24"/>
      <c r="G73" s="24"/>
      <c r="H73" s="24"/>
      <c r="I73" s="24"/>
      <c r="J73" s="24"/>
      <c r="K73" s="24"/>
      <c r="L73" s="24"/>
      <c r="M73" s="24"/>
      <c r="N73" s="24"/>
      <c r="O73" s="24"/>
      <c r="P73" s="24"/>
      <c r="Q73" s="24"/>
      <c r="R73" s="24"/>
      <c r="S73" s="24"/>
      <c r="T73" s="24"/>
      <c r="U73" s="24"/>
      <c r="V73" s="24"/>
      <c r="W73" s="24"/>
      <c r="X73" s="24"/>
    </row>
    <row r="74" spans="1:24" ht="13.8">
      <c r="A74" s="24"/>
      <c r="B74" s="24"/>
      <c r="C74" s="24"/>
      <c r="D74" s="24"/>
      <c r="E74" s="24"/>
      <c r="F74" s="24"/>
      <c r="G74" s="24"/>
      <c r="H74" s="24"/>
      <c r="I74" s="24"/>
      <c r="J74" s="24"/>
      <c r="K74" s="24"/>
      <c r="L74" s="24"/>
      <c r="M74" s="24"/>
      <c r="N74" s="24"/>
      <c r="O74" s="24"/>
      <c r="P74" s="24"/>
      <c r="Q74" s="24"/>
      <c r="R74" s="24"/>
      <c r="S74" s="24"/>
      <c r="T74" s="24"/>
      <c r="U74" s="24"/>
      <c r="V74" s="24"/>
      <c r="W74" s="24"/>
      <c r="X74" s="24"/>
    </row>
    <row r="75" spans="1:24" ht="13.8">
      <c r="A75" s="24"/>
      <c r="B75" s="24"/>
      <c r="C75" s="24"/>
      <c r="D75" s="24"/>
      <c r="E75" s="24"/>
      <c r="F75" s="24"/>
      <c r="G75" s="24"/>
      <c r="H75" s="24"/>
      <c r="I75" s="24"/>
      <c r="J75" s="24"/>
      <c r="K75" s="24"/>
      <c r="L75" s="24"/>
      <c r="M75" s="24"/>
      <c r="N75" s="24"/>
      <c r="O75" s="24"/>
      <c r="P75" s="24"/>
      <c r="Q75" s="24"/>
      <c r="R75" s="24"/>
      <c r="S75" s="24"/>
      <c r="T75" s="24"/>
      <c r="U75" s="24"/>
      <c r="V75" s="24"/>
      <c r="W75" s="24"/>
      <c r="X75" s="24"/>
    </row>
    <row r="76" spans="1:24" ht="13.8">
      <c r="A76" s="24"/>
      <c r="B76" s="24"/>
      <c r="C76" s="24"/>
      <c r="D76" s="24"/>
      <c r="E76" s="24"/>
      <c r="F76" s="24"/>
      <c r="G76" s="24"/>
      <c r="H76" s="24"/>
      <c r="I76" s="24"/>
      <c r="J76" s="24"/>
      <c r="K76" s="24"/>
      <c r="L76" s="24"/>
      <c r="M76" s="24"/>
      <c r="N76" s="24"/>
      <c r="O76" s="24"/>
      <c r="P76" s="24"/>
      <c r="Q76" s="24"/>
      <c r="R76" s="24"/>
      <c r="S76" s="24"/>
      <c r="T76" s="24"/>
      <c r="U76" s="24"/>
      <c r="V76" s="24"/>
      <c r="W76" s="24"/>
      <c r="X76" s="24"/>
    </row>
    <row r="77" spans="1:24" ht="13.8">
      <c r="A77" s="24"/>
      <c r="B77" s="24"/>
      <c r="C77" s="24"/>
      <c r="D77" s="24"/>
      <c r="E77" s="24"/>
      <c r="F77" s="24"/>
      <c r="G77" s="24"/>
      <c r="H77" s="24"/>
      <c r="I77" s="24"/>
      <c r="J77" s="24"/>
      <c r="K77" s="24"/>
      <c r="L77" s="24"/>
      <c r="M77" s="24"/>
      <c r="N77" s="24"/>
      <c r="O77" s="24"/>
      <c r="P77" s="24"/>
      <c r="Q77" s="24"/>
      <c r="R77" s="24"/>
      <c r="S77" s="24"/>
      <c r="T77" s="24"/>
      <c r="U77" s="24"/>
      <c r="V77" s="24"/>
      <c r="W77" s="24"/>
      <c r="X77" s="24"/>
    </row>
    <row r="78" spans="1:24" ht="13.8">
      <c r="A78" s="24"/>
      <c r="B78" s="24"/>
      <c r="C78" s="24"/>
      <c r="D78" s="24"/>
      <c r="E78" s="24"/>
      <c r="F78" s="24"/>
      <c r="G78" s="24"/>
      <c r="H78" s="24"/>
      <c r="I78" s="24"/>
      <c r="J78" s="24"/>
      <c r="K78" s="24"/>
      <c r="L78" s="24"/>
      <c r="M78" s="24"/>
      <c r="N78" s="24"/>
      <c r="O78" s="24"/>
      <c r="P78" s="24"/>
      <c r="Q78" s="24"/>
      <c r="R78" s="24"/>
      <c r="S78" s="24"/>
      <c r="T78" s="24"/>
      <c r="U78" s="24"/>
      <c r="V78" s="24"/>
      <c r="W78" s="24"/>
      <c r="X78" s="24"/>
    </row>
    <row r="79" spans="1:24" ht="13.8">
      <c r="A79" s="24"/>
      <c r="B79" s="24"/>
      <c r="C79" s="24"/>
      <c r="D79" s="24"/>
      <c r="E79" s="24"/>
      <c r="F79" s="24"/>
      <c r="G79" s="24"/>
      <c r="H79" s="24"/>
      <c r="I79" s="24"/>
      <c r="J79" s="24"/>
      <c r="K79" s="24"/>
      <c r="L79" s="24"/>
      <c r="M79" s="24"/>
      <c r="N79" s="24"/>
      <c r="O79" s="24"/>
      <c r="P79" s="24"/>
      <c r="Q79" s="24"/>
      <c r="R79" s="24"/>
      <c r="S79" s="24"/>
      <c r="T79" s="24"/>
      <c r="U79" s="24"/>
      <c r="V79" s="24"/>
      <c r="W79" s="24"/>
      <c r="X79" s="24"/>
    </row>
    <row r="80" spans="1:24" ht="13.8">
      <c r="A80" s="24"/>
      <c r="B80" s="24"/>
      <c r="C80" s="24"/>
      <c r="D80" s="24"/>
      <c r="E80" s="24"/>
      <c r="F80" s="24"/>
      <c r="G80" s="24"/>
      <c r="H80" s="24"/>
      <c r="I80" s="24"/>
      <c r="J80" s="24"/>
      <c r="K80" s="24"/>
      <c r="L80" s="24"/>
      <c r="M80" s="24"/>
      <c r="N80" s="24"/>
      <c r="O80" s="24"/>
      <c r="P80" s="24"/>
      <c r="Q80" s="24"/>
      <c r="R80" s="24"/>
      <c r="S80" s="24"/>
      <c r="T80" s="24"/>
      <c r="U80" s="24"/>
      <c r="V80" s="24"/>
      <c r="W80" s="24"/>
      <c r="X80" s="24"/>
    </row>
    <row r="81" spans="1:24" ht="13.8">
      <c r="A81" s="24"/>
      <c r="B81" s="24"/>
      <c r="C81" s="24"/>
      <c r="D81" s="24"/>
      <c r="E81" s="24"/>
      <c r="F81" s="24"/>
      <c r="G81" s="24"/>
      <c r="H81" s="24"/>
      <c r="I81" s="24"/>
      <c r="J81" s="24"/>
      <c r="K81" s="24"/>
      <c r="L81" s="24"/>
      <c r="M81" s="24"/>
      <c r="N81" s="24"/>
      <c r="O81" s="24"/>
      <c r="P81" s="24"/>
      <c r="Q81" s="24"/>
      <c r="R81" s="24"/>
      <c r="S81" s="24"/>
      <c r="T81" s="24"/>
      <c r="U81" s="24"/>
      <c r="V81" s="24"/>
      <c r="W81" s="24"/>
      <c r="X81" s="24"/>
    </row>
    <row r="82" spans="1:24" ht="13.8">
      <c r="A82" s="24"/>
      <c r="B82" s="24"/>
      <c r="C82" s="24"/>
      <c r="D82" s="24"/>
      <c r="E82" s="24"/>
      <c r="F82" s="24"/>
      <c r="G82" s="24"/>
      <c r="H82" s="24"/>
      <c r="I82" s="24"/>
      <c r="J82" s="24"/>
      <c r="K82" s="24"/>
      <c r="L82" s="24"/>
      <c r="M82" s="24"/>
      <c r="N82" s="24"/>
      <c r="O82" s="24"/>
      <c r="P82" s="24"/>
      <c r="Q82" s="24"/>
      <c r="R82" s="24"/>
      <c r="S82" s="24"/>
      <c r="T82" s="24"/>
      <c r="U82" s="24"/>
      <c r="V82" s="24"/>
      <c r="W82" s="24"/>
      <c r="X82" s="24"/>
    </row>
    <row r="83" spans="1:24" ht="13.8">
      <c r="A83" s="24"/>
      <c r="B83" s="24"/>
      <c r="C83" s="24"/>
      <c r="D83" s="24"/>
      <c r="E83" s="24"/>
      <c r="F83" s="24"/>
      <c r="G83" s="24"/>
      <c r="H83" s="24"/>
      <c r="I83" s="24"/>
      <c r="J83" s="24"/>
      <c r="K83" s="24"/>
      <c r="L83" s="24"/>
      <c r="M83" s="24"/>
      <c r="N83" s="24"/>
      <c r="O83" s="24"/>
      <c r="P83" s="24"/>
      <c r="Q83" s="24"/>
      <c r="R83" s="24"/>
      <c r="S83" s="24"/>
      <c r="T83" s="24"/>
      <c r="U83" s="24"/>
      <c r="V83" s="24"/>
      <c r="W83" s="24"/>
      <c r="X83" s="24"/>
    </row>
    <row r="84" spans="1:24" ht="13.8">
      <c r="A84" s="24"/>
      <c r="B84" s="24"/>
      <c r="C84" s="24"/>
      <c r="D84" s="24"/>
      <c r="E84" s="24"/>
      <c r="F84" s="24"/>
      <c r="G84" s="24"/>
      <c r="H84" s="24"/>
      <c r="I84" s="24"/>
      <c r="J84" s="24"/>
      <c r="K84" s="24"/>
      <c r="L84" s="24"/>
      <c r="M84" s="24"/>
      <c r="N84" s="24"/>
      <c r="O84" s="24"/>
      <c r="P84" s="24"/>
      <c r="Q84" s="24"/>
      <c r="R84" s="24"/>
      <c r="S84" s="24"/>
      <c r="T84" s="24"/>
      <c r="U84" s="24"/>
      <c r="V84" s="24"/>
      <c r="W84" s="24"/>
      <c r="X84" s="24"/>
    </row>
    <row r="85" spans="1:24" ht="13.8">
      <c r="A85" s="24"/>
      <c r="B85" s="24"/>
      <c r="C85" s="24"/>
      <c r="D85" s="24"/>
      <c r="E85" s="24"/>
      <c r="F85" s="24"/>
      <c r="G85" s="24"/>
      <c r="H85" s="24"/>
      <c r="I85" s="24"/>
      <c r="J85" s="24"/>
      <c r="K85" s="24"/>
      <c r="L85" s="24"/>
      <c r="M85" s="24"/>
      <c r="N85" s="24"/>
      <c r="O85" s="24"/>
      <c r="P85" s="24"/>
      <c r="Q85" s="24"/>
      <c r="R85" s="24"/>
      <c r="S85" s="24"/>
      <c r="T85" s="24"/>
      <c r="U85" s="24"/>
      <c r="V85" s="24"/>
      <c r="W85" s="24"/>
      <c r="X85" s="24"/>
    </row>
    <row r="86" spans="1:24" ht="13.8">
      <c r="A86" s="24"/>
      <c r="B86" s="24"/>
      <c r="C86" s="24"/>
      <c r="D86" s="24"/>
      <c r="E86" s="24"/>
      <c r="F86" s="24"/>
      <c r="G86" s="24"/>
      <c r="H86" s="24"/>
      <c r="I86" s="24"/>
      <c r="J86" s="24"/>
      <c r="K86" s="24"/>
      <c r="L86" s="24"/>
      <c r="M86" s="24"/>
      <c r="N86" s="24"/>
      <c r="O86" s="24"/>
      <c r="P86" s="24"/>
      <c r="Q86" s="24"/>
      <c r="R86" s="24"/>
      <c r="S86" s="24"/>
      <c r="T86" s="24"/>
      <c r="U86" s="24"/>
      <c r="V86" s="24"/>
      <c r="W86" s="24"/>
      <c r="X86" s="24"/>
    </row>
    <row r="87" spans="1:24" ht="13.8">
      <c r="A87" s="24"/>
      <c r="B87" s="24"/>
      <c r="C87" s="24"/>
      <c r="D87" s="24"/>
      <c r="E87" s="24"/>
      <c r="F87" s="24"/>
      <c r="G87" s="24"/>
      <c r="H87" s="24"/>
      <c r="I87" s="24"/>
      <c r="J87" s="24"/>
      <c r="K87" s="24"/>
      <c r="L87" s="24"/>
      <c r="M87" s="24"/>
      <c r="N87" s="24"/>
      <c r="O87" s="24"/>
      <c r="P87" s="24"/>
      <c r="Q87" s="24"/>
      <c r="R87" s="24"/>
      <c r="S87" s="24"/>
      <c r="T87" s="24"/>
      <c r="U87" s="24"/>
      <c r="V87" s="24"/>
      <c r="W87" s="24"/>
      <c r="X87" s="24"/>
    </row>
    <row r="88" spans="1:24" ht="13.8">
      <c r="A88" s="24"/>
      <c r="B88" s="24"/>
      <c r="C88" s="24"/>
      <c r="D88" s="24"/>
      <c r="E88" s="24"/>
      <c r="F88" s="24"/>
      <c r="G88" s="24"/>
      <c r="H88" s="24"/>
      <c r="I88" s="24"/>
      <c r="J88" s="24"/>
      <c r="K88" s="24"/>
      <c r="L88" s="24"/>
      <c r="M88" s="24"/>
      <c r="N88" s="24"/>
      <c r="O88" s="24"/>
      <c r="P88" s="24"/>
      <c r="Q88" s="24"/>
      <c r="R88" s="24"/>
      <c r="S88" s="24"/>
      <c r="T88" s="24"/>
      <c r="U88" s="24"/>
      <c r="V88" s="24"/>
      <c r="W88" s="24"/>
      <c r="X88" s="24"/>
    </row>
    <row r="89" spans="1:24" ht="13.8">
      <c r="A89" s="24"/>
      <c r="B89" s="24"/>
      <c r="C89" s="24"/>
      <c r="D89" s="24"/>
      <c r="E89" s="24"/>
      <c r="F89" s="24"/>
      <c r="G89" s="24"/>
      <c r="H89" s="24"/>
      <c r="I89" s="24"/>
      <c r="J89" s="24"/>
      <c r="K89" s="24"/>
      <c r="L89" s="24"/>
      <c r="M89" s="24"/>
      <c r="N89" s="24"/>
      <c r="O89" s="24"/>
      <c r="P89" s="24"/>
      <c r="Q89" s="24"/>
      <c r="R89" s="24"/>
      <c r="S89" s="24"/>
      <c r="T89" s="24"/>
      <c r="U89" s="24"/>
      <c r="V89" s="24"/>
      <c r="W89" s="24"/>
      <c r="X89" s="24"/>
    </row>
    <row r="90" spans="1:24" ht="13.8">
      <c r="A90" s="24"/>
      <c r="B90" s="24"/>
      <c r="C90" s="24"/>
      <c r="D90" s="24"/>
      <c r="E90" s="24"/>
      <c r="F90" s="24"/>
      <c r="G90" s="24"/>
      <c r="H90" s="24"/>
      <c r="I90" s="24"/>
      <c r="J90" s="24"/>
      <c r="K90" s="24"/>
      <c r="L90" s="24"/>
      <c r="M90" s="24"/>
      <c r="N90" s="24"/>
      <c r="O90" s="24"/>
      <c r="P90" s="24"/>
      <c r="Q90" s="24"/>
      <c r="R90" s="24"/>
      <c r="S90" s="24"/>
      <c r="T90" s="24"/>
      <c r="U90" s="24"/>
      <c r="V90" s="24"/>
      <c r="W90" s="24"/>
      <c r="X90" s="24"/>
    </row>
    <row r="91" spans="1:24" ht="13.8">
      <c r="A91" s="24"/>
      <c r="B91" s="24"/>
      <c r="C91" s="24"/>
      <c r="D91" s="24"/>
      <c r="E91" s="24"/>
      <c r="F91" s="24"/>
      <c r="G91" s="24"/>
      <c r="H91" s="24"/>
      <c r="I91" s="24"/>
      <c r="J91" s="24"/>
      <c r="K91" s="24"/>
      <c r="L91" s="24"/>
      <c r="M91" s="24"/>
      <c r="N91" s="24"/>
      <c r="O91" s="24"/>
      <c r="P91" s="24"/>
      <c r="Q91" s="24"/>
      <c r="R91" s="24"/>
      <c r="S91" s="24"/>
      <c r="T91" s="24"/>
      <c r="U91" s="24"/>
      <c r="V91" s="24"/>
      <c r="W91" s="24"/>
      <c r="X91" s="24"/>
    </row>
    <row r="92" spans="1:24" ht="13.8">
      <c r="A92" s="24"/>
      <c r="B92" s="24"/>
      <c r="C92" s="24"/>
      <c r="D92" s="24"/>
      <c r="E92" s="24"/>
      <c r="F92" s="24"/>
      <c r="G92" s="24"/>
      <c r="H92" s="24"/>
      <c r="I92" s="24"/>
      <c r="J92" s="24"/>
      <c r="K92" s="24"/>
      <c r="L92" s="24"/>
      <c r="M92" s="24"/>
      <c r="N92" s="24"/>
      <c r="O92" s="24"/>
      <c r="P92" s="24"/>
      <c r="Q92" s="24"/>
      <c r="R92" s="24"/>
      <c r="S92" s="24"/>
      <c r="T92" s="24"/>
      <c r="U92" s="24"/>
      <c r="V92" s="24"/>
      <c r="W92" s="24"/>
      <c r="X92" s="24"/>
    </row>
    <row r="93" spans="1:24" ht="13.8">
      <c r="A93" s="24"/>
      <c r="B93" s="24"/>
      <c r="C93" s="24"/>
      <c r="D93" s="24"/>
      <c r="E93" s="24"/>
      <c r="F93" s="24"/>
      <c r="G93" s="24"/>
      <c r="H93" s="24"/>
      <c r="I93" s="24"/>
      <c r="J93" s="24"/>
      <c r="K93" s="24"/>
      <c r="L93" s="24"/>
      <c r="M93" s="24"/>
      <c r="N93" s="24"/>
      <c r="O93" s="24"/>
      <c r="P93" s="24"/>
      <c r="Q93" s="24"/>
      <c r="R93" s="24"/>
      <c r="S93" s="24"/>
      <c r="T93" s="24"/>
      <c r="U93" s="24"/>
      <c r="V93" s="24"/>
      <c r="W93" s="24"/>
      <c r="X93" s="24"/>
    </row>
    <row r="94" spans="1:24" ht="13.8">
      <c r="A94" s="24"/>
      <c r="B94" s="24"/>
      <c r="C94" s="24"/>
      <c r="D94" s="24"/>
      <c r="E94" s="24"/>
      <c r="F94" s="24"/>
      <c r="G94" s="24"/>
      <c r="H94" s="24"/>
      <c r="I94" s="24"/>
      <c r="J94" s="24"/>
      <c r="K94" s="24"/>
      <c r="L94" s="24"/>
      <c r="M94" s="24"/>
      <c r="N94" s="24"/>
      <c r="O94" s="24"/>
      <c r="P94" s="24"/>
      <c r="Q94" s="24"/>
      <c r="R94" s="24"/>
      <c r="S94" s="24"/>
      <c r="T94" s="24"/>
      <c r="U94" s="24"/>
      <c r="V94" s="24"/>
      <c r="W94" s="24"/>
      <c r="X94" s="24"/>
    </row>
    <row r="95" spans="1:24" ht="13.8">
      <c r="A95" s="24"/>
      <c r="B95" s="24"/>
      <c r="C95" s="24"/>
      <c r="D95" s="24"/>
      <c r="E95" s="24"/>
      <c r="F95" s="24"/>
      <c r="G95" s="24"/>
      <c r="H95" s="24"/>
      <c r="I95" s="24"/>
      <c r="J95" s="24"/>
      <c r="K95" s="24"/>
      <c r="L95" s="24"/>
      <c r="M95" s="24"/>
      <c r="N95" s="24"/>
      <c r="O95" s="24"/>
      <c r="P95" s="24"/>
      <c r="Q95" s="24"/>
      <c r="R95" s="24"/>
      <c r="S95" s="24"/>
      <c r="T95" s="24"/>
      <c r="U95" s="24"/>
      <c r="V95" s="24"/>
      <c r="W95" s="24"/>
      <c r="X95" s="24"/>
    </row>
    <row r="96" spans="1:24" ht="13.8">
      <c r="A96" s="24"/>
      <c r="B96" s="24"/>
      <c r="C96" s="24"/>
      <c r="D96" s="24"/>
      <c r="E96" s="24"/>
      <c r="F96" s="24"/>
      <c r="G96" s="24"/>
      <c r="H96" s="24"/>
      <c r="I96" s="24"/>
      <c r="J96" s="24"/>
      <c r="K96" s="24"/>
      <c r="L96" s="24"/>
      <c r="M96" s="24"/>
      <c r="N96" s="24"/>
      <c r="O96" s="24"/>
      <c r="P96" s="24"/>
      <c r="Q96" s="24"/>
      <c r="R96" s="24"/>
      <c r="S96" s="24"/>
      <c r="T96" s="24"/>
      <c r="U96" s="24"/>
      <c r="V96" s="24"/>
      <c r="W96" s="24"/>
      <c r="X96" s="24"/>
    </row>
    <row r="97" spans="1:24" ht="13.8">
      <c r="A97" s="24"/>
      <c r="B97" s="24"/>
      <c r="C97" s="24"/>
      <c r="D97" s="24"/>
      <c r="E97" s="24"/>
      <c r="F97" s="24"/>
      <c r="G97" s="24"/>
      <c r="H97" s="24"/>
      <c r="I97" s="24"/>
      <c r="J97" s="24"/>
      <c r="K97" s="24"/>
      <c r="L97" s="24"/>
      <c r="M97" s="24"/>
      <c r="N97" s="24"/>
      <c r="O97" s="24"/>
      <c r="P97" s="24"/>
      <c r="Q97" s="24"/>
      <c r="R97" s="24"/>
      <c r="S97" s="24"/>
      <c r="T97" s="24"/>
      <c r="U97" s="24"/>
      <c r="V97" s="24"/>
      <c r="W97" s="24"/>
      <c r="X97" s="24"/>
    </row>
    <row r="98" spans="1:24" ht="13.8">
      <c r="A98" s="24"/>
      <c r="B98" s="24"/>
      <c r="C98" s="24"/>
      <c r="D98" s="24"/>
      <c r="E98" s="24"/>
      <c r="F98" s="24"/>
      <c r="G98" s="24"/>
      <c r="H98" s="24"/>
      <c r="I98" s="24"/>
      <c r="J98" s="24"/>
      <c r="K98" s="24"/>
      <c r="L98" s="24"/>
      <c r="M98" s="24"/>
      <c r="N98" s="24"/>
      <c r="O98" s="24"/>
      <c r="P98" s="24"/>
      <c r="Q98" s="24"/>
      <c r="R98" s="24"/>
      <c r="S98" s="24"/>
      <c r="T98" s="24"/>
      <c r="U98" s="24"/>
      <c r="V98" s="24"/>
      <c r="W98" s="24"/>
      <c r="X98" s="24"/>
    </row>
    <row r="99" spans="1:24" ht="13.8">
      <c r="A99" s="24"/>
      <c r="B99" s="24"/>
      <c r="C99" s="24"/>
      <c r="D99" s="24"/>
      <c r="E99" s="24"/>
      <c r="F99" s="24"/>
      <c r="G99" s="24"/>
      <c r="H99" s="24"/>
      <c r="I99" s="24"/>
      <c r="J99" s="24"/>
      <c r="K99" s="24"/>
      <c r="L99" s="24"/>
      <c r="M99" s="24"/>
      <c r="N99" s="24"/>
      <c r="O99" s="24"/>
      <c r="P99" s="24"/>
      <c r="Q99" s="24"/>
      <c r="R99" s="24"/>
      <c r="S99" s="24"/>
      <c r="T99" s="24"/>
      <c r="U99" s="24"/>
      <c r="V99" s="24"/>
      <c r="W99" s="24"/>
      <c r="X99" s="24"/>
    </row>
    <row r="100" spans="1:24" ht="13.8">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spans="1:24" ht="13.8">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spans="1:24" ht="13.8">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spans="1:24" ht="13.8">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spans="1:24" ht="13.8">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spans="1:24" ht="13.8">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spans="1:24" ht="13.8">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spans="1:24" ht="13.8">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spans="1:24" ht="13.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spans="1:24" ht="13.8">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spans="1:24" ht="13.8">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spans="1:24" ht="13.8">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spans="1:24" ht="13.8">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spans="1:24" ht="13.8">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spans="1:24" ht="13.8">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spans="1:24" ht="13.8">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spans="1:24" ht="13.8">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spans="1:24" ht="13.8">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spans="1:24" ht="13.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spans="1:24" ht="13.8">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spans="1:24" ht="13.8">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spans="1:24" ht="13.8">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spans="1:24" ht="13.8">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spans="1:24" ht="13.8">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spans="1:24" ht="13.8">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spans="1:24" ht="13.8">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spans="1:24" ht="13.8">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spans="1:24" ht="13.8">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spans="1:24" ht="13.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spans="1:24" ht="13.8">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spans="1:24" ht="13.8">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spans="1:24" ht="13.8">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spans="1:24" ht="13.8">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spans="1:24" ht="13.8">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spans="1:24" ht="13.8">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spans="1:24" ht="13.8">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spans="1:24" ht="13.8">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spans="1:24" ht="13.8">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spans="1:24" ht="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spans="1:24" ht="13.8">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spans="1:24" ht="13.8">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spans="1:24" ht="13.8">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spans="1:24" ht="13.8">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spans="1:24" ht="13.8">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row r="144" spans="1:24" ht="13.8">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row>
    <row r="145" spans="1:24" ht="13.8">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row>
    <row r="146" spans="1:24" ht="13.8">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row>
    <row r="147" spans="1:24" ht="13.8">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row>
    <row r="148" spans="1:24" ht="13.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row>
    <row r="149" spans="1:24" ht="13.8">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row>
    <row r="150" spans="1:24" ht="13.8">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row>
    <row r="151" spans="1:24" ht="13.8">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row>
    <row r="152" spans="1:24" ht="13.8">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row>
    <row r="153" spans="1:24" ht="13.8">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row>
    <row r="154" spans="1:24" ht="13.8">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row>
    <row r="155" spans="1:24" ht="13.8">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row>
    <row r="156" spans="1:24" ht="13.8">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row>
    <row r="157" spans="1:24" ht="13.8">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row>
    <row r="158" spans="1:24" ht="13.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row>
    <row r="159" spans="1:24" ht="13.8">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row>
    <row r="160" spans="1:24" ht="13.8">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row>
    <row r="161" spans="1:24" ht="13.8">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row>
    <row r="162" spans="1:24" ht="13.8">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row>
    <row r="163" spans="1:24" ht="13.8">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row>
    <row r="164" spans="1:24" ht="13.8">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row>
    <row r="165" spans="1:24" ht="13.8">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row>
    <row r="166" spans="1:24" ht="13.8">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row>
    <row r="167" spans="1:24" ht="13.8">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row>
    <row r="168" spans="1:24" ht="13.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row>
    <row r="169" spans="1:24" ht="13.8">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row>
    <row r="170" spans="1:24" ht="13.8">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row>
    <row r="171" spans="1:24" ht="13.8">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row>
    <row r="172" spans="1:24" ht="13.8">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row>
    <row r="173" spans="1:24" ht="13.8">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row>
    <row r="174" spans="1:24" ht="13.8">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5" spans="1:24" ht="13.8">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row>
    <row r="176" spans="1:24" ht="13.8">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row>
    <row r="177" spans="1:24" ht="13.8">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row>
    <row r="178" spans="1:24" ht="13.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row>
    <row r="179" spans="1:24" ht="13.8">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row>
    <row r="180" spans="1:24" ht="13.8">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row>
    <row r="181" spans="1:24" ht="13.8">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row>
    <row r="182" spans="1:24" ht="13.8">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row>
    <row r="183" spans="1:24" ht="13.8">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row>
    <row r="184" spans="1:24" ht="13.8">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row>
    <row r="185" spans="1:24" ht="13.8">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row>
    <row r="186" spans="1:24" ht="13.8">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row>
    <row r="187" spans="1:24" ht="13.8">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row>
    <row r="188" spans="1:24" ht="13.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row>
    <row r="189" spans="1:24" ht="13.8">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row>
    <row r="190" spans="1:24" ht="13.8">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row>
    <row r="191" spans="1:24" ht="13.8">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row>
    <row r="192" spans="1:24" ht="13.8">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row>
    <row r="193" spans="1:24" ht="13.8">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row>
    <row r="194" spans="1:24" ht="13.8">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row>
    <row r="195" spans="1:24" ht="13.8">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row>
    <row r="196" spans="1:24" ht="13.8">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row>
    <row r="197" spans="1:24" ht="13.8">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row>
    <row r="198" spans="1:24" ht="13.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row>
    <row r="199" spans="1:24" ht="13.8">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row>
    <row r="200" spans="1:24" ht="13.8">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row>
    <row r="201" spans="1:24" ht="13.8">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row>
    <row r="202" spans="1:24" ht="13.8">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row>
    <row r="203" spans="1:24" ht="13.8">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row>
    <row r="204" spans="1:24" ht="13.8">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row>
    <row r="205" spans="1:24" ht="13.8">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row>
    <row r="206" spans="1:24" ht="13.8">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row>
    <row r="207" spans="1:24" ht="13.8">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row>
    <row r="208" spans="1:24" ht="13.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row>
    <row r="209" spans="1:24" ht="13.8">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row>
    <row r="210" spans="1:24" ht="13.8">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row>
    <row r="211" spans="1:24" ht="13.8">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row>
    <row r="212" spans="1:24" ht="13.8">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row>
    <row r="213" spans="1:24" ht="13.8">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row>
    <row r="214" spans="1:24" ht="13.8">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row>
    <row r="215" spans="1:24" ht="13.8">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row>
    <row r="216" spans="1:24" ht="13.8">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row>
    <row r="217" spans="1:24" ht="13.8">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row>
    <row r="218" spans="1:24" ht="13.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row>
    <row r="219" spans="1:24" ht="13.8">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row>
    <row r="220" spans="1:24" ht="13.8">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row>
    <row r="221" spans="1:24" ht="13.8">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row>
    <row r="222" spans="1:24" ht="13.8">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row>
    <row r="223" spans="1:24" ht="13.8">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row>
    <row r="224" spans="1:24" ht="13.8">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row>
    <row r="225" spans="1:24" ht="13.8">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row>
    <row r="226" spans="1:24" ht="13.8">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row>
    <row r="227" spans="1:24" ht="13.8">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row>
    <row r="228" spans="1:24" ht="13.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row>
    <row r="229" spans="1:24" ht="13.8">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row>
    <row r="230" spans="1:24" ht="13.8">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row>
    <row r="231" spans="1:24" ht="13.8">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row>
    <row r="232" spans="1:24" ht="13.8">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row>
    <row r="233" spans="1:24" ht="13.8">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row>
    <row r="234" spans="1:24" ht="13.8">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row>
    <row r="235" spans="1:24" ht="13.8">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row>
    <row r="236" spans="1:24" ht="13.8">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row>
    <row r="237" spans="1:24" ht="13.8">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row>
    <row r="238" spans="1:24" ht="1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row>
    <row r="239" spans="1:24" ht="13.8">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row>
    <row r="240" spans="1:24" ht="13.8">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row>
    <row r="241" spans="1:24" ht="13.8">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row>
    <row r="242" spans="1:24" ht="13.8">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row>
    <row r="243" spans="1:24" ht="13.8">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row>
    <row r="244" spans="1:24" ht="13.8">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row>
    <row r="245" spans="1:24" ht="13.8">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row>
    <row r="246" spans="1:24" ht="13.8">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row>
    <row r="247" spans="1:24" ht="13.8">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row>
    <row r="248" spans="1:24" ht="13.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row>
    <row r="249" spans="1:24" ht="13.8">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row>
    <row r="250" spans="1:24" ht="13.8">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row>
    <row r="251" spans="1:24" ht="13.8">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row>
    <row r="252" spans="1:24" ht="13.8">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row>
    <row r="253" spans="1:24" ht="13.8">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row>
    <row r="254" spans="1:24" ht="13.8">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row>
    <row r="255" spans="1:24" ht="13.8">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row>
    <row r="256" spans="1:24" ht="13.8">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row>
    <row r="257" spans="1:24" ht="13.8">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row>
    <row r="258" spans="1:24" ht="13.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row>
    <row r="259" spans="1:24" ht="13.8">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row>
    <row r="260" spans="1:24" ht="13.8">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row>
    <row r="261" spans="1:24" ht="13.8">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row>
    <row r="262" spans="1:24" ht="13.8">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row>
    <row r="263" spans="1:24" ht="13.8">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row>
    <row r="264" spans="1:24" ht="13.8">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row>
    <row r="265" spans="1:24" ht="13.8">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row>
    <row r="266" spans="1:24" ht="13.8">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row>
    <row r="267" spans="1:24" ht="13.8">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row>
    <row r="268" spans="1:24" ht="13.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row>
    <row r="269" spans="1:24" ht="13.8">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row>
    <row r="270" spans="1:24" ht="13.8">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row>
    <row r="271" spans="1:24" ht="13.8">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row>
    <row r="272" spans="1:24" ht="13.8">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row>
    <row r="273" spans="1:24" ht="13.8">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row>
    <row r="274" spans="1:24" ht="13.8">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row>
    <row r="275" spans="1:24" ht="13.8">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row>
    <row r="276" spans="1:24" ht="13.8">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row>
    <row r="277" spans="1:24" ht="13.8">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row>
    <row r="278" spans="1:24" ht="13.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row>
    <row r="279" spans="1:24" ht="13.8">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row>
    <row r="280" spans="1:24" ht="13.8">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row>
    <row r="281" spans="1:24" ht="13.8">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row>
    <row r="282" spans="1:24" ht="13.8">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row>
    <row r="283" spans="1:24" ht="13.8">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row>
    <row r="284" spans="1:24" ht="13.8">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row>
    <row r="285" spans="1:24" ht="13.8">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row>
    <row r="286" spans="1:24" ht="13.8">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row>
    <row r="287" spans="1:24" ht="13.8">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row>
    <row r="288" spans="1:24" ht="13.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row>
    <row r="289" spans="1:24" ht="13.8">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row>
    <row r="290" spans="1:24" ht="13.8">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row>
    <row r="291" spans="1:24" ht="13.8">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row>
    <row r="292" spans="1:24" ht="13.8">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row>
    <row r="293" spans="1:24" ht="13.8">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row>
    <row r="294" spans="1:24" ht="13.8">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row>
    <row r="295" spans="1:24" ht="13.8">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row>
    <row r="296" spans="1:24" ht="13.8">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row>
    <row r="297" spans="1:24" ht="13.8">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row>
    <row r="298" spans="1:24" ht="13.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row>
    <row r="299" spans="1:24" ht="13.8">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row>
    <row r="300" spans="1:24" ht="13.8">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row>
    <row r="301" spans="1:24" ht="13.8">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row>
    <row r="302" spans="1:24" ht="13.8">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row>
    <row r="303" spans="1:24" ht="13.8">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row>
    <row r="304" spans="1:24" ht="13.8">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row>
    <row r="305" spans="1:24" ht="13.8">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row>
    <row r="306" spans="1:24" ht="13.8">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row>
    <row r="307" spans="1:24" ht="13.8">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row>
    <row r="308" spans="1:24" ht="13.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row>
    <row r="309" spans="1:24" ht="13.8">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row>
    <row r="310" spans="1:24" ht="13.8">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row>
    <row r="311" spans="1:24" ht="13.8">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row>
    <row r="312" spans="1:24" ht="13.8">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row>
    <row r="313" spans="1:24" ht="13.8">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row>
    <row r="314" spans="1:24" ht="13.8">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row>
    <row r="315" spans="1:24" ht="13.8">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row>
    <row r="316" spans="1:24" ht="13.8">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row>
    <row r="317" spans="1:24" ht="13.8">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row>
    <row r="318" spans="1:24" ht="13.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row>
    <row r="319" spans="1:24" ht="13.8">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row>
    <row r="320" spans="1:24" ht="13.8">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row>
    <row r="321" spans="1:24" ht="13.8">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row>
    <row r="322" spans="1:24" ht="13.8">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row>
    <row r="323" spans="1:24" ht="13.8">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row>
    <row r="324" spans="1:24" ht="13.8">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row>
    <row r="325" spans="1:24" ht="13.8">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row>
    <row r="326" spans="1:24" ht="13.8">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row>
    <row r="327" spans="1:24" ht="13.8">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row>
    <row r="328" spans="1:24" ht="13.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row>
    <row r="329" spans="1:24" ht="13.8">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row>
    <row r="330" spans="1:24" ht="13.8">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row>
    <row r="331" spans="1:24" ht="13.8">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row>
    <row r="332" spans="1:24" ht="13.8">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row>
    <row r="333" spans="1:24" ht="13.8">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row>
    <row r="334" spans="1:24" ht="13.8">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row>
    <row r="335" spans="1:24" ht="13.8">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row>
    <row r="336" spans="1:24" ht="13.8">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row>
    <row r="337" spans="1:24" ht="13.8">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row>
    <row r="338" spans="1:24" ht="1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row>
    <row r="339" spans="1:24" ht="13.8">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row>
    <row r="340" spans="1:24" ht="13.8">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row>
    <row r="341" spans="1:24" ht="13.8">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row>
    <row r="342" spans="1:24" ht="13.8">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row>
    <row r="343" spans="1:24" ht="13.8">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row>
    <row r="344" spans="1:24" ht="13.8">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row>
    <row r="345" spans="1:24" ht="13.8">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row>
    <row r="346" spans="1:24" ht="13.8">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row>
    <row r="347" spans="1:24" ht="13.8">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row>
    <row r="348" spans="1:24" ht="13.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row>
    <row r="349" spans="1:24" ht="13.8">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row>
    <row r="350" spans="1:24" ht="13.8">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row>
    <row r="351" spans="1:24" ht="13.8">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row>
    <row r="352" spans="1:24" ht="13.8">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row>
    <row r="353" spans="1:24" ht="13.8">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row>
    <row r="354" spans="1:24" ht="13.8">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row>
    <row r="355" spans="1:24" ht="13.8">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row>
    <row r="356" spans="1:24" ht="13.8">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row>
    <row r="357" spans="1:24" ht="13.8">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row>
    <row r="358" spans="1:24" ht="13.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row>
    <row r="359" spans="1:24" ht="13.8">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row>
    <row r="360" spans="1:24" ht="13.8">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row>
    <row r="361" spans="1:24" ht="13.8">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row>
    <row r="362" spans="1:24" ht="13.8">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row>
    <row r="363" spans="1:24" ht="13.8">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row>
    <row r="364" spans="1:24" ht="13.8">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row>
    <row r="365" spans="1:24" ht="13.8">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row>
    <row r="366" spans="1:24" ht="13.8">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row>
    <row r="367" spans="1:24" ht="13.8">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row>
    <row r="368" spans="1:24" ht="13.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row>
    <row r="369" spans="1:24" ht="13.8">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row>
    <row r="370" spans="1:24" ht="13.8">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row>
    <row r="371" spans="1:24" ht="13.8">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row>
    <row r="372" spans="1:24" ht="13.8">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row>
    <row r="373" spans="1:24" ht="13.8">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row>
    <row r="374" spans="1:24" ht="13.8">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row>
    <row r="375" spans="1:24" ht="13.8">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row>
    <row r="376" spans="1:24" ht="13.8">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row>
    <row r="377" spans="1:24" ht="13.8">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row>
    <row r="378" spans="1:24" ht="13.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row>
    <row r="379" spans="1:24" ht="13.8">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row>
    <row r="380" spans="1:24" ht="13.8">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row>
    <row r="381" spans="1:24" ht="13.8">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row>
    <row r="382" spans="1:24" ht="13.8">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row>
    <row r="383" spans="1:24" ht="13.8">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row>
    <row r="384" spans="1:24" ht="13.8">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row>
    <row r="385" spans="1:24" ht="13.8">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row>
    <row r="386" spans="1:24" ht="13.8">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row>
    <row r="387" spans="1:24" ht="13.8">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row>
    <row r="388" spans="1:24" ht="13.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row>
    <row r="389" spans="1:24" ht="13.8">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row>
    <row r="390" spans="1:24" ht="13.8">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row>
    <row r="391" spans="1:24" ht="13.8">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row>
    <row r="392" spans="1:24" ht="13.8">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row>
    <row r="393" spans="1:24" ht="13.8">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row>
    <row r="394" spans="1:24" ht="13.8">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row>
    <row r="395" spans="1:24" ht="13.8">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row>
    <row r="396" spans="1:24" ht="13.8">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row>
    <row r="397" spans="1:24" ht="13.8">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row>
    <row r="398" spans="1:24" ht="13.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row>
    <row r="399" spans="1:24" ht="13.8">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row>
    <row r="400" spans="1:24" ht="13.8">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row>
    <row r="401" spans="1:24" ht="13.8">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row>
    <row r="402" spans="1:24" ht="13.8">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row>
    <row r="403" spans="1:24" ht="13.8">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row>
    <row r="404" spans="1:24" ht="13.8">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row>
    <row r="405" spans="1:24" ht="13.8">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row>
    <row r="406" spans="1:24" ht="13.8">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row>
    <row r="407" spans="1:24" ht="13.8">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row>
    <row r="408" spans="1:24" ht="13.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row>
    <row r="409" spans="1:24" ht="13.8">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row>
    <row r="410" spans="1:24" ht="13.8">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row>
    <row r="411" spans="1:24" ht="13.8">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row>
    <row r="412" spans="1:24" ht="13.8">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row>
    <row r="413" spans="1:24" ht="13.8">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row>
    <row r="414" spans="1:24" ht="13.8">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row>
    <row r="415" spans="1:24" ht="13.8">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row>
    <row r="416" spans="1:24" ht="13.8">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row>
    <row r="417" spans="1:24" ht="13.8">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row>
    <row r="418" spans="1:24" ht="13.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row>
    <row r="419" spans="1:24" ht="13.8">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row>
    <row r="420" spans="1:24" ht="13.8">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row>
    <row r="421" spans="1:24" ht="13.8">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row>
    <row r="422" spans="1:24" ht="13.8">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row>
    <row r="423" spans="1:24" ht="13.8">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row>
    <row r="424" spans="1:24" ht="13.8">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row>
    <row r="425" spans="1:24" ht="13.8">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row>
    <row r="426" spans="1:24" ht="13.8">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row>
    <row r="427" spans="1:24" ht="13.8">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row>
    <row r="428" spans="1:24" ht="13.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row>
    <row r="429" spans="1:24" ht="13.8">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row>
    <row r="430" spans="1:24" ht="13.8">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row>
    <row r="431" spans="1:24" ht="13.8">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row>
    <row r="432" spans="1:24" ht="13.8">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row>
    <row r="433" spans="1:24" ht="13.8">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row>
    <row r="434" spans="1:24" ht="13.8">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row>
    <row r="435" spans="1:24" ht="13.8">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row>
    <row r="436" spans="1:24" ht="13.8">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row>
    <row r="437" spans="1:24" ht="13.8">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row>
    <row r="438" spans="1:24" ht="1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row>
    <row r="439" spans="1:24" ht="13.8">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row>
    <row r="440" spans="1:24" ht="13.8">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row>
    <row r="441" spans="1:24" ht="13.8">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row>
    <row r="442" spans="1:24" ht="13.8">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row>
    <row r="443" spans="1:24" ht="13.8">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row>
    <row r="444" spans="1:24" ht="13.8">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row>
    <row r="445" spans="1:24" ht="13.8">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row>
    <row r="446" spans="1:24" ht="13.8">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row>
    <row r="447" spans="1:24" ht="13.8">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row>
    <row r="448" spans="1:24" ht="13.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row>
    <row r="449" spans="1:24" ht="13.8">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row>
    <row r="450" spans="1:24" ht="13.8">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row>
    <row r="451" spans="1:24" ht="13.8">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row>
    <row r="452" spans="1:24" ht="13.8">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row>
    <row r="453" spans="1:24" ht="13.8">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row>
    <row r="454" spans="1:24" ht="13.8">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row>
    <row r="455" spans="1:24" ht="13.8">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row>
    <row r="456" spans="1:24" ht="13.8">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row>
    <row r="457" spans="1:24" ht="13.8">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row>
    <row r="458" spans="1:24" ht="13.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row>
    <row r="459" spans="1:24" ht="13.8">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row>
    <row r="460" spans="1:24" ht="13.8">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row>
    <row r="461" spans="1:24" ht="13.8">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row>
    <row r="462" spans="1:24" ht="13.8">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row>
    <row r="463" spans="1:24" ht="13.8">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row>
    <row r="464" spans="1:24" ht="13.8">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row>
    <row r="465" spans="1:24" ht="13.8">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row>
    <row r="466" spans="1:24" ht="13.8">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row>
    <row r="467" spans="1:24" ht="13.8">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row>
    <row r="468" spans="1:24" ht="13.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row>
    <row r="469" spans="1:24" ht="13.8">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row>
    <row r="470" spans="1:24" ht="13.8">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row>
    <row r="471" spans="1:24" ht="13.8">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row>
    <row r="472" spans="1:24" ht="13.8">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row>
    <row r="473" spans="1:24" ht="13.8">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row>
    <row r="474" spans="1:24" ht="13.8">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row>
    <row r="475" spans="1:24" ht="13.8">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row>
    <row r="476" spans="1:24" ht="13.8">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row>
    <row r="477" spans="1:24" ht="13.8">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row>
    <row r="478" spans="1:24" ht="13.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row>
    <row r="479" spans="1:24" ht="13.8">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row>
    <row r="480" spans="1:24" ht="13.8">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row>
    <row r="481" spans="1:24" ht="13.8">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row>
    <row r="482" spans="1:24" ht="13.8">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row>
    <row r="483" spans="1:24" ht="13.8">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row>
    <row r="484" spans="1:24" ht="13.8">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row>
    <row r="485" spans="1:24" ht="13.8">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row>
    <row r="486" spans="1:24" ht="13.8">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row>
    <row r="487" spans="1:24" ht="13.8">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row>
    <row r="488" spans="1:24" ht="13.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row>
    <row r="489" spans="1:24" ht="13.8">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row>
    <row r="490" spans="1:24" ht="13.8">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row>
    <row r="491" spans="1:24" ht="13.8">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row>
    <row r="492" spans="1:24" ht="13.8">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row>
    <row r="493" spans="1:24" ht="13.8">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row>
    <row r="494" spans="1:24" ht="13.8">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row>
    <row r="495" spans="1:24" ht="13.8">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row>
    <row r="496" spans="1:24" ht="13.8">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row>
    <row r="497" spans="1:24" ht="13.8">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row>
    <row r="498" spans="1:24" ht="13.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row>
    <row r="499" spans="1:24" ht="13.8">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row>
    <row r="500" spans="1:24" ht="13.8">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row>
    <row r="501" spans="1:24" ht="13.8">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row>
    <row r="502" spans="1:24" ht="13.8">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row>
    <row r="503" spans="1:24" ht="13.8">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row>
    <row r="504" spans="1:24" ht="13.8">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row>
    <row r="505" spans="1:24" ht="13.8">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row>
    <row r="506" spans="1:24" ht="13.8">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row>
    <row r="507" spans="1:24" ht="13.8">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row>
    <row r="508" spans="1:24" ht="13.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row>
    <row r="509" spans="1:24" ht="13.8">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row>
    <row r="510" spans="1:24" ht="13.8">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row>
    <row r="511" spans="1:24" ht="13.8">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row>
    <row r="512" spans="1:24" ht="13.8">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row>
    <row r="513" spans="1:24" ht="13.8">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row>
    <row r="514" spans="1:24" ht="13.8">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row>
    <row r="515" spans="1:24" ht="13.8">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row>
    <row r="516" spans="1:24" ht="13.8">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row>
    <row r="517" spans="1:24" ht="13.8">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row>
    <row r="518" spans="1:24" ht="13.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row>
    <row r="519" spans="1:24" ht="13.8">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row>
    <row r="520" spans="1:24" ht="13.8">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row>
    <row r="521" spans="1:24" ht="13.8">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row>
    <row r="522" spans="1:24" ht="13.8">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row>
    <row r="523" spans="1:24" ht="13.8">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row>
    <row r="524" spans="1:24" ht="13.8">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row>
    <row r="525" spans="1:24" ht="13.8">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row>
    <row r="526" spans="1:24" ht="13.8">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row>
    <row r="527" spans="1:24" ht="13.8">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row>
    <row r="528" spans="1:24" ht="13.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row>
    <row r="529" spans="1:24" ht="13.8">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row>
    <row r="530" spans="1:24" ht="13.8">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row>
    <row r="531" spans="1:24" ht="13.8">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row>
    <row r="532" spans="1:24" ht="13.8">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row>
    <row r="533" spans="1:24" ht="13.8">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row>
    <row r="534" spans="1:24" ht="13.8">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row>
    <row r="535" spans="1:24" ht="13.8">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row>
    <row r="536" spans="1:24" ht="13.8">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row>
    <row r="537" spans="1:24" ht="13.8">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row>
    <row r="538" spans="1:24" ht="1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row>
    <row r="539" spans="1:24" ht="13.8">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row>
    <row r="540" spans="1:24" ht="13.8">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row>
    <row r="541" spans="1:24" ht="13.8">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row>
    <row r="542" spans="1:24" ht="13.8">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row>
    <row r="543" spans="1:24" ht="13.8">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row>
    <row r="544" spans="1:24" ht="13.8">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row>
    <row r="545" spans="1:24" ht="13.8">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row>
    <row r="546" spans="1:24" ht="13.8">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row>
    <row r="547" spans="1:24" ht="13.8">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row>
    <row r="548" spans="1:24" ht="13.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row>
    <row r="549" spans="1:24" ht="13.8">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row>
    <row r="550" spans="1:24" ht="13.8">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row>
    <row r="551" spans="1:24" ht="13.8">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row>
    <row r="552" spans="1:24" ht="13.8">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row>
    <row r="553" spans="1:24" ht="13.8">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row>
    <row r="554" spans="1:24" ht="13.8">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row>
    <row r="555" spans="1:24" ht="13.8">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row>
    <row r="556" spans="1:24" ht="13.8">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row>
    <row r="557" spans="1:24" ht="13.8">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row>
    <row r="558" spans="1:24" ht="13.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row>
    <row r="559" spans="1:24" ht="13.8">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row>
    <row r="560" spans="1:24" ht="13.8">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row>
    <row r="561" spans="1:24" ht="13.8">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row>
    <row r="562" spans="1:24" ht="13.8">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row>
    <row r="563" spans="1:24" ht="13.8">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row>
    <row r="564" spans="1:24" ht="13.8">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row>
    <row r="565" spans="1:24" ht="13.8">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row>
    <row r="566" spans="1:24" ht="13.8">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row>
    <row r="567" spans="1:24" ht="13.8">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row>
    <row r="568" spans="1:24" ht="13.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row>
    <row r="569" spans="1:24" ht="13.8">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row>
    <row r="570" spans="1:24" ht="13.8">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row>
    <row r="571" spans="1:24" ht="13.8">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row>
    <row r="572" spans="1:24" ht="13.8">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row>
    <row r="573" spans="1:24" ht="13.8">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row>
    <row r="574" spans="1:24" ht="13.8">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row>
    <row r="575" spans="1:24" ht="13.8">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row>
    <row r="576" spans="1:24" ht="13.8">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row>
    <row r="577" spans="1:24" ht="13.8">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row>
    <row r="578" spans="1:24" ht="13.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row>
    <row r="579" spans="1:24" ht="13.8">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row>
    <row r="580" spans="1:24" ht="13.8">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row>
    <row r="581" spans="1:24" ht="13.8">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row>
    <row r="582" spans="1:24" ht="13.8">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row>
    <row r="583" spans="1:24" ht="13.8">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row>
    <row r="584" spans="1:24" ht="13.8">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row>
    <row r="585" spans="1:24" ht="13.8">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row>
    <row r="586" spans="1:24" ht="13.8">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row>
    <row r="587" spans="1:24" ht="13.8">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row>
    <row r="588" spans="1:24" ht="13.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row>
    <row r="589" spans="1:24" ht="13.8">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row>
    <row r="590" spans="1:24" ht="13.8">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row>
    <row r="591" spans="1:24" ht="13.8">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row>
    <row r="592" spans="1:24" ht="13.8">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row>
    <row r="593" spans="1:24" ht="13.8">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row>
    <row r="594" spans="1:24" ht="13.8">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row>
    <row r="595" spans="1:24" ht="13.8">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row>
    <row r="596" spans="1:24" ht="13.8">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row>
    <row r="597" spans="1:24" ht="13.8">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row>
    <row r="598" spans="1:24" ht="13.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row>
    <row r="599" spans="1:24" ht="13.8">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row>
    <row r="600" spans="1:24" ht="13.8">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row>
    <row r="601" spans="1:24" ht="13.8">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row>
    <row r="602" spans="1:24" ht="13.8">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row>
    <row r="603" spans="1:24" ht="13.8">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row>
    <row r="604" spans="1:24" ht="13.8">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row>
    <row r="605" spans="1:24" ht="13.8">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row>
    <row r="606" spans="1:24" ht="13.8">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row>
    <row r="607" spans="1:24" ht="13.8">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row>
    <row r="608" spans="1:24" ht="13.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row>
    <row r="609" spans="1:24" ht="13.8">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row>
    <row r="610" spans="1:24" ht="13.8">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row>
    <row r="611" spans="1:24" ht="13.8">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row>
    <row r="612" spans="1:24" ht="13.8">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row>
    <row r="613" spans="1:24" ht="13.8">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row>
    <row r="614" spans="1:24" ht="13.8">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row>
    <row r="615" spans="1:24" ht="13.8">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row>
    <row r="616" spans="1:24" ht="13.8">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row>
    <row r="617" spans="1:24" ht="13.8">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row>
    <row r="618" spans="1:24" ht="13.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row>
    <row r="619" spans="1:24" ht="13.8">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row>
    <row r="620" spans="1:24" ht="13.8">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row>
    <row r="621" spans="1:24" ht="13.8">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row>
    <row r="622" spans="1:24" ht="13.8">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row>
    <row r="623" spans="1:24" ht="13.8">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row>
    <row r="624" spans="1:24" ht="13.8">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row>
    <row r="625" spans="1:24" ht="13.8">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row>
    <row r="626" spans="1:24" ht="13.8">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row>
    <row r="627" spans="1:24" ht="13.8">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row>
    <row r="628" spans="1:24" ht="13.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row>
    <row r="629" spans="1:24" ht="13.8">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row>
    <row r="630" spans="1:24" ht="13.8">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row>
    <row r="631" spans="1:24" ht="13.8">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row>
    <row r="632" spans="1:24" ht="13.8">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row>
    <row r="633" spans="1:24" ht="13.8">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row>
    <row r="634" spans="1:24" ht="13.8">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row>
    <row r="635" spans="1:24" ht="13.8">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row>
    <row r="636" spans="1:24" ht="13.8">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row>
    <row r="637" spans="1:24" ht="13.8">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row>
    <row r="638" spans="1:24" ht="1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row>
    <row r="639" spans="1:24" ht="13.8">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row>
    <row r="640" spans="1:24" ht="13.8">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row>
    <row r="641" spans="1:24" ht="13.8">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row>
    <row r="642" spans="1:24" ht="13.8">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row>
    <row r="643" spans="1:24" ht="13.8">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row>
    <row r="644" spans="1:24" ht="13.8">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row>
    <row r="645" spans="1:24" ht="13.8">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row>
    <row r="646" spans="1:24" ht="13.8">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row>
    <row r="647" spans="1:24" ht="13.8">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row>
    <row r="648" spans="1:24" ht="13.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row>
    <row r="649" spans="1:24" ht="13.8">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row>
    <row r="650" spans="1:24" ht="13.8">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row>
    <row r="651" spans="1:24" ht="13.8">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row>
    <row r="652" spans="1:24" ht="13.8">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row>
    <row r="653" spans="1:24" ht="13.8">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row>
    <row r="654" spans="1:24" ht="13.8">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row>
    <row r="655" spans="1:24" ht="13.8">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row>
    <row r="656" spans="1:24" ht="13.8">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row>
    <row r="657" spans="1:24" ht="13.8">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row>
    <row r="658" spans="1:24" ht="13.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row>
    <row r="659" spans="1:24" ht="13.8">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row>
    <row r="660" spans="1:24" ht="13.8">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row>
    <row r="661" spans="1:24" ht="13.8">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row>
    <row r="662" spans="1:24" ht="13.8">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row>
    <row r="663" spans="1:24" ht="13.8">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row>
    <row r="664" spans="1:24" ht="13.8">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row>
    <row r="665" spans="1:24" ht="13.8">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row>
    <row r="666" spans="1:24" ht="13.8">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row>
    <row r="667" spans="1:24" ht="13.8">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row>
    <row r="668" spans="1:24" ht="13.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row>
    <row r="669" spans="1:24" ht="13.8">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row>
    <row r="670" spans="1:24" ht="13.8">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row>
    <row r="671" spans="1:24" ht="13.8">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row>
    <row r="672" spans="1:24" ht="13.8">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row>
    <row r="673" spans="1:24" ht="13.8">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row>
    <row r="674" spans="1:24" ht="13.8">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row>
    <row r="675" spans="1:24" ht="13.8">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row>
    <row r="676" spans="1:24" ht="13.8">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row>
    <row r="677" spans="1:24" ht="13.8">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row>
    <row r="678" spans="1:24" ht="13.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row>
    <row r="679" spans="1:24" ht="13.8">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row>
    <row r="680" spans="1:24" ht="13.8">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row>
    <row r="681" spans="1:24" ht="13.8">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row>
    <row r="682" spans="1:24" ht="13.8">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row>
    <row r="683" spans="1:24" ht="13.8">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row>
    <row r="684" spans="1:24" ht="13.8">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row>
    <row r="685" spans="1:24" ht="13.8">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row>
    <row r="686" spans="1:24" ht="13.8">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row>
    <row r="687" spans="1:24" ht="13.8">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row>
    <row r="688" spans="1:24" ht="13.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row>
    <row r="689" spans="1:24" ht="13.8">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row>
    <row r="690" spans="1:24" ht="13.8">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row>
    <row r="691" spans="1:24" ht="13.8">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row>
    <row r="692" spans="1:24" ht="13.8">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row>
    <row r="693" spans="1:24" ht="13.8">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row>
    <row r="694" spans="1:24" ht="13.8">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row>
    <row r="695" spans="1:24" ht="13.8">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row>
    <row r="696" spans="1:24" ht="13.8">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row>
    <row r="697" spans="1:24" ht="13.8">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row>
    <row r="698" spans="1:24" ht="13.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row>
    <row r="699" spans="1:24" ht="13.8">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row>
    <row r="700" spans="1:24" ht="13.8">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row>
    <row r="701" spans="1:24" ht="13.8">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row>
    <row r="702" spans="1:24" ht="13.8">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row>
    <row r="703" spans="1:24" ht="13.8">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row>
    <row r="704" spans="1:24" ht="13.8">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row>
    <row r="705" spans="1:24" ht="13.8">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row>
    <row r="706" spans="1:24" ht="13.8">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row>
    <row r="707" spans="1:24" ht="13.8">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row>
    <row r="708" spans="1:24" ht="13.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row>
    <row r="709" spans="1:24" ht="13.8">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row>
    <row r="710" spans="1:24" ht="13.8">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row>
    <row r="711" spans="1:24" ht="13.8">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row>
    <row r="712" spans="1:24" ht="13.8">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row>
    <row r="713" spans="1:24" ht="13.8">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row>
    <row r="714" spans="1:24" ht="13.8">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row>
    <row r="715" spans="1:24" ht="13.8">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row>
    <row r="716" spans="1:24" ht="13.8">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row>
    <row r="717" spans="1:24" ht="13.8">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row>
    <row r="718" spans="1:24" ht="13.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row>
    <row r="719" spans="1:24" ht="13.8">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row>
    <row r="720" spans="1:24" ht="13.8">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row>
    <row r="721" spans="1:24" ht="13.8">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row>
    <row r="722" spans="1:24" ht="13.8">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row>
    <row r="723" spans="1:24" ht="13.8">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row>
    <row r="724" spans="1:24" ht="13.8">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row>
    <row r="725" spans="1:24" ht="13.8">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row>
    <row r="726" spans="1:24" ht="13.8">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row>
    <row r="727" spans="1:24" ht="13.8">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row>
    <row r="728" spans="1:24" ht="13.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row>
    <row r="729" spans="1:24" ht="13.8">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row>
    <row r="730" spans="1:24" ht="13.8">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row>
    <row r="731" spans="1:24" ht="13.8">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row>
    <row r="732" spans="1:24" ht="13.8">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row>
    <row r="733" spans="1:24" ht="13.8">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row>
    <row r="734" spans="1:24" ht="13.8">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row>
    <row r="735" spans="1:24" ht="13.8">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row>
    <row r="736" spans="1:24" ht="13.8">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row>
    <row r="737" spans="1:24" ht="13.8">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row>
    <row r="738" spans="1:24" ht="1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row>
    <row r="739" spans="1:24" ht="13.8">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row>
    <row r="740" spans="1:24" ht="13.8">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row>
    <row r="741" spans="1:24" ht="13.8">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row>
    <row r="742" spans="1:24" ht="13.8">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row>
    <row r="743" spans="1:24" ht="13.8">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row>
    <row r="744" spans="1:24" ht="13.8">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row>
    <row r="745" spans="1:24" ht="13.8">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row>
    <row r="746" spans="1:24" ht="13.8">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row>
    <row r="747" spans="1:24" ht="13.8">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row>
    <row r="748" spans="1:24" ht="13.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row>
    <row r="749" spans="1:24" ht="13.8">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row>
    <row r="750" spans="1:24" ht="13.8">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row>
    <row r="751" spans="1:24" ht="13.8">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row>
    <row r="752" spans="1:24" ht="13.8">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row>
    <row r="753" spans="1:24" ht="13.8">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row>
    <row r="754" spans="1:24" ht="13.8">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row>
    <row r="755" spans="1:24" ht="13.8">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row>
    <row r="756" spans="1:24" ht="13.8">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row>
    <row r="757" spans="1:24" ht="13.8">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row>
    <row r="758" spans="1:24" ht="13.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row>
    <row r="759" spans="1:24" ht="13.8">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row>
    <row r="760" spans="1:24" ht="13.8">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row>
    <row r="761" spans="1:24" ht="13.8">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row>
    <row r="762" spans="1:24" ht="13.8">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row>
    <row r="763" spans="1:24" ht="13.8">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row>
    <row r="764" spans="1:24" ht="13.8">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row>
    <row r="765" spans="1:24" ht="13.8">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row>
    <row r="766" spans="1:24" ht="13.8">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row>
    <row r="767" spans="1:24" ht="13.8">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row>
    <row r="768" spans="1:24" ht="13.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row>
    <row r="769" spans="1:24" ht="13.8">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row>
    <row r="770" spans="1:24" ht="13.8">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row>
    <row r="771" spans="1:24" ht="13.8">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row>
    <row r="772" spans="1:24" ht="13.8">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row>
    <row r="773" spans="1:24" ht="13.8">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row>
    <row r="774" spans="1:24" ht="13.8">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row>
    <row r="775" spans="1:24" ht="13.8">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row>
    <row r="776" spans="1:24" ht="13.8">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row>
    <row r="777" spans="1:24" ht="13.8">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row>
    <row r="778" spans="1:24" ht="13.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row>
    <row r="779" spans="1:24" ht="13.8">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row>
    <row r="780" spans="1:24" ht="13.8">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row>
    <row r="781" spans="1:24" ht="13.8">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row>
    <row r="782" spans="1:24" ht="13.8">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row>
    <row r="783" spans="1:24" ht="13.8">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row>
    <row r="784" spans="1:24" ht="13.8">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row>
    <row r="785" spans="1:24" ht="13.8">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row>
    <row r="786" spans="1:24" ht="13.8">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row>
    <row r="787" spans="1:24" ht="13.8">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row>
    <row r="788" spans="1:24" ht="13.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row>
    <row r="789" spans="1:24" ht="13.8">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row>
    <row r="790" spans="1:24" ht="13.8">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row>
    <row r="791" spans="1:24" ht="13.8">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row>
    <row r="792" spans="1:24" ht="13.8">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row>
    <row r="793" spans="1:24" ht="13.8">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row>
    <row r="794" spans="1:24" ht="13.8">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row>
    <row r="795" spans="1:24" ht="13.8">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row>
    <row r="796" spans="1:24" ht="13.8">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row>
    <row r="797" spans="1:24" ht="13.8">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row>
    <row r="798" spans="1:24" ht="13.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row>
    <row r="799" spans="1:24" ht="13.8">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row>
    <row r="800" spans="1:24" ht="13.8">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row>
    <row r="801" spans="1:24" ht="13.8">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row>
    <row r="802" spans="1:24" ht="13.8">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row>
    <row r="803" spans="1:24" ht="13.8">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row>
    <row r="804" spans="1:24" ht="13.8">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row>
    <row r="805" spans="1:24" ht="13.8">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row>
    <row r="806" spans="1:24" ht="13.8">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row>
    <row r="807" spans="1:24" ht="13.8">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row>
    <row r="808" spans="1:24" ht="13.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row>
    <row r="809" spans="1:24" ht="13.8">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row>
    <row r="810" spans="1:24" ht="13.8">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row>
    <row r="811" spans="1:24" ht="13.8">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row>
    <row r="812" spans="1:24" ht="13.8">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row>
    <row r="813" spans="1:24" ht="13.8">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row>
    <row r="814" spans="1:24" ht="13.8">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row>
    <row r="815" spans="1:24" ht="13.8">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row>
    <row r="816" spans="1:24" ht="13.8">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row>
    <row r="817" spans="1:24" ht="13.8">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row>
    <row r="818" spans="1:24" ht="13.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row>
    <row r="819" spans="1:24" ht="13.8">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row>
    <row r="820" spans="1:24" ht="13.8">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row>
    <row r="821" spans="1:24" ht="13.8">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row>
    <row r="822" spans="1:24" ht="13.8">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row>
    <row r="823" spans="1:24" ht="13.8">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row>
    <row r="824" spans="1:24" ht="13.8">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row>
    <row r="825" spans="1:24" ht="13.8">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row>
    <row r="826" spans="1:24" ht="13.8">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row>
    <row r="827" spans="1:24" ht="13.8">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row>
    <row r="828" spans="1:24" ht="13.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row>
    <row r="829" spans="1:24" ht="13.8">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row>
    <row r="830" spans="1:24" ht="13.8">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row>
    <row r="831" spans="1:24" ht="13.8">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row>
    <row r="832" spans="1:24" ht="13.8">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row>
    <row r="833" spans="1:24" ht="13.8">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row>
    <row r="834" spans="1:24" ht="13.8">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row>
    <row r="835" spans="1:24" ht="13.8">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row>
    <row r="836" spans="1:24" ht="13.8">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row>
    <row r="837" spans="1:24" ht="13.8">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row>
    <row r="838" spans="1:24" ht="1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row>
    <row r="839" spans="1:24" ht="13.8">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row>
    <row r="840" spans="1:24" ht="13.8">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row>
    <row r="841" spans="1:24" ht="13.8">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row>
    <row r="842" spans="1:24" ht="13.8">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row>
    <row r="843" spans="1:24" ht="13.8">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row>
    <row r="844" spans="1:24" ht="13.8">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row>
    <row r="845" spans="1:24" ht="13.8">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row>
    <row r="846" spans="1:24" ht="13.8">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row>
    <row r="847" spans="1:24" ht="13.8">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row>
    <row r="848" spans="1:24" ht="13.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row>
    <row r="849" spans="1:24" ht="13.8">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row>
    <row r="850" spans="1:24" ht="13.8">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row>
    <row r="851" spans="1:24" ht="13.8">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row>
    <row r="852" spans="1:24" ht="13.8">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row>
    <row r="853" spans="1:24" ht="13.8">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row>
    <row r="854" spans="1:24" ht="13.8">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row>
    <row r="855" spans="1:24" ht="13.8">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row>
    <row r="856" spans="1:24" ht="13.8">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row>
    <row r="857" spans="1:24" ht="13.8">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row>
    <row r="858" spans="1:24" ht="13.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row>
    <row r="859" spans="1:24" ht="13.8">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row>
    <row r="860" spans="1:24" ht="13.8">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row>
    <row r="861" spans="1:24" ht="13.8">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row>
    <row r="862" spans="1:24" ht="13.8">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row>
    <row r="863" spans="1:24" ht="13.8">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row>
    <row r="864" spans="1:24" ht="13.8">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row>
    <row r="865" spans="1:24" ht="13.8">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row>
    <row r="866" spans="1:24" ht="13.8">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row>
    <row r="867" spans="1:24" ht="13.8">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row>
    <row r="868" spans="1:24" ht="13.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row>
    <row r="869" spans="1:24" ht="13.8">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row>
    <row r="870" spans="1:24" ht="13.8">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row>
    <row r="871" spans="1:24" ht="13.8">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row>
    <row r="872" spans="1:24" ht="13.8">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row>
    <row r="873" spans="1:24" ht="13.8">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row>
    <row r="874" spans="1:24" ht="13.8">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row>
    <row r="875" spans="1:24" ht="13.8">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row>
    <row r="876" spans="1:24" ht="13.8">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row>
    <row r="877" spans="1:24" ht="13.8">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row>
    <row r="878" spans="1:24" ht="13.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row>
    <row r="879" spans="1:24" ht="13.8">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row>
    <row r="880" spans="1:24" ht="13.8">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row>
    <row r="881" spans="1:24" ht="13.8">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row>
    <row r="882" spans="1:24" ht="13.8">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row>
    <row r="883" spans="1:24" ht="13.8">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row>
    <row r="884" spans="1:24" ht="13.8">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row>
    <row r="885" spans="1:24" ht="13.8">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row>
    <row r="886" spans="1:24" ht="13.8">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row>
    <row r="887" spans="1:24" ht="13.8">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row>
    <row r="888" spans="1:24" ht="13.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row>
    <row r="889" spans="1:24" ht="13.8">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row>
    <row r="890" spans="1:24" ht="13.8">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row>
    <row r="891" spans="1:24" ht="13.8">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row>
    <row r="892" spans="1:24" ht="13.8">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row>
    <row r="893" spans="1:24" ht="13.8">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row>
    <row r="894" spans="1:24" ht="13.8">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row>
    <row r="895" spans="1:24" ht="13.8">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row>
    <row r="896" spans="1:24" ht="13.8">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row>
    <row r="897" spans="1:24" ht="13.8">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row>
    <row r="898" spans="1:24" ht="13.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row>
    <row r="899" spans="1:24" ht="13.8">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row>
    <row r="900" spans="1:24" ht="13.8">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row>
    <row r="901" spans="1:24" ht="13.8">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row>
    <row r="902" spans="1:24" ht="13.8">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row>
    <row r="903" spans="1:24" ht="13.8">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row>
    <row r="904" spans="1:24" ht="13.8">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row>
    <row r="905" spans="1:24" ht="13.8">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row>
    <row r="906" spans="1:24" ht="13.8">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row>
    <row r="907" spans="1:24" ht="13.8">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row>
    <row r="908" spans="1:24" ht="13.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row>
    <row r="909" spans="1:24" ht="13.8">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row>
    <row r="910" spans="1:24" ht="13.8">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row>
    <row r="911" spans="1:24" ht="13.8">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row>
    <row r="912" spans="1:24" ht="13.8">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row>
    <row r="913" spans="1:24" ht="13.8">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row>
    <row r="914" spans="1:24" ht="13.8">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row>
    <row r="915" spans="1:24" ht="13.8">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row>
    <row r="916" spans="1:24" ht="13.8">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row>
    <row r="917" spans="1:24" ht="13.8">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row>
    <row r="918" spans="1:24" ht="13.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row>
    <row r="919" spans="1:24" ht="13.8">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row>
    <row r="920" spans="1:24" ht="13.8">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row>
    <row r="921" spans="1:24" ht="13.8">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row>
    <row r="922" spans="1:24" ht="13.8">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row>
    <row r="923" spans="1:24" ht="13.8">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row>
    <row r="924" spans="1:24" ht="13.8">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row>
    <row r="925" spans="1:24" ht="13.8">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row>
    <row r="926" spans="1:24" ht="13.8">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row>
    <row r="927" spans="1:24" ht="13.8">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row>
    <row r="928" spans="1:24" ht="13.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row>
    <row r="929" spans="1:24" ht="13.8">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row>
    <row r="930" spans="1:24" ht="13.8">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row>
    <row r="931" spans="1:24" ht="13.8">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row>
    <row r="932" spans="1:24" ht="13.8">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row>
    <row r="933" spans="1:24" ht="13.8">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row>
    <row r="934" spans="1:24" ht="13.8">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row>
    <row r="935" spans="1:24" ht="13.8">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row>
    <row r="936" spans="1:24" ht="13.8">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row>
    <row r="937" spans="1:24" ht="13.8">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row>
    <row r="938" spans="1:24" ht="1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row>
    <row r="939" spans="1:24" ht="13.8">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row>
    <row r="940" spans="1:24" ht="13.8">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row>
    <row r="941" spans="1:24" ht="13.8">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row>
    <row r="942" spans="1:24" ht="13.8">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row>
    <row r="943" spans="1:24" ht="13.8">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row>
    <row r="944" spans="1:24" ht="13.8">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row>
    <row r="945" spans="1:24" ht="13.8">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row>
    <row r="946" spans="1:24" ht="13.8">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row>
    <row r="947" spans="1:24" ht="13.8">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row>
    <row r="948" spans="1:24" ht="13.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row>
    <row r="949" spans="1:24" ht="13.8">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row>
    <row r="950" spans="1:24" ht="13.8">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row>
    <row r="951" spans="1:24" ht="13.8">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row>
    <row r="952" spans="1:24" ht="13.8">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row>
    <row r="953" spans="1:24" ht="13.8">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row>
    <row r="954" spans="1:24" ht="13.8">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row>
    <row r="955" spans="1:24" ht="13.8">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row>
    <row r="956" spans="1:24" ht="13.8">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row>
    <row r="957" spans="1:24" ht="13.8">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row>
    <row r="958" spans="1:24" ht="13.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row>
    <row r="959" spans="1:24" ht="13.8">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row>
    <row r="960" spans="1:24" ht="13.8">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row>
    <row r="961" spans="1:24" ht="13.8">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row>
    <row r="962" spans="1:24" ht="13.8">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row>
    <row r="963" spans="1:24" ht="13.8">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row>
    <row r="964" spans="1:24" ht="13.8">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row>
    <row r="965" spans="1:24" ht="13.8">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row>
    <row r="966" spans="1:24" ht="13.8">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row>
    <row r="967" spans="1:24" ht="13.8">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row>
    <row r="968" spans="1:24" ht="13.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row>
    <row r="969" spans="1:24" ht="13.8">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row>
    <row r="970" spans="1:24" ht="13.8">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row>
    <row r="971" spans="1:24" ht="13.8">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row>
    <row r="972" spans="1:24" ht="13.8">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row>
    <row r="973" spans="1:24" ht="13.8">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row>
    <row r="974" spans="1:24" ht="13.8">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row>
    <row r="975" spans="1:24" ht="13.8">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row>
    <row r="976" spans="1:24" ht="13.8">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row>
    <row r="977" spans="1:24" ht="13.8">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row>
    <row r="978" spans="1:24" ht="13.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row>
    <row r="979" spans="1:24" ht="13.8">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row>
    <row r="980" spans="1:24" ht="13.8">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row>
    <row r="981" spans="1:24" ht="13.8">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row>
    <row r="982" spans="1:24" ht="13.8">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row>
    <row r="983" spans="1:24" ht="13.8">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row>
    <row r="984" spans="1:24" ht="13.8">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row>
    <row r="985" spans="1:24" ht="13.8">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row>
    <row r="986" spans="1:24" ht="13.8">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row>
    <row r="987" spans="1:24" ht="13.8">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row>
    <row r="988" spans="1:24" ht="13.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row>
    <row r="989" spans="1:24" ht="13.8">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row>
    <row r="990" spans="1:24" ht="13.8">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row>
    <row r="991" spans="1:24" ht="13.8">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row>
    <row r="992" spans="1:24" ht="13.8">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row>
  </sheetData>
  <mergeCells count="6">
    <mergeCell ref="E1:E2"/>
    <mergeCell ref="G1:G2"/>
    <mergeCell ref="I1:I2"/>
    <mergeCell ref="E20:E21"/>
    <mergeCell ref="G20:G21"/>
    <mergeCell ref="I20:I21"/>
  </mergeCells>
  <pageMargins left="0.7" right="0.7" top="0.75" bottom="0.75" header="0.3" footer="0.3"/>
  <pageSetup scale="75" orientation="portrait" horizontalDpi="300" verticalDpi="300" r:id="rId1"/>
  <ignoredErrors>
    <ignoredError sqref="E22:E44 G22:G44 H22:H44"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37B9A-C40F-5E4F-BF96-AF53EB65EFF7}">
  <sheetPr codeName="Sheet11">
    <tabColor theme="4" tint="0.59999389629810485"/>
  </sheetPr>
  <dimension ref="A1"/>
  <sheetViews>
    <sheetView workbookViewId="0"/>
  </sheetViews>
  <sheetFormatPr defaultColWidth="10.69921875" defaultRowHeight="13.8"/>
  <cols>
    <col min="1" max="16384" width="10.69921875" style="1"/>
  </cols>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628C1-97CE-41BF-B43F-C95581E5685A}">
  <dimension ref="A1:T108"/>
  <sheetViews>
    <sheetView workbookViewId="0">
      <selection sqref="A1:B1"/>
    </sheetView>
  </sheetViews>
  <sheetFormatPr defaultColWidth="10" defaultRowHeight="13.8"/>
  <cols>
    <col min="1" max="1" width="10" style="236"/>
    <col min="2" max="2" width="25.19921875" style="236" customWidth="1"/>
    <col min="3" max="3" width="26.19921875" style="236" customWidth="1"/>
    <col min="4" max="4" width="14.59765625" style="236" customWidth="1"/>
    <col min="5" max="10" width="10" style="236"/>
    <col min="11" max="11" width="25" style="236" bestFit="1" customWidth="1"/>
    <col min="12" max="16384" width="10" style="236"/>
  </cols>
  <sheetData>
    <row r="1" spans="1:13">
      <c r="A1" s="268" t="s">
        <v>134</v>
      </c>
      <c r="B1" s="268"/>
    </row>
    <row r="2" spans="1:13">
      <c r="I2" s="236">
        <v>2024</v>
      </c>
    </row>
    <row r="3" spans="1:13">
      <c r="A3" s="235" t="s">
        <v>135</v>
      </c>
      <c r="B3" s="235">
        <v>2021</v>
      </c>
      <c r="C3" s="235">
        <v>2022</v>
      </c>
      <c r="D3" s="235">
        <v>2023</v>
      </c>
      <c r="E3" s="235">
        <v>2024</v>
      </c>
      <c r="F3" s="235"/>
      <c r="H3" s="235" t="s">
        <v>135</v>
      </c>
      <c r="I3" s="235" t="s">
        <v>131</v>
      </c>
      <c r="J3" s="235" t="s">
        <v>155</v>
      </c>
      <c r="K3" s="235" t="s">
        <v>156</v>
      </c>
      <c r="L3" s="235" t="s">
        <v>129</v>
      </c>
      <c r="M3" s="235" t="s">
        <v>192</v>
      </c>
    </row>
    <row r="4" spans="1:13">
      <c r="A4" s="236" t="s">
        <v>105</v>
      </c>
      <c r="B4" s="236" t="s">
        <v>136</v>
      </c>
      <c r="C4" s="236" t="s">
        <v>137</v>
      </c>
      <c r="D4" s="236" t="s">
        <v>138</v>
      </c>
      <c r="E4" s="236" t="s">
        <v>139</v>
      </c>
      <c r="H4" s="236" t="s">
        <v>106</v>
      </c>
      <c r="I4" s="237">
        <v>1252.6099999999999</v>
      </c>
      <c r="J4" s="236">
        <v>950.14</v>
      </c>
      <c r="K4" s="236">
        <v>302.47000000000003</v>
      </c>
      <c r="L4" s="240">
        <v>1.2</v>
      </c>
      <c r="M4" s="239">
        <v>90</v>
      </c>
    </row>
    <row r="5" spans="1:13">
      <c r="A5" s="236" t="s">
        <v>106</v>
      </c>
      <c r="B5" s="236" t="s">
        <v>140</v>
      </c>
      <c r="C5" s="236" t="s">
        <v>141</v>
      </c>
      <c r="D5" s="236" t="s">
        <v>142</v>
      </c>
      <c r="E5" s="236" t="s">
        <v>143</v>
      </c>
      <c r="H5" s="236" t="s">
        <v>107</v>
      </c>
      <c r="I5" s="238">
        <v>7549</v>
      </c>
      <c r="J5" s="238">
        <v>2120</v>
      </c>
      <c r="K5" s="238">
        <v>5429</v>
      </c>
      <c r="L5" s="240">
        <v>3.8</v>
      </c>
      <c r="M5" s="239">
        <v>28</v>
      </c>
    </row>
    <row r="6" spans="1:13">
      <c r="A6" s="236" t="s">
        <v>104</v>
      </c>
      <c r="B6" s="236" t="s">
        <v>144</v>
      </c>
      <c r="C6" s="236" t="s">
        <v>145</v>
      </c>
      <c r="D6" s="236" t="s">
        <v>146</v>
      </c>
      <c r="E6" s="236" t="s">
        <v>147</v>
      </c>
      <c r="H6" s="236" t="s">
        <v>105</v>
      </c>
      <c r="I6" s="237">
        <v>11313.85</v>
      </c>
      <c r="J6" s="237">
        <v>8296.6</v>
      </c>
      <c r="K6" s="237">
        <v>3017.69</v>
      </c>
      <c r="L6" s="240">
        <v>15</v>
      </c>
      <c r="M6" s="239">
        <v>55</v>
      </c>
    </row>
    <row r="7" spans="1:13">
      <c r="A7" s="236" t="s">
        <v>107</v>
      </c>
      <c r="B7" s="236" t="s">
        <v>148</v>
      </c>
      <c r="C7" s="236" t="s">
        <v>149</v>
      </c>
      <c r="D7" s="236" t="s">
        <v>150</v>
      </c>
      <c r="E7" s="236" t="s">
        <v>151</v>
      </c>
      <c r="H7" s="236" t="s">
        <v>104</v>
      </c>
      <c r="I7" s="238">
        <v>25920</v>
      </c>
      <c r="J7" s="238">
        <v>11210</v>
      </c>
      <c r="K7" s="238">
        <v>14710</v>
      </c>
      <c r="L7" s="240">
        <v>9.5</v>
      </c>
      <c r="M7" s="239">
        <v>25</v>
      </c>
    </row>
    <row r="9" spans="1:13">
      <c r="A9" s="236" t="s">
        <v>3</v>
      </c>
    </row>
    <row r="10" spans="1:13">
      <c r="A10" s="268" t="s">
        <v>152</v>
      </c>
      <c r="B10" s="268"/>
    </row>
    <row r="11" spans="1:13">
      <c r="H11" s="235" t="s">
        <v>135</v>
      </c>
      <c r="I11" s="235" t="s">
        <v>131</v>
      </c>
      <c r="J11" s="235" t="s">
        <v>155</v>
      </c>
      <c r="K11" s="235" t="s">
        <v>156</v>
      </c>
      <c r="L11" s="235" t="s">
        <v>129</v>
      </c>
      <c r="M11" s="235" t="s">
        <v>192</v>
      </c>
    </row>
    <row r="12" spans="1:13">
      <c r="A12" s="235" t="s">
        <v>153</v>
      </c>
      <c r="B12" s="235" t="s">
        <v>154</v>
      </c>
      <c r="C12" s="235" t="s">
        <v>155</v>
      </c>
      <c r="D12" s="268" t="s">
        <v>156</v>
      </c>
      <c r="E12" s="268"/>
      <c r="F12" s="268"/>
      <c r="H12" s="236" t="s">
        <v>106</v>
      </c>
      <c r="I12" s="237">
        <v>1252.6099999999999</v>
      </c>
      <c r="J12" s="236">
        <v>950.14</v>
      </c>
      <c r="K12" s="236">
        <v>302.47000000000003</v>
      </c>
      <c r="L12" s="240">
        <v>15</v>
      </c>
      <c r="M12" s="239">
        <v>55</v>
      </c>
    </row>
    <row r="13" spans="1:13">
      <c r="A13" s="236" t="s">
        <v>105</v>
      </c>
      <c r="B13" s="237">
        <v>11313.85</v>
      </c>
      <c r="C13" s="237">
        <v>8296.6</v>
      </c>
      <c r="D13" s="237">
        <v>3017.69</v>
      </c>
      <c r="H13" s="236" t="s">
        <v>107</v>
      </c>
      <c r="I13" s="238">
        <v>7549</v>
      </c>
      <c r="J13" s="238">
        <v>2120</v>
      </c>
      <c r="K13" s="238">
        <v>5429</v>
      </c>
      <c r="L13" s="240">
        <v>1.2</v>
      </c>
      <c r="M13" s="239">
        <v>90</v>
      </c>
    </row>
    <row r="14" spans="1:13">
      <c r="A14" s="236" t="s">
        <v>106</v>
      </c>
      <c r="B14" s="237">
        <v>1252.6099999999999</v>
      </c>
      <c r="C14" s="236">
        <v>950.14</v>
      </c>
      <c r="D14" s="236">
        <v>302.47000000000003</v>
      </c>
      <c r="H14" s="236" t="s">
        <v>105</v>
      </c>
      <c r="I14" s="237">
        <v>11313.85</v>
      </c>
      <c r="J14" s="237">
        <v>8296.6</v>
      </c>
      <c r="K14" s="237">
        <v>3017.69</v>
      </c>
      <c r="L14" s="240">
        <v>9.5</v>
      </c>
      <c r="M14" s="239">
        <v>25</v>
      </c>
    </row>
    <row r="15" spans="1:13">
      <c r="A15" s="236" t="s">
        <v>104</v>
      </c>
      <c r="B15" s="238">
        <v>25920</v>
      </c>
      <c r="C15" s="238">
        <v>11210</v>
      </c>
      <c r="D15" s="238">
        <v>14710</v>
      </c>
      <c r="H15" s="236" t="s">
        <v>104</v>
      </c>
      <c r="I15" s="238">
        <v>25920</v>
      </c>
      <c r="J15" s="238">
        <v>11210</v>
      </c>
      <c r="K15" s="238">
        <v>14710</v>
      </c>
      <c r="L15" s="240">
        <v>3.8</v>
      </c>
      <c r="M15" s="239">
        <v>28</v>
      </c>
    </row>
    <row r="16" spans="1:13">
      <c r="A16" s="236" t="s">
        <v>107</v>
      </c>
      <c r="B16" s="238">
        <v>7549</v>
      </c>
      <c r="C16" s="238">
        <v>2120</v>
      </c>
      <c r="D16" s="238">
        <v>5429</v>
      </c>
    </row>
    <row r="18" spans="1:20">
      <c r="A18" s="268" t="s">
        <v>157</v>
      </c>
      <c r="B18" s="268"/>
      <c r="C18" s="235"/>
      <c r="D18" s="235"/>
      <c r="E18" s="235"/>
      <c r="F18" s="235"/>
      <c r="H18" s="235" t="s">
        <v>135</v>
      </c>
      <c r="I18" s="235" t="s">
        <v>192</v>
      </c>
      <c r="J18" s="235" t="s">
        <v>129</v>
      </c>
    </row>
    <row r="19" spans="1:20">
      <c r="A19" s="235" t="s">
        <v>153</v>
      </c>
      <c r="B19" s="235">
        <v>2021</v>
      </c>
      <c r="C19" s="235">
        <v>2022</v>
      </c>
      <c r="D19" s="235">
        <v>2023</v>
      </c>
      <c r="E19" s="235">
        <v>2024</v>
      </c>
      <c r="F19" s="235"/>
      <c r="H19" s="236" t="s">
        <v>106</v>
      </c>
      <c r="I19" s="239">
        <v>55</v>
      </c>
      <c r="J19" s="240">
        <v>15</v>
      </c>
    </row>
    <row r="20" spans="1:20">
      <c r="A20" s="236" t="s">
        <v>105</v>
      </c>
      <c r="B20" s="239">
        <v>10.5</v>
      </c>
      <c r="C20" s="240">
        <v>12</v>
      </c>
      <c r="D20" s="240">
        <v>13</v>
      </c>
      <c r="E20" s="240">
        <v>15</v>
      </c>
      <c r="H20" s="236" t="s">
        <v>105</v>
      </c>
      <c r="I20" s="239">
        <v>25</v>
      </c>
      <c r="J20" s="240">
        <v>9.5</v>
      </c>
    </row>
    <row r="21" spans="1:20">
      <c r="A21" s="236" t="s">
        <v>106</v>
      </c>
      <c r="B21" s="240">
        <v>0.5</v>
      </c>
      <c r="C21" s="240">
        <v>0.7</v>
      </c>
      <c r="D21" s="240">
        <v>0.9</v>
      </c>
      <c r="E21" s="240">
        <v>1.2</v>
      </c>
      <c r="H21" s="236" t="s">
        <v>104</v>
      </c>
      <c r="I21" s="239">
        <v>28</v>
      </c>
      <c r="J21" s="240">
        <v>3.8</v>
      </c>
    </row>
    <row r="22" spans="1:20">
      <c r="A22" s="236" t="s">
        <v>104</v>
      </c>
      <c r="B22" s="240">
        <v>8</v>
      </c>
      <c r="C22" s="240">
        <v>8.3000000000000007</v>
      </c>
      <c r="D22" s="240">
        <v>8.9</v>
      </c>
      <c r="E22" s="240">
        <v>9.5</v>
      </c>
      <c r="H22" s="236" t="s">
        <v>107</v>
      </c>
      <c r="I22" s="239">
        <v>90</v>
      </c>
      <c r="J22" s="240">
        <v>1.2</v>
      </c>
    </row>
    <row r="23" spans="1:20">
      <c r="A23" s="236" t="s">
        <v>107</v>
      </c>
      <c r="B23" s="240">
        <v>3</v>
      </c>
      <c r="C23" s="240">
        <v>3.2</v>
      </c>
      <c r="D23" s="240">
        <v>3.5</v>
      </c>
      <c r="E23" s="240">
        <v>3.8</v>
      </c>
    </row>
    <row r="24" spans="1:20">
      <c r="L24" s="268" t="s">
        <v>158</v>
      </c>
      <c r="M24" s="268"/>
    </row>
    <row r="25" spans="1:20">
      <c r="A25" s="268" t="s">
        <v>158</v>
      </c>
      <c r="B25" s="268"/>
      <c r="H25" s="235" t="s">
        <v>135</v>
      </c>
      <c r="I25" s="235" t="s">
        <v>155</v>
      </c>
      <c r="L25" s="235" t="s">
        <v>153</v>
      </c>
      <c r="M25" s="235">
        <v>2021</v>
      </c>
      <c r="N25" s="235">
        <v>2022</v>
      </c>
      <c r="O25" s="235">
        <v>2023</v>
      </c>
      <c r="P25" s="235">
        <v>2024</v>
      </c>
      <c r="Q25" s="235" t="s">
        <v>193</v>
      </c>
      <c r="R25" s="235" t="s">
        <v>194</v>
      </c>
      <c r="S25" s="235" t="s">
        <v>195</v>
      </c>
      <c r="T25" s="235" t="s">
        <v>196</v>
      </c>
    </row>
    <row r="26" spans="1:20">
      <c r="A26" s="235" t="s">
        <v>153</v>
      </c>
      <c r="B26" s="235">
        <v>2021</v>
      </c>
      <c r="C26" s="235">
        <v>2022</v>
      </c>
      <c r="D26" s="235">
        <v>2023</v>
      </c>
      <c r="E26" s="235">
        <v>2024</v>
      </c>
      <c r="F26" s="235"/>
      <c r="H26" s="236" t="s">
        <v>106</v>
      </c>
      <c r="I26" s="236">
        <v>950.14</v>
      </c>
      <c r="L26" s="236" t="s">
        <v>197</v>
      </c>
      <c r="M26" s="239">
        <v>70</v>
      </c>
      <c r="N26" s="239">
        <v>65</v>
      </c>
      <c r="O26" s="239">
        <v>60</v>
      </c>
      <c r="P26" s="239">
        <v>55</v>
      </c>
    </row>
    <row r="27" spans="1:20">
      <c r="A27" s="236" t="s">
        <v>105</v>
      </c>
      <c r="B27" s="239">
        <v>70</v>
      </c>
      <c r="C27" s="239">
        <v>65</v>
      </c>
      <c r="D27" s="239">
        <v>60</v>
      </c>
      <c r="E27" s="239">
        <v>55</v>
      </c>
      <c r="H27" s="236" t="s">
        <v>107</v>
      </c>
      <c r="I27" s="238">
        <v>2120</v>
      </c>
      <c r="L27" s="236" t="s">
        <v>198</v>
      </c>
      <c r="M27" s="239">
        <v>150</v>
      </c>
      <c r="N27" s="239">
        <v>120</v>
      </c>
      <c r="O27" s="239">
        <v>110</v>
      </c>
      <c r="P27" s="239">
        <v>90</v>
      </c>
    </row>
    <row r="28" spans="1:20">
      <c r="A28" s="236" t="s">
        <v>106</v>
      </c>
      <c r="B28" s="239">
        <v>150</v>
      </c>
      <c r="C28" s="239">
        <v>120</v>
      </c>
      <c r="D28" s="239">
        <v>110</v>
      </c>
      <c r="E28" s="239">
        <v>90</v>
      </c>
      <c r="H28" s="236" t="s">
        <v>105</v>
      </c>
      <c r="I28" s="237">
        <v>8296.6</v>
      </c>
      <c r="L28" s="236" t="s">
        <v>199</v>
      </c>
      <c r="M28" s="239">
        <v>28</v>
      </c>
      <c r="N28" s="239">
        <v>27</v>
      </c>
      <c r="O28" s="239">
        <v>26</v>
      </c>
      <c r="P28" s="239">
        <v>25</v>
      </c>
    </row>
    <row r="29" spans="1:20">
      <c r="A29" s="236" t="s">
        <v>104</v>
      </c>
      <c r="B29" s="239">
        <v>28</v>
      </c>
      <c r="C29" s="239">
        <v>27</v>
      </c>
      <c r="D29" s="239">
        <v>26</v>
      </c>
      <c r="E29" s="239">
        <v>25</v>
      </c>
      <c r="H29" s="236" t="s">
        <v>104</v>
      </c>
      <c r="I29" s="238">
        <v>11210</v>
      </c>
      <c r="L29" s="236" t="s">
        <v>200</v>
      </c>
      <c r="M29" s="239">
        <v>32</v>
      </c>
      <c r="N29" s="239">
        <v>31</v>
      </c>
      <c r="O29" s="239">
        <v>30</v>
      </c>
      <c r="P29" s="239">
        <v>28</v>
      </c>
    </row>
    <row r="30" spans="1:20">
      <c r="A30" s="236" t="s">
        <v>107</v>
      </c>
      <c r="B30" s="239">
        <v>32</v>
      </c>
      <c r="C30" s="239">
        <v>31</v>
      </c>
      <c r="D30" s="239">
        <v>30</v>
      </c>
      <c r="E30" s="239">
        <v>28</v>
      </c>
      <c r="L30" s="236" t="s">
        <v>201</v>
      </c>
      <c r="M30" s="237">
        <v>7547.06</v>
      </c>
      <c r="N30" s="237">
        <v>8634.65</v>
      </c>
      <c r="O30" s="237">
        <v>9871.65</v>
      </c>
      <c r="P30" s="237">
        <v>11313.85</v>
      </c>
    </row>
    <row r="31" spans="1:20">
      <c r="L31" s="236" t="s">
        <v>202</v>
      </c>
      <c r="M31" s="236">
        <v>739.89</v>
      </c>
      <c r="N31" s="236">
        <v>900.49</v>
      </c>
      <c r="O31" s="237">
        <v>1087.53</v>
      </c>
      <c r="P31" s="237">
        <v>1252.6099999999999</v>
      </c>
    </row>
    <row r="32" spans="1:20">
      <c r="A32" s="268" t="s">
        <v>159</v>
      </c>
      <c r="B32" s="268"/>
      <c r="C32" s="235"/>
      <c r="D32" s="235"/>
      <c r="E32" s="235"/>
      <c r="F32" s="235"/>
      <c r="L32" s="236" t="s">
        <v>203</v>
      </c>
      <c r="M32" s="237">
        <v>23222.9</v>
      </c>
      <c r="N32" s="237">
        <v>23183</v>
      </c>
      <c r="O32" s="237">
        <v>25494</v>
      </c>
      <c r="P32" s="237">
        <v>25920</v>
      </c>
    </row>
    <row r="33" spans="1:16">
      <c r="A33" s="235" t="s">
        <v>153</v>
      </c>
      <c r="B33" s="235">
        <v>2021</v>
      </c>
      <c r="C33" s="235">
        <v>2022</v>
      </c>
      <c r="D33" s="235">
        <v>2023</v>
      </c>
      <c r="E33" s="235">
        <v>2024</v>
      </c>
      <c r="F33" s="235"/>
      <c r="L33" s="236" t="s">
        <v>204</v>
      </c>
      <c r="M33" s="237">
        <v>6584</v>
      </c>
      <c r="N33" s="237">
        <v>6842</v>
      </c>
      <c r="O33" s="237">
        <v>7076</v>
      </c>
      <c r="P33" s="237">
        <v>7549</v>
      </c>
    </row>
    <row r="34" spans="1:16">
      <c r="A34" s="236" t="s">
        <v>105</v>
      </c>
      <c r="B34" s="237">
        <v>7547.06</v>
      </c>
      <c r="C34" s="237">
        <v>8634.65</v>
      </c>
      <c r="D34" s="237">
        <v>9871.65</v>
      </c>
      <c r="E34" s="237">
        <v>11313.85</v>
      </c>
    </row>
    <row r="35" spans="1:16">
      <c r="A35" s="236" t="s">
        <v>106</v>
      </c>
      <c r="B35" s="236">
        <v>739.89</v>
      </c>
      <c r="C35" s="236">
        <v>900.49</v>
      </c>
      <c r="D35" s="237">
        <v>1087.53</v>
      </c>
      <c r="E35" s="237">
        <v>1252.6099999999999</v>
      </c>
    </row>
    <row r="36" spans="1:16">
      <c r="A36" s="236" t="s">
        <v>104</v>
      </c>
      <c r="B36" s="237">
        <v>23222.9</v>
      </c>
      <c r="C36" s="237">
        <v>23183</v>
      </c>
      <c r="D36" s="237">
        <v>25494</v>
      </c>
      <c r="E36" s="237">
        <v>25920</v>
      </c>
    </row>
    <row r="37" spans="1:16">
      <c r="A37" s="236" t="s">
        <v>107</v>
      </c>
      <c r="B37" s="237">
        <v>6584</v>
      </c>
      <c r="C37" s="237">
        <v>6842</v>
      </c>
      <c r="D37" s="237">
        <v>7076</v>
      </c>
      <c r="E37" s="237">
        <v>7549</v>
      </c>
    </row>
    <row r="39" spans="1:16">
      <c r="A39" s="268" t="s">
        <v>160</v>
      </c>
      <c r="B39" s="268"/>
    </row>
    <row r="40" spans="1:16">
      <c r="A40" s="235" t="s">
        <v>153</v>
      </c>
      <c r="B40" s="235" t="s">
        <v>161</v>
      </c>
      <c r="C40" s="235"/>
    </row>
    <row r="41" spans="1:16">
      <c r="A41" s="236" t="s">
        <v>105</v>
      </c>
      <c r="B41" s="236" t="s">
        <v>162</v>
      </c>
    </row>
    <row r="42" spans="1:16">
      <c r="A42" s="236" t="s">
        <v>106</v>
      </c>
      <c r="B42" s="236" t="s">
        <v>163</v>
      </c>
    </row>
    <row r="43" spans="1:16">
      <c r="A43" s="236" t="s">
        <v>104</v>
      </c>
      <c r="B43" s="236" t="s">
        <v>164</v>
      </c>
    </row>
    <row r="44" spans="1:16">
      <c r="A44" s="236" t="s">
        <v>107</v>
      </c>
      <c r="B44" s="236" t="s">
        <v>165</v>
      </c>
    </row>
    <row r="46" spans="1:16">
      <c r="A46" s="268" t="s">
        <v>166</v>
      </c>
      <c r="B46" s="268"/>
    </row>
    <row r="47" spans="1:16">
      <c r="A47" s="235" t="s">
        <v>153</v>
      </c>
      <c r="B47" s="235" t="s">
        <v>167</v>
      </c>
      <c r="C47" s="235" t="s">
        <v>168</v>
      </c>
      <c r="D47" s="235"/>
      <c r="E47" s="235"/>
    </row>
    <row r="48" spans="1:16">
      <c r="A48" s="236" t="s">
        <v>105</v>
      </c>
      <c r="B48" s="237">
        <v>11313.85</v>
      </c>
      <c r="C48" s="237">
        <v>3017.69</v>
      </c>
    </row>
    <row r="49" spans="1:3">
      <c r="A49" s="236" t="s">
        <v>106</v>
      </c>
      <c r="B49" s="237">
        <v>1252.6099999999999</v>
      </c>
      <c r="C49" s="236">
        <v>302.47000000000003</v>
      </c>
    </row>
    <row r="50" spans="1:3">
      <c r="A50" s="236" t="s">
        <v>104</v>
      </c>
      <c r="B50" s="237">
        <v>25920</v>
      </c>
      <c r="C50" s="237">
        <v>14710</v>
      </c>
    </row>
    <row r="51" spans="1:3">
      <c r="A51" s="236" t="s">
        <v>107</v>
      </c>
      <c r="B51" s="237">
        <v>7549</v>
      </c>
      <c r="C51" s="237">
        <v>5429</v>
      </c>
    </row>
    <row r="54" spans="1:3" ht="14.4">
      <c r="A54" s="241" t="s">
        <v>169</v>
      </c>
      <c r="B54" s="242"/>
    </row>
    <row r="55" spans="1:3">
      <c r="A55" s="235" t="s">
        <v>153</v>
      </c>
      <c r="B55" s="235" t="s">
        <v>170</v>
      </c>
      <c r="C55" s="235"/>
    </row>
    <row r="56" spans="1:3">
      <c r="A56" s="236" t="s">
        <v>105</v>
      </c>
      <c r="B56" s="240">
        <v>60.3</v>
      </c>
    </row>
    <row r="57" spans="1:3">
      <c r="A57" s="236" t="s">
        <v>106</v>
      </c>
      <c r="B57" s="240">
        <v>85.5</v>
      </c>
    </row>
    <row r="58" spans="1:3">
      <c r="A58" s="236" t="s">
        <v>104</v>
      </c>
      <c r="B58" s="240">
        <v>275</v>
      </c>
    </row>
    <row r="59" spans="1:3">
      <c r="A59" s="236" t="s">
        <v>107</v>
      </c>
      <c r="B59" s="240">
        <v>120</v>
      </c>
    </row>
    <row r="62" spans="1:3">
      <c r="A62" s="268" t="s">
        <v>171</v>
      </c>
      <c r="B62" s="268"/>
    </row>
    <row r="63" spans="1:3">
      <c r="A63" s="236" t="s">
        <v>172</v>
      </c>
    </row>
    <row r="64" spans="1:3">
      <c r="A64" s="236" t="s">
        <v>173</v>
      </c>
    </row>
    <row r="69" spans="1:6" ht="14.4">
      <c r="A69" s="241" t="s">
        <v>174</v>
      </c>
      <c r="B69" s="242"/>
      <c r="C69" s="242"/>
      <c r="D69" s="242"/>
      <c r="E69" s="242"/>
    </row>
    <row r="70" spans="1:6" ht="14.4">
      <c r="A70" s="243" t="s">
        <v>175</v>
      </c>
      <c r="B70" s="243" t="s">
        <v>176</v>
      </c>
      <c r="C70" s="243" t="s">
        <v>177</v>
      </c>
      <c r="D70" s="243" t="s">
        <v>178</v>
      </c>
      <c r="E70" s="243" t="s">
        <v>179</v>
      </c>
      <c r="F70" s="235"/>
    </row>
    <row r="71" spans="1:6" ht="14.4">
      <c r="A71" s="244">
        <v>2021</v>
      </c>
      <c r="B71" s="245">
        <v>70</v>
      </c>
      <c r="C71" s="245">
        <v>150</v>
      </c>
      <c r="D71" s="245">
        <v>28</v>
      </c>
      <c r="E71" s="245">
        <v>32</v>
      </c>
    </row>
    <row r="72" spans="1:6" ht="14.4">
      <c r="A72" s="244">
        <v>2022</v>
      </c>
      <c r="B72" s="245">
        <v>65</v>
      </c>
      <c r="C72" s="245">
        <v>120</v>
      </c>
      <c r="D72" s="245">
        <v>27</v>
      </c>
      <c r="E72" s="245">
        <v>31</v>
      </c>
    </row>
    <row r="73" spans="1:6" ht="14.4">
      <c r="A73" s="244">
        <v>2023</v>
      </c>
      <c r="B73" s="245">
        <v>60</v>
      </c>
      <c r="C73" s="245">
        <v>110</v>
      </c>
      <c r="D73" s="245">
        <v>26</v>
      </c>
      <c r="E73" s="245">
        <v>30</v>
      </c>
    </row>
    <row r="74" spans="1:6" ht="14.4">
      <c r="A74" s="244">
        <v>2024</v>
      </c>
      <c r="B74" s="245">
        <v>55</v>
      </c>
      <c r="C74" s="245">
        <v>90</v>
      </c>
      <c r="D74" s="245">
        <v>25</v>
      </c>
      <c r="E74" s="245">
        <v>28</v>
      </c>
    </row>
    <row r="77" spans="1:6">
      <c r="A77" s="242"/>
      <c r="B77" s="242"/>
      <c r="C77" s="242"/>
      <c r="D77" s="242"/>
      <c r="E77" s="242"/>
      <c r="F77" s="242"/>
    </row>
    <row r="78" spans="1:6" ht="14.4">
      <c r="A78" s="241" t="s">
        <v>180</v>
      </c>
      <c r="B78" s="242"/>
      <c r="C78" s="242"/>
      <c r="D78" s="242"/>
      <c r="E78" s="242"/>
      <c r="F78" s="242"/>
    </row>
    <row r="79" spans="1:6" ht="14.4">
      <c r="A79" s="243" t="s">
        <v>175</v>
      </c>
      <c r="B79" s="243" t="s">
        <v>176</v>
      </c>
      <c r="C79" s="243" t="s">
        <v>177</v>
      </c>
      <c r="D79" s="243" t="s">
        <v>178</v>
      </c>
      <c r="E79" s="243" t="s">
        <v>179</v>
      </c>
      <c r="F79" s="235"/>
    </row>
    <row r="80" spans="1:6" ht="14.4">
      <c r="A80" s="244">
        <v>2021</v>
      </c>
      <c r="B80" s="245">
        <v>10.5</v>
      </c>
      <c r="C80" s="245">
        <v>0.5</v>
      </c>
      <c r="D80" s="245">
        <v>8</v>
      </c>
      <c r="E80" s="245">
        <v>3</v>
      </c>
      <c r="F80" s="242"/>
    </row>
    <row r="81" spans="1:6" ht="14.4">
      <c r="A81" s="244">
        <v>2022</v>
      </c>
      <c r="B81" s="245">
        <v>12</v>
      </c>
      <c r="C81" s="245">
        <v>0.7</v>
      </c>
      <c r="D81" s="245">
        <v>8.3000000000000007</v>
      </c>
      <c r="E81" s="245">
        <v>3.2</v>
      </c>
      <c r="F81" s="242"/>
    </row>
    <row r="82" spans="1:6" ht="14.4">
      <c r="A82" s="244">
        <v>2023</v>
      </c>
      <c r="B82" s="245">
        <v>13</v>
      </c>
      <c r="C82" s="245">
        <v>0.9</v>
      </c>
      <c r="D82" s="245">
        <v>8.9</v>
      </c>
      <c r="E82" s="245">
        <v>3.5</v>
      </c>
      <c r="F82" s="242"/>
    </row>
    <row r="83" spans="1:6" ht="14.4">
      <c r="A83" s="244">
        <v>2024</v>
      </c>
      <c r="B83" s="245">
        <v>15</v>
      </c>
      <c r="C83" s="245">
        <v>1.2</v>
      </c>
      <c r="D83" s="245">
        <v>9.5</v>
      </c>
      <c r="E83" s="245">
        <v>3.8</v>
      </c>
      <c r="F83" s="242"/>
    </row>
    <row r="86" spans="1:6" ht="14.4">
      <c r="A86" s="241" t="s">
        <v>181</v>
      </c>
      <c r="B86" s="242"/>
      <c r="C86" s="242"/>
      <c r="D86" s="242"/>
      <c r="E86" s="242"/>
    </row>
    <row r="87" spans="1:6" ht="14.4">
      <c r="A87" s="243" t="s">
        <v>175</v>
      </c>
      <c r="B87" s="243" t="s">
        <v>176</v>
      </c>
      <c r="C87" s="243" t="s">
        <v>177</v>
      </c>
      <c r="D87" s="243" t="s">
        <v>178</v>
      </c>
      <c r="E87" s="243" t="s">
        <v>179</v>
      </c>
      <c r="F87" s="235"/>
    </row>
    <row r="88" spans="1:6" ht="14.4">
      <c r="A88" s="244">
        <v>2021</v>
      </c>
      <c r="B88" s="245">
        <v>2791.47</v>
      </c>
      <c r="C88" s="245">
        <v>178.28</v>
      </c>
      <c r="D88" s="245">
        <v>11145</v>
      </c>
      <c r="E88" s="245">
        <v>4845</v>
      </c>
    </row>
    <row r="89" spans="1:6" ht="14.4">
      <c r="A89" s="244">
        <v>2022</v>
      </c>
      <c r="B89" s="245">
        <v>3209.17</v>
      </c>
      <c r="C89" s="245">
        <v>216.12</v>
      </c>
      <c r="D89" s="245">
        <v>11612</v>
      </c>
      <c r="E89" s="245">
        <v>4942</v>
      </c>
    </row>
    <row r="90" spans="1:6" ht="14.4">
      <c r="A90" s="244">
        <v>2023</v>
      </c>
      <c r="B90" s="245">
        <v>3676.87</v>
      </c>
      <c r="C90" s="245">
        <v>261.01</v>
      </c>
      <c r="D90" s="245">
        <v>12352</v>
      </c>
      <c r="E90" s="245">
        <v>5061</v>
      </c>
    </row>
    <row r="91" spans="1:6" ht="14.4">
      <c r="A91" s="244">
        <v>2024</v>
      </c>
      <c r="B91" s="245">
        <v>3017.69</v>
      </c>
      <c r="C91" s="245">
        <v>302.47000000000003</v>
      </c>
      <c r="D91" s="245">
        <v>14710</v>
      </c>
      <c r="E91" s="245">
        <v>5429</v>
      </c>
    </row>
    <row r="92" spans="1:6">
      <c r="A92" s="242"/>
      <c r="B92" s="242"/>
      <c r="C92" s="242"/>
      <c r="D92" s="242"/>
      <c r="E92" s="242"/>
    </row>
    <row r="94" spans="1:6" ht="14.4">
      <c r="A94" s="241" t="s">
        <v>182</v>
      </c>
      <c r="B94" s="242"/>
      <c r="C94" s="242"/>
      <c r="D94" s="242"/>
      <c r="E94" s="242"/>
    </row>
    <row r="95" spans="1:6" ht="14.4">
      <c r="A95" s="243" t="s">
        <v>175</v>
      </c>
      <c r="B95" s="243" t="s">
        <v>176</v>
      </c>
      <c r="C95" s="243" t="s">
        <v>177</v>
      </c>
      <c r="D95" s="243" t="s">
        <v>178</v>
      </c>
      <c r="E95" s="243" t="s">
        <v>179</v>
      </c>
      <c r="F95" s="235"/>
    </row>
    <row r="96" spans="1:6" ht="14.4">
      <c r="A96" s="244">
        <v>2021</v>
      </c>
      <c r="B96" s="245">
        <v>7547.06</v>
      </c>
      <c r="C96" s="245">
        <v>739.89</v>
      </c>
      <c r="D96" s="245">
        <v>23222.9</v>
      </c>
      <c r="E96" s="245">
        <v>6584</v>
      </c>
    </row>
    <row r="97" spans="1:10" ht="14.4">
      <c r="A97" s="244">
        <v>2022</v>
      </c>
      <c r="B97" s="245">
        <v>8634.65</v>
      </c>
      <c r="C97" s="245">
        <v>900.49</v>
      </c>
      <c r="D97" s="245">
        <v>23183</v>
      </c>
      <c r="E97" s="245">
        <v>6842</v>
      </c>
    </row>
    <row r="98" spans="1:10" ht="14.4">
      <c r="A98" s="244">
        <v>2023</v>
      </c>
      <c r="B98" s="245">
        <v>9871.65</v>
      </c>
      <c r="C98" s="245">
        <v>1087.53</v>
      </c>
      <c r="D98" s="245">
        <v>25494</v>
      </c>
      <c r="E98" s="245">
        <v>7076</v>
      </c>
    </row>
    <row r="99" spans="1:10" ht="14.4">
      <c r="A99" s="244">
        <v>2024</v>
      </c>
      <c r="B99" s="245">
        <v>11313.85</v>
      </c>
      <c r="C99" s="245">
        <v>1252.6099999999999</v>
      </c>
      <c r="D99" s="245">
        <v>25920</v>
      </c>
      <c r="E99" s="245">
        <v>7549</v>
      </c>
    </row>
    <row r="103" spans="1:10" ht="14.4">
      <c r="A103" s="241" t="s">
        <v>183</v>
      </c>
      <c r="B103" s="242"/>
      <c r="C103" s="242"/>
      <c r="D103" s="242"/>
      <c r="E103" s="242"/>
      <c r="F103" s="242"/>
      <c r="G103" s="242"/>
      <c r="H103" s="242"/>
      <c r="I103" s="242"/>
      <c r="J103" s="242"/>
    </row>
    <row r="104" spans="1:10" ht="14.4">
      <c r="A104" s="243" t="s">
        <v>175</v>
      </c>
      <c r="B104" s="243" t="s">
        <v>184</v>
      </c>
      <c r="C104" s="243" t="s">
        <v>185</v>
      </c>
      <c r="D104" s="243" t="s">
        <v>186</v>
      </c>
      <c r="E104" s="243" t="s">
        <v>187</v>
      </c>
      <c r="F104" s="243" t="s">
        <v>188</v>
      </c>
      <c r="G104" s="243" t="s">
        <v>189</v>
      </c>
      <c r="H104" s="243" t="s">
        <v>190</v>
      </c>
      <c r="I104" s="243" t="s">
        <v>191</v>
      </c>
      <c r="J104" s="242"/>
    </row>
    <row r="105" spans="1:10" ht="14.4">
      <c r="A105" s="244">
        <v>2021</v>
      </c>
      <c r="B105" s="244">
        <v>7547.06</v>
      </c>
      <c r="C105" s="244">
        <v>739.89</v>
      </c>
      <c r="D105" s="244">
        <v>23222.9</v>
      </c>
      <c r="E105" s="244">
        <v>6584</v>
      </c>
      <c r="F105" s="244">
        <v>2791.47</v>
      </c>
      <c r="G105" s="244">
        <v>178.28</v>
      </c>
      <c r="H105" s="244">
        <v>11145</v>
      </c>
      <c r="I105" s="244">
        <v>4845</v>
      </c>
      <c r="J105" s="242"/>
    </row>
    <row r="106" spans="1:10" ht="14.4">
      <c r="A106" s="244">
        <v>2022</v>
      </c>
      <c r="B106" s="244">
        <v>8634.65</v>
      </c>
      <c r="C106" s="244">
        <v>900.49</v>
      </c>
      <c r="D106" s="244">
        <v>23183</v>
      </c>
      <c r="E106" s="244">
        <v>6842</v>
      </c>
      <c r="F106" s="244">
        <v>3209.17</v>
      </c>
      <c r="G106" s="244">
        <v>216.12</v>
      </c>
      <c r="H106" s="244">
        <v>11612</v>
      </c>
      <c r="I106" s="244">
        <v>4942</v>
      </c>
      <c r="J106" s="242"/>
    </row>
    <row r="107" spans="1:10" ht="14.4">
      <c r="A107" s="244">
        <v>2023</v>
      </c>
      <c r="B107" s="244">
        <v>9871.65</v>
      </c>
      <c r="C107" s="244">
        <v>1087.53</v>
      </c>
      <c r="D107" s="244">
        <v>25494</v>
      </c>
      <c r="E107" s="244">
        <v>7076</v>
      </c>
      <c r="F107" s="244">
        <v>3676.87</v>
      </c>
      <c r="G107" s="244">
        <v>261.01</v>
      </c>
      <c r="H107" s="244">
        <v>12352</v>
      </c>
      <c r="I107" s="244">
        <v>5061</v>
      </c>
      <c r="J107" s="242"/>
    </row>
    <row r="108" spans="1:10" ht="14.4">
      <c r="A108" s="244">
        <v>2024</v>
      </c>
      <c r="B108" s="244">
        <v>11313.85</v>
      </c>
      <c r="C108" s="244">
        <v>1252.6099999999999</v>
      </c>
      <c r="D108" s="244">
        <v>25920</v>
      </c>
      <c r="E108" s="244">
        <v>7549</v>
      </c>
      <c r="F108" s="244">
        <v>3017.69</v>
      </c>
      <c r="G108" s="244">
        <v>302.47000000000003</v>
      </c>
      <c r="H108" s="244">
        <v>14710</v>
      </c>
      <c r="I108" s="244">
        <v>5429</v>
      </c>
      <c r="J108" s="242"/>
    </row>
  </sheetData>
  <mergeCells count="10">
    <mergeCell ref="A39:B39"/>
    <mergeCell ref="A46:B46"/>
    <mergeCell ref="A62:B62"/>
    <mergeCell ref="L24:M24"/>
    <mergeCell ref="A1:B1"/>
    <mergeCell ref="A10:B10"/>
    <mergeCell ref="D12:F12"/>
    <mergeCell ref="A18:B18"/>
    <mergeCell ref="A25:B25"/>
    <mergeCell ref="A32:B3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Exe Sum</vt:lpstr>
      <vt:lpstr>ChartData</vt:lpstr>
      <vt:lpstr>MEMO</vt:lpstr>
      <vt:lpstr>Industry</vt:lpstr>
      <vt:lpstr>C24-21</vt:lpstr>
      <vt:lpstr>YOY CMG</vt:lpstr>
      <vt:lpstr>S24-21</vt:lpstr>
      <vt:lpstr>YOY SHAK</vt:lpstr>
      <vt:lpstr>M24-21</vt:lpstr>
      <vt:lpstr>YOY MCD</vt:lpstr>
      <vt:lpstr>Y24-21</vt:lpstr>
      <vt:lpstr>YOY Yum</vt:lpstr>
      <vt:lpstr>Ratio Formulas</vt:lpstr>
      <vt:lpstr>Sheet1</vt:lpstr>
      <vt:lpstr>'C24-21'!Print_Area</vt:lpstr>
      <vt:lpstr>Industry!Print_Area</vt:lpstr>
      <vt:lpstr>'M24-21'!Print_Area</vt:lpstr>
      <vt:lpstr>MEMO!Print_Area</vt:lpstr>
      <vt:lpstr>'S24-21'!Print_Area</vt:lpstr>
      <vt:lpstr>'Y24-21'!Print_Area</vt:lpstr>
      <vt:lpstr>'YOY CMG'!Print_Area</vt:lpstr>
      <vt:lpstr>'YOY MCD'!Print_Area</vt:lpstr>
      <vt:lpstr>'YOY SHAK'!Print_Area</vt:lpstr>
      <vt:lpstr>'YOY Yum'!Print_Area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MJ Sanacore</cp:lastModifiedBy>
  <cp:revision>0</cp:revision>
  <cp:lastPrinted>2025-04-10T19:44:57Z</cp:lastPrinted>
  <dcterms:created xsi:type="dcterms:W3CDTF">2021-09-09T10:06:06Z</dcterms:created>
  <dcterms:modified xsi:type="dcterms:W3CDTF">2026-01-31T22:36:11Z</dcterms:modified>
</cp:coreProperties>
</file>