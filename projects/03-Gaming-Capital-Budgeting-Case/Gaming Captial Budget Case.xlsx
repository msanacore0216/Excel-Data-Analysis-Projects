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2.xml" ContentType="application/vnd.ms-excel.slicer+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19176\Desktop\BUS 356 Portfolio\"/>
    </mc:Choice>
  </mc:AlternateContent>
  <xr:revisionPtr revIDLastSave="0" documentId="8_{3D94C679-487D-4E51-BC1F-B472F6F8A047}" xr6:coauthVersionLast="47" xr6:coauthVersionMax="47" xr10:uidLastSave="{00000000-0000-0000-0000-000000000000}"/>
  <bookViews>
    <workbookView xWindow="-108" yWindow="-108" windowWidth="23256" windowHeight="12456" tabRatio="711" xr2:uid="{00000000-000D-0000-FFFF-FFFF00000000}"/>
  </bookViews>
  <sheets>
    <sheet name="Exe Sum &amp; Dashboard" sheetId="17" r:id="rId1"/>
    <sheet name="Memo" sheetId="16" r:id="rId2"/>
    <sheet name="Capital Requirements" sheetId="6" r:id="rId3"/>
    <sheet name="Family" sheetId="2" r:id="rId4"/>
    <sheet name="RPG" sheetId="13" r:id="rId5"/>
    <sheet name="Craft" sheetId="12" r:id="rId6"/>
    <sheet name="Action" sheetId="18" r:id="rId7"/>
    <sheet name="Starting New" sheetId="15" r:id="rId8"/>
    <sheet name="Chart Data1" sheetId="20" r:id="rId9"/>
    <sheet name="Chart Data2" sheetId="22" r:id="rId10"/>
  </sheets>
  <definedNames>
    <definedName name="_xlchart.v1.0" hidden="1">'Chart Data1'!$Q$70:$Q$78</definedName>
    <definedName name="_xlchart.v1.1" hidden="1">'Chart Data1'!$R$69</definedName>
    <definedName name="_xlchart.v1.2" hidden="1">'Chart Data1'!$R$70:$R$78</definedName>
    <definedName name="_xlnm.Print_Area" localSheetId="6">Action!$A$1:$M$37</definedName>
    <definedName name="_xlnm.Print_Area" localSheetId="2">'Capital Requirements'!$A$1:$F$45</definedName>
    <definedName name="_xlnm.Print_Area" localSheetId="8">'Chart Data1'!$B$2:$R$47,'Chart Data1'!$T$7:$Y$24,'Chart Data1'!$B$50:$S$85</definedName>
    <definedName name="_xlnm.Print_Area" localSheetId="9">'Chart Data2'!$A$1:$G$12</definedName>
    <definedName name="_xlnm.Print_Area" localSheetId="5">Craft!$A$1:$M$37</definedName>
    <definedName name="_xlnm.Print_Area" localSheetId="0">'Exe Sum &amp; Dashboard'!$M$3:$BE$80,'Exe Sum &amp; Dashboard'!$A$3:$L$112</definedName>
    <definedName name="_xlnm.Print_Area" localSheetId="3">Family!$A$1:$M$37</definedName>
    <definedName name="_xlnm.Print_Area" localSheetId="1">Memo!$A$3:$M$51</definedName>
    <definedName name="_xlnm.Print_Area" localSheetId="4">RPG!$A$1:$M$37</definedName>
    <definedName name="_xlnm.Print_Area" localSheetId="7">'Starting New'!$A$1:$M$37</definedName>
    <definedName name="Slicer_Company1">#N/A</definedName>
    <definedName name="Slicer_Company3">#N/A</definedName>
    <definedName name="Slicer_Year">#N/A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2" l="1"/>
  <c r="D24" i="2"/>
  <c r="R74" i="20"/>
  <c r="M77" i="20"/>
  <c r="N70" i="20"/>
  <c r="M71" i="20"/>
  <c r="P83" i="20"/>
  <c r="N83" i="20"/>
  <c r="N82" i="20"/>
  <c r="L70" i="20"/>
  <c r="S84" i="20"/>
  <c r="O83" i="20"/>
  <c r="K72" i="20"/>
  <c r="O75" i="20"/>
  <c r="M82" i="20"/>
  <c r="M83" i="20"/>
  <c r="L73" i="20"/>
  <c r="R71" i="20"/>
  <c r="M84" i="20"/>
  <c r="O81" i="20"/>
  <c r="N75" i="20"/>
  <c r="M70" i="20"/>
  <c r="R83" i="20"/>
  <c r="S81" i="20"/>
  <c r="K78" i="20"/>
  <c r="O76" i="20"/>
  <c r="M85" i="20"/>
  <c r="O77" i="20"/>
  <c r="K74" i="20"/>
  <c r="R84" i="20"/>
  <c r="L71" i="20"/>
  <c r="M75" i="20"/>
  <c r="K70" i="20"/>
  <c r="Q85" i="20"/>
  <c r="N85" i="20"/>
  <c r="L85" i="20"/>
  <c r="O84" i="20"/>
  <c r="M74" i="20"/>
  <c r="L77" i="20"/>
  <c r="L76" i="20"/>
  <c r="O82" i="20"/>
  <c r="R78" i="20"/>
  <c r="K75" i="20"/>
  <c r="O71" i="20"/>
  <c r="O70" i="20"/>
  <c r="N81" i="20"/>
  <c r="Q82" i="20"/>
  <c r="R81" i="20"/>
  <c r="M72" i="20"/>
  <c r="S82" i="20"/>
  <c r="R75" i="20"/>
  <c r="L82" i="20"/>
  <c r="L83" i="20"/>
  <c r="N72" i="20"/>
  <c r="P85" i="20"/>
  <c r="N84" i="20"/>
  <c r="P81" i="20"/>
  <c r="R82" i="20"/>
  <c r="P84" i="20"/>
  <c r="L74" i="20"/>
  <c r="Q83" i="20"/>
  <c r="K81" i="20"/>
  <c r="R77" i="20"/>
  <c r="N74" i="20"/>
  <c r="L78" i="20"/>
  <c r="K76" i="20"/>
  <c r="L84" i="20"/>
  <c r="S85" i="20"/>
  <c r="P82" i="20"/>
  <c r="N71" i="20"/>
  <c r="M76" i="20"/>
  <c r="K82" i="20"/>
  <c r="O73" i="20"/>
  <c r="K84" i="20"/>
  <c r="O78" i="20"/>
  <c r="R73" i="20"/>
  <c r="K85" i="20"/>
  <c r="K83" i="20"/>
  <c r="N76" i="20"/>
  <c r="R70" i="20"/>
  <c r="L75" i="20"/>
  <c r="K77" i="20"/>
  <c r="O85" i="20"/>
  <c r="Q84" i="20"/>
  <c r="L81" i="20"/>
  <c r="K71" i="20"/>
  <c r="R76" i="20"/>
  <c r="M81" i="20"/>
  <c r="N73" i="20"/>
  <c r="M78" i="20"/>
  <c r="R72" i="20"/>
  <c r="M73" i="20"/>
  <c r="L72" i="20"/>
  <c r="K73" i="20"/>
  <c r="S83" i="20"/>
  <c r="N77" i="20"/>
  <c r="R85" i="20"/>
  <c r="O72" i="20"/>
  <c r="N78" i="20"/>
  <c r="Q81" i="20"/>
  <c r="O74" i="20"/>
  <c r="D29" i="15" l="1"/>
  <c r="D30" i="15"/>
  <c r="D31" i="15"/>
  <c r="D32" i="15"/>
  <c r="D33" i="15"/>
  <c r="D34" i="15"/>
  <c r="D35" i="15"/>
  <c r="D36" i="15"/>
  <c r="D28" i="15"/>
  <c r="D22" i="18"/>
  <c r="C29" i="12"/>
  <c r="C30" i="12"/>
  <c r="C31" i="12"/>
  <c r="C32" i="12"/>
  <c r="C33" i="12"/>
  <c r="C34" i="12"/>
  <c r="C35" i="12"/>
  <c r="C36" i="12"/>
  <c r="C28" i="12"/>
  <c r="D29" i="18"/>
  <c r="D30" i="18"/>
  <c r="D31" i="18"/>
  <c r="D32" i="18"/>
  <c r="D33" i="18"/>
  <c r="D34" i="18"/>
  <c r="D35" i="18"/>
  <c r="D36" i="18"/>
  <c r="D22" i="12"/>
  <c r="D29" i="12"/>
  <c r="D30" i="12"/>
  <c r="D31" i="12"/>
  <c r="D32" i="12"/>
  <c r="D33" i="12"/>
  <c r="D34" i="12"/>
  <c r="D35" i="12"/>
  <c r="D36" i="12"/>
  <c r="D28" i="12"/>
  <c r="D29" i="13"/>
  <c r="D30" i="13"/>
  <c r="D31" i="13"/>
  <c r="D32" i="13"/>
  <c r="D33" i="13"/>
  <c r="D34" i="13"/>
  <c r="D35" i="13"/>
  <c r="D36" i="13"/>
  <c r="D28" i="13"/>
  <c r="D37" i="15"/>
  <c r="B28" i="15"/>
  <c r="C29" i="15"/>
  <c r="C30" i="15"/>
  <c r="C31" i="15"/>
  <c r="C32" i="15"/>
  <c r="C33" i="15"/>
  <c r="C34" i="15"/>
  <c r="C35" i="15"/>
  <c r="C36" i="15"/>
  <c r="C28" i="15"/>
  <c r="H18" i="15"/>
  <c r="I18" i="15" s="1"/>
  <c r="G18" i="15"/>
  <c r="F18" i="15"/>
  <c r="F18" i="13"/>
  <c r="D24" i="12"/>
  <c r="I17" i="15"/>
  <c r="G12" i="15"/>
  <c r="G16" i="15" s="1"/>
  <c r="H12" i="15"/>
  <c r="H16" i="15" s="1"/>
  <c r="I12" i="15"/>
  <c r="I16" i="15" s="1"/>
  <c r="J12" i="15"/>
  <c r="J16" i="15" s="1"/>
  <c r="K12" i="15"/>
  <c r="K16" i="15" s="1"/>
  <c r="L12" i="15"/>
  <c r="L16" i="15" s="1"/>
  <c r="M12" i="15"/>
  <c r="M16" i="15" s="1"/>
  <c r="F12" i="15"/>
  <c r="F16" i="15" s="1"/>
  <c r="G11" i="15"/>
  <c r="H11" i="15"/>
  <c r="I11" i="15"/>
  <c r="J11" i="15"/>
  <c r="K11" i="15"/>
  <c r="L11" i="15"/>
  <c r="M11" i="15"/>
  <c r="F11" i="15"/>
  <c r="G9" i="15"/>
  <c r="G10" i="15" s="1"/>
  <c r="H9" i="15"/>
  <c r="H10" i="15" s="1"/>
  <c r="I9" i="15"/>
  <c r="I10" i="15" s="1"/>
  <c r="J9" i="15"/>
  <c r="J10" i="15" s="1"/>
  <c r="J13" i="15" s="1"/>
  <c r="K9" i="15"/>
  <c r="K10" i="15" s="1"/>
  <c r="K13" i="15" s="1"/>
  <c r="L9" i="15"/>
  <c r="L10" i="15" s="1"/>
  <c r="L13" i="15" s="1"/>
  <c r="M9" i="15"/>
  <c r="M10" i="15" s="1"/>
  <c r="M13" i="15" s="1"/>
  <c r="F9" i="15"/>
  <c r="F10" i="15" s="1"/>
  <c r="E6" i="15"/>
  <c r="E17" i="15" s="1"/>
  <c r="B28" i="18"/>
  <c r="D28" i="18" s="1"/>
  <c r="D37" i="18" s="1"/>
  <c r="C29" i="18"/>
  <c r="C30" i="18"/>
  <c r="C31" i="18"/>
  <c r="C32" i="18"/>
  <c r="C33" i="18"/>
  <c r="C34" i="18"/>
  <c r="C35" i="18"/>
  <c r="C36" i="18"/>
  <c r="C28" i="18"/>
  <c r="D23" i="18"/>
  <c r="F18" i="18"/>
  <c r="G18" i="18" s="1"/>
  <c r="F16" i="18"/>
  <c r="G12" i="18"/>
  <c r="G16" i="18" s="1"/>
  <c r="H12" i="18"/>
  <c r="H16" i="18" s="1"/>
  <c r="I12" i="18"/>
  <c r="I16" i="18" s="1"/>
  <c r="J12" i="18"/>
  <c r="J16" i="18" s="1"/>
  <c r="K12" i="18"/>
  <c r="K16" i="18" s="1"/>
  <c r="L12" i="18"/>
  <c r="L16" i="18" s="1"/>
  <c r="M12" i="18"/>
  <c r="M16" i="18" s="1"/>
  <c r="F12" i="18"/>
  <c r="G11" i="18"/>
  <c r="H11" i="18"/>
  <c r="I11" i="18"/>
  <c r="J11" i="18"/>
  <c r="K11" i="18"/>
  <c r="L11" i="18"/>
  <c r="M11" i="18"/>
  <c r="F11" i="18"/>
  <c r="G10" i="18"/>
  <c r="G13" i="18" s="1"/>
  <c r="H10" i="18"/>
  <c r="H13" i="18" s="1"/>
  <c r="I10" i="18"/>
  <c r="I13" i="18" s="1"/>
  <c r="J10" i="18"/>
  <c r="J13" i="18" s="1"/>
  <c r="K10" i="18"/>
  <c r="K13" i="18" s="1"/>
  <c r="L10" i="18"/>
  <c r="L13" i="18" s="1"/>
  <c r="M10" i="18"/>
  <c r="M13" i="18" s="1"/>
  <c r="G9" i="18"/>
  <c r="H9" i="18"/>
  <c r="I9" i="18"/>
  <c r="J9" i="18"/>
  <c r="K9" i="18"/>
  <c r="L9" i="18"/>
  <c r="M9" i="18"/>
  <c r="F9" i="18"/>
  <c r="F10" i="18" s="1"/>
  <c r="F13" i="18" s="1"/>
  <c r="E6" i="18"/>
  <c r="E17" i="18" s="1"/>
  <c r="B28" i="12"/>
  <c r="G12" i="12"/>
  <c r="G16" i="12" s="1"/>
  <c r="H12" i="12"/>
  <c r="H16" i="12" s="1"/>
  <c r="I12" i="12"/>
  <c r="I16" i="12" s="1"/>
  <c r="J12" i="12"/>
  <c r="J16" i="12" s="1"/>
  <c r="K12" i="12"/>
  <c r="K16" i="12" s="1"/>
  <c r="L12" i="12"/>
  <c r="L16" i="12" s="1"/>
  <c r="M12" i="12"/>
  <c r="M16" i="12" s="1"/>
  <c r="F12" i="12"/>
  <c r="F16" i="12" s="1"/>
  <c r="G11" i="12"/>
  <c r="H11" i="12"/>
  <c r="I11" i="12"/>
  <c r="J11" i="12"/>
  <c r="K11" i="12"/>
  <c r="L11" i="12"/>
  <c r="M11" i="12"/>
  <c r="F11" i="12"/>
  <c r="G9" i="12"/>
  <c r="G10" i="12" s="1"/>
  <c r="H9" i="12"/>
  <c r="H10" i="12" s="1"/>
  <c r="I9" i="12"/>
  <c r="I10" i="12" s="1"/>
  <c r="J9" i="12"/>
  <c r="J10" i="12" s="1"/>
  <c r="K9" i="12"/>
  <c r="K10" i="12" s="1"/>
  <c r="L9" i="12"/>
  <c r="L10" i="12" s="1"/>
  <c r="M9" i="12"/>
  <c r="M10" i="12" s="1"/>
  <c r="F9" i="12"/>
  <c r="F10" i="12" s="1"/>
  <c r="E6" i="12"/>
  <c r="E17" i="12" s="1"/>
  <c r="D37" i="13"/>
  <c r="B28" i="13"/>
  <c r="C29" i="13"/>
  <c r="C30" i="13"/>
  <c r="C31" i="13"/>
  <c r="C32" i="13"/>
  <c r="C33" i="13"/>
  <c r="C34" i="13"/>
  <c r="C35" i="13"/>
  <c r="C36" i="13"/>
  <c r="C28" i="13"/>
  <c r="D23" i="13"/>
  <c r="D22" i="13"/>
  <c r="G18" i="13"/>
  <c r="D24" i="13" s="1"/>
  <c r="E17" i="13"/>
  <c r="G16" i="13"/>
  <c r="H16" i="13"/>
  <c r="I16" i="13"/>
  <c r="J16" i="13"/>
  <c r="K16" i="13"/>
  <c r="L16" i="13"/>
  <c r="M16" i="13"/>
  <c r="F16" i="13"/>
  <c r="G12" i="13"/>
  <c r="H12" i="13"/>
  <c r="I12" i="13"/>
  <c r="J12" i="13"/>
  <c r="K12" i="13"/>
  <c r="L12" i="13"/>
  <c r="M12" i="13"/>
  <c r="F12" i="13"/>
  <c r="G11" i="13"/>
  <c r="H11" i="13"/>
  <c r="I11" i="13"/>
  <c r="J11" i="13"/>
  <c r="K11" i="13"/>
  <c r="L11" i="13"/>
  <c r="M11" i="13"/>
  <c r="F11" i="13"/>
  <c r="G10" i="13"/>
  <c r="G13" i="13" s="1"/>
  <c r="H10" i="13"/>
  <c r="H13" i="13" s="1"/>
  <c r="I10" i="13"/>
  <c r="I13" i="13" s="1"/>
  <c r="J10" i="13"/>
  <c r="J13" i="13" s="1"/>
  <c r="K10" i="13"/>
  <c r="K13" i="13" s="1"/>
  <c r="L10" i="13"/>
  <c r="L13" i="13" s="1"/>
  <c r="M10" i="13"/>
  <c r="M13" i="13" s="1"/>
  <c r="F10" i="13"/>
  <c r="F13" i="13" s="1"/>
  <c r="G9" i="13"/>
  <c r="H9" i="13"/>
  <c r="I9" i="13"/>
  <c r="J9" i="13"/>
  <c r="K9" i="13"/>
  <c r="L9" i="13"/>
  <c r="M9" i="13"/>
  <c r="F9" i="13"/>
  <c r="E6" i="13"/>
  <c r="C29" i="2"/>
  <c r="D29" i="2" s="1"/>
  <c r="C30" i="2"/>
  <c r="D30" i="2" s="1"/>
  <c r="C31" i="2"/>
  <c r="D31" i="2" s="1"/>
  <c r="C32" i="2"/>
  <c r="D32" i="2" s="1"/>
  <c r="C33" i="2"/>
  <c r="D33" i="2" s="1"/>
  <c r="C34" i="2"/>
  <c r="D34" i="2" s="1"/>
  <c r="C35" i="2"/>
  <c r="D35" i="2" s="1"/>
  <c r="C36" i="2"/>
  <c r="D36" i="2" s="1"/>
  <c r="D24" i="18" l="1"/>
  <c r="H18" i="18"/>
  <c r="I18" i="18" s="1"/>
  <c r="J18" i="18" s="1"/>
  <c r="K18" i="18" s="1"/>
  <c r="L18" i="18" s="1"/>
  <c r="M18" i="18" s="1"/>
  <c r="D37" i="12"/>
  <c r="D24" i="15"/>
  <c r="J18" i="15"/>
  <c r="K18" i="15" s="1"/>
  <c r="L18" i="15" s="1"/>
  <c r="M18" i="15" s="1"/>
  <c r="H18" i="13"/>
  <c r="I18" i="13" s="1"/>
  <c r="J18" i="13" s="1"/>
  <c r="K18" i="13" s="1"/>
  <c r="L18" i="13" s="1"/>
  <c r="M18" i="13" s="1"/>
  <c r="H13" i="15"/>
  <c r="G13" i="15"/>
  <c r="I13" i="15"/>
  <c r="F13" i="15"/>
  <c r="F14" i="15"/>
  <c r="F15" i="15"/>
  <c r="F17" i="15" s="1"/>
  <c r="M14" i="15"/>
  <c r="M15" i="15" s="1"/>
  <c r="M17" i="15" s="1"/>
  <c r="K14" i="15"/>
  <c r="K15" i="15" s="1"/>
  <c r="K17" i="15" s="1"/>
  <c r="L14" i="15"/>
  <c r="L15" i="15" s="1"/>
  <c r="L17" i="15" s="1"/>
  <c r="J14" i="15"/>
  <c r="J15" i="15" s="1"/>
  <c r="J17" i="15" s="1"/>
  <c r="I14" i="15"/>
  <c r="I15" i="15" s="1"/>
  <c r="H14" i="15"/>
  <c r="H15" i="15" s="1"/>
  <c r="H17" i="15" s="1"/>
  <c r="G14" i="15"/>
  <c r="G15" i="15" s="1"/>
  <c r="G17" i="15" s="1"/>
  <c r="L14" i="18"/>
  <c r="L15" i="18" s="1"/>
  <c r="L17" i="18" s="1"/>
  <c r="K14" i="18"/>
  <c r="K15" i="18"/>
  <c r="K17" i="18" s="1"/>
  <c r="J15" i="18"/>
  <c r="J17" i="18" s="1"/>
  <c r="J14" i="18"/>
  <c r="H14" i="18"/>
  <c r="H15" i="18" s="1"/>
  <c r="H17" i="18" s="1"/>
  <c r="F14" i="18"/>
  <c r="F15" i="18"/>
  <c r="F17" i="18" s="1"/>
  <c r="M14" i="18"/>
  <c r="M15" i="18" s="1"/>
  <c r="M17" i="18" s="1"/>
  <c r="I14" i="18"/>
  <c r="I15" i="18" s="1"/>
  <c r="I17" i="18" s="1"/>
  <c r="G14" i="18"/>
  <c r="G15" i="18" s="1"/>
  <c r="G17" i="18" s="1"/>
  <c r="M13" i="12"/>
  <c r="J13" i="12"/>
  <c r="L13" i="12"/>
  <c r="I13" i="12"/>
  <c r="K13" i="12"/>
  <c r="H13" i="12"/>
  <c r="G13" i="12"/>
  <c r="F13" i="12"/>
  <c r="F14" i="12" s="1"/>
  <c r="M14" i="12"/>
  <c r="L14" i="12"/>
  <c r="K14" i="12"/>
  <c r="J14" i="12"/>
  <c r="I14" i="12"/>
  <c r="H14" i="12"/>
  <c r="F14" i="13"/>
  <c r="F15" i="13"/>
  <c r="F17" i="13" s="1"/>
  <c r="M14" i="13"/>
  <c r="M15" i="13" s="1"/>
  <c r="M17" i="13" s="1"/>
  <c r="L14" i="13"/>
  <c r="L15" i="13" s="1"/>
  <c r="L17" i="13" s="1"/>
  <c r="K14" i="13"/>
  <c r="K15" i="13"/>
  <c r="K17" i="13" s="1"/>
  <c r="J14" i="13"/>
  <c r="J15" i="13" s="1"/>
  <c r="J17" i="13" s="1"/>
  <c r="I14" i="13"/>
  <c r="I15" i="13"/>
  <c r="I17" i="13" s="1"/>
  <c r="H14" i="13"/>
  <c r="H15" i="13" s="1"/>
  <c r="H17" i="13" s="1"/>
  <c r="G14" i="13"/>
  <c r="G15" i="13" s="1"/>
  <c r="G17" i="13" s="1"/>
  <c r="G12" i="2"/>
  <c r="G16" i="2" s="1"/>
  <c r="H12" i="2"/>
  <c r="H16" i="2" s="1"/>
  <c r="I12" i="2"/>
  <c r="I16" i="2" s="1"/>
  <c r="J12" i="2"/>
  <c r="J16" i="2" s="1"/>
  <c r="K12" i="2"/>
  <c r="K16" i="2" s="1"/>
  <c r="L12" i="2"/>
  <c r="L16" i="2" s="1"/>
  <c r="M12" i="2"/>
  <c r="M16" i="2" s="1"/>
  <c r="F12" i="2"/>
  <c r="F16" i="2" s="1"/>
  <c r="G11" i="2"/>
  <c r="H11" i="2"/>
  <c r="I11" i="2"/>
  <c r="J11" i="2"/>
  <c r="K11" i="2"/>
  <c r="L11" i="2"/>
  <c r="M11" i="2"/>
  <c r="F11" i="2"/>
  <c r="G9" i="2"/>
  <c r="G10" i="2" s="1"/>
  <c r="H9" i="2"/>
  <c r="H10" i="2" s="1"/>
  <c r="I9" i="2"/>
  <c r="I10" i="2" s="1"/>
  <c r="J9" i="2"/>
  <c r="J10" i="2" s="1"/>
  <c r="K9" i="2"/>
  <c r="K10" i="2" s="1"/>
  <c r="L9" i="2"/>
  <c r="L10" i="2" s="1"/>
  <c r="M9" i="2"/>
  <c r="M10" i="2" s="1"/>
  <c r="F9" i="2"/>
  <c r="F10" i="2" s="1"/>
  <c r="D22" i="15" l="1"/>
  <c r="D23" i="15"/>
  <c r="I15" i="12"/>
  <c r="L15" i="12"/>
  <c r="I17" i="12"/>
  <c r="L17" i="12"/>
  <c r="F15" i="12"/>
  <c r="F17" i="12" s="1"/>
  <c r="F18" i="12" s="1"/>
  <c r="H15" i="12"/>
  <c r="H17" i="12" s="1"/>
  <c r="J15" i="12"/>
  <c r="J17" i="12"/>
  <c r="K15" i="12"/>
  <c r="K17" i="12" s="1"/>
  <c r="G14" i="12"/>
  <c r="G15" i="12" s="1"/>
  <c r="G17" i="12" s="1"/>
  <c r="D23" i="12" s="1"/>
  <c r="M15" i="12"/>
  <c r="M17" i="12" s="1"/>
  <c r="J13" i="2"/>
  <c r="L13" i="2"/>
  <c r="K13" i="2"/>
  <c r="H13" i="2"/>
  <c r="H14" i="2" s="1"/>
  <c r="H15" i="2" s="1"/>
  <c r="H17" i="2" s="1"/>
  <c r="I13" i="2"/>
  <c r="G13" i="2"/>
  <c r="G14" i="2" s="1"/>
  <c r="G15" i="2" s="1"/>
  <c r="G17" i="2" s="1"/>
  <c r="M13" i="2"/>
  <c r="M14" i="2" s="1"/>
  <c r="M15" i="2" s="1"/>
  <c r="M17" i="2" s="1"/>
  <c r="L14" i="2"/>
  <c r="L15" i="2" s="1"/>
  <c r="L17" i="2" s="1"/>
  <c r="J14" i="2"/>
  <c r="J15" i="2" s="1"/>
  <c r="J17" i="2" s="1"/>
  <c r="F14" i="2"/>
  <c r="F15" i="2" s="1"/>
  <c r="F17" i="2" s="1"/>
  <c r="K14" i="2"/>
  <c r="K15" i="2"/>
  <c r="K17" i="2" s="1"/>
  <c r="I14" i="2"/>
  <c r="I15" i="2" s="1"/>
  <c r="I17" i="2" s="1"/>
  <c r="C28" i="2"/>
  <c r="E6" i="2"/>
  <c r="E17" i="2" s="1"/>
  <c r="D42" i="6"/>
  <c r="D43" i="6"/>
  <c r="D44" i="6"/>
  <c r="D45" i="6"/>
  <c r="D41" i="6"/>
  <c r="E9" i="6"/>
  <c r="E20" i="6"/>
  <c r="B9" i="6"/>
  <c r="C9" i="6"/>
  <c r="D9" i="6"/>
  <c r="F9" i="6"/>
  <c r="B20" i="6"/>
  <c r="C20" i="6"/>
  <c r="D20" i="6"/>
  <c r="F20" i="6"/>
  <c r="F18" i="2" l="1"/>
  <c r="G18" i="2" s="1"/>
  <c r="D23" i="2"/>
  <c r="D22" i="2"/>
  <c r="G18" i="12"/>
  <c r="H18" i="12" s="1"/>
  <c r="I18" i="12" s="1"/>
  <c r="J18" i="12" s="1"/>
  <c r="K18" i="12" s="1"/>
  <c r="L18" i="12" s="1"/>
  <c r="M18" i="12" s="1"/>
  <c r="H18" i="2"/>
  <c r="I18" i="2" s="1"/>
  <c r="J18" i="2" s="1"/>
  <c r="K18" i="2" s="1"/>
  <c r="L18" i="2" s="1"/>
  <c r="M18" i="2" s="1"/>
  <c r="B28" i="2"/>
  <c r="D28" i="2" l="1"/>
  <c r="D3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Nugent</author>
  </authors>
  <commentList>
    <comment ref="A40" authorId="0" shapeId="0" xr:uid="{00000000-0006-0000-0100-000001000000}">
      <text>
        <r>
          <rPr>
            <b/>
            <sz val="9"/>
            <color rgb="FF000000"/>
            <rFont val="Tahoma"/>
            <family val="2"/>
          </rPr>
          <t>Michael Nugent:</t>
        </r>
        <r>
          <rPr>
            <sz val="9"/>
            <color rgb="FF000000"/>
            <rFont val="Tahoma"/>
            <family val="2"/>
          </rPr>
          <t xml:space="preserve">
Add the "risk factor rate premium" to the "Base Interest Rate" when calculating NPV  for each Company.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Nugent</author>
  </authors>
  <commentList>
    <comment ref="E6" authorId="0" shapeId="0" xr:uid="{00000000-0006-0000-0200-000001000000}">
      <text>
        <r>
          <rPr>
            <b/>
            <sz val="9"/>
            <color rgb="FF000000"/>
            <rFont val="Tahoma"/>
            <family val="2"/>
          </rPr>
          <t>Michael Nugent:</t>
        </r>
        <r>
          <rPr>
            <sz val="9"/>
            <color rgb="FF000000"/>
            <rFont val="Tahoma"/>
            <family val="2"/>
          </rPr>
          <t xml:space="preserve">
</t>
        </r>
        <r>
          <rPr>
            <sz val="9"/>
            <color rgb="FF000000"/>
            <rFont val="Tahoma"/>
            <family val="2"/>
          </rPr>
          <t>This should be a negative number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Nugent</author>
  </authors>
  <commentList>
    <comment ref="E6" authorId="0" shapeId="0" xr:uid="{8F7A8881-6196-443D-ACE1-500C12BEB269}">
      <text>
        <r>
          <rPr>
            <b/>
            <sz val="9"/>
            <color rgb="FF000000"/>
            <rFont val="Tahoma"/>
            <family val="2"/>
          </rPr>
          <t>Michael Nugent:</t>
        </r>
        <r>
          <rPr>
            <sz val="9"/>
            <color rgb="FF000000"/>
            <rFont val="Tahoma"/>
            <family val="2"/>
          </rPr>
          <t xml:space="preserve">
</t>
        </r>
        <r>
          <rPr>
            <sz val="9"/>
            <color rgb="FF000000"/>
            <rFont val="Tahoma"/>
            <family val="2"/>
          </rPr>
          <t>This should be a negitive number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 Nugent</author>
  </authors>
  <commentList>
    <comment ref="E6" authorId="0" shapeId="0" xr:uid="{DB81815D-C219-41A8-A8D3-D5EE3700509B}">
      <text>
        <r>
          <rPr>
            <b/>
            <sz val="9"/>
            <color rgb="FF000000"/>
            <rFont val="Tahoma"/>
            <family val="2"/>
          </rPr>
          <t>Michael Nugent:</t>
        </r>
        <r>
          <rPr>
            <sz val="9"/>
            <color rgb="FF000000"/>
            <rFont val="Tahoma"/>
            <family val="2"/>
          </rPr>
          <t xml:space="preserve">
</t>
        </r>
        <r>
          <rPr>
            <sz val="9"/>
            <color rgb="FF000000"/>
            <rFont val="Tahoma"/>
            <family val="2"/>
          </rPr>
          <t>This should be a negitive number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Michael Nugent</author>
  </authors>
  <commentList>
    <comment ref="E6" authorId="0" shapeId="0" xr:uid="{037B4996-8068-4CAE-86C4-82872A2AC0B6}">
      <text>
        <r>
          <rPr>
            <b/>
            <sz val="9"/>
            <color rgb="FF000000"/>
            <rFont val="Tahoma"/>
            <family val="2"/>
          </rPr>
          <t>Michael Nugent:</t>
        </r>
        <r>
          <rPr>
            <sz val="9"/>
            <color rgb="FF000000"/>
            <rFont val="Tahoma"/>
            <family val="2"/>
          </rPr>
          <t xml:space="preserve">
</t>
        </r>
        <r>
          <rPr>
            <sz val="9"/>
            <color rgb="FF000000"/>
            <rFont val="Tahoma"/>
            <family val="2"/>
          </rPr>
          <t>This should be a negitive number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Michael Nugent</author>
  </authors>
  <commentList>
    <comment ref="E6" authorId="0" shapeId="0" xr:uid="{2BC07770-00A3-4BDC-BA64-03FCDF13A708}">
      <text>
        <r>
          <rPr>
            <b/>
            <sz val="9"/>
            <color rgb="FF000000"/>
            <rFont val="Tahoma"/>
            <family val="2"/>
          </rPr>
          <t>Michael Nugent:</t>
        </r>
        <r>
          <rPr>
            <sz val="9"/>
            <color rgb="FF000000"/>
            <rFont val="Tahoma"/>
            <family val="2"/>
          </rPr>
          <t xml:space="preserve">
</t>
        </r>
        <r>
          <rPr>
            <sz val="9"/>
            <color rgb="FF000000"/>
            <rFont val="Tahoma"/>
            <family val="2"/>
          </rPr>
          <t>This should be a negitive number</t>
        </r>
      </text>
    </comment>
  </commentList>
</comments>
</file>

<file path=xl/sharedStrings.xml><?xml version="1.0" encoding="utf-8"?>
<sst xmlns="http://schemas.openxmlformats.org/spreadsheetml/2006/main" count="421" uniqueCount="121">
  <si>
    <t>Electric</t>
  </si>
  <si>
    <t>Gas</t>
  </si>
  <si>
    <t>Garbage</t>
  </si>
  <si>
    <t>Telephone</t>
  </si>
  <si>
    <t xml:space="preserve">Net Operating Profit After Taxes </t>
  </si>
  <si>
    <t>Years</t>
  </si>
  <si>
    <r>
      <t xml:space="preserve">   Flows  (</t>
    </r>
    <r>
      <rPr>
        <b/>
        <sz val="10"/>
        <color indexed="12"/>
        <rFont val="Times New Roman"/>
        <family val="1"/>
      </rPr>
      <t>Time line of annual cash flows</t>
    </r>
    <r>
      <rPr>
        <b/>
        <sz val="12"/>
        <color indexed="12"/>
        <rFont val="Times New Roman"/>
        <family val="1"/>
      </rPr>
      <t>)</t>
    </r>
  </si>
  <si>
    <t xml:space="preserve">     Investment Outlays at Time Zero</t>
  </si>
  <si>
    <t xml:space="preserve">     Operating Cash Flows over the Project's Life</t>
  </si>
  <si>
    <t>Sales revenue</t>
  </si>
  <si>
    <t>Fixed operating costs</t>
  </si>
  <si>
    <t>Add back depreciation</t>
  </si>
  <si>
    <t>IRR</t>
  </si>
  <si>
    <t>Opening Inventory</t>
  </si>
  <si>
    <t>Insurance</t>
  </si>
  <si>
    <t>Training Expenses (including travel and lodging)</t>
  </si>
  <si>
    <t>Legal and Accounting</t>
  </si>
  <si>
    <t>Year 1</t>
  </si>
  <si>
    <t>Year 2</t>
  </si>
  <si>
    <t>Year 3</t>
  </si>
  <si>
    <t>Year 4</t>
  </si>
  <si>
    <t>Year 5</t>
  </si>
  <si>
    <t>Labor Costs For Employees</t>
  </si>
  <si>
    <t>Building Maintenance &amp; Cleaning</t>
  </si>
  <si>
    <t xml:space="preserve">Miscellaneous Expenses </t>
  </si>
  <si>
    <t>Annual Operating Fixed Costs</t>
  </si>
  <si>
    <t>Total Fixed Costs</t>
  </si>
  <si>
    <t>Year 6</t>
  </si>
  <si>
    <t>Year 7</t>
  </si>
  <si>
    <t xml:space="preserve">Year 8 </t>
  </si>
  <si>
    <t>Initial Investment</t>
  </si>
  <si>
    <t xml:space="preserve">Depreciation </t>
  </si>
  <si>
    <t xml:space="preserve">Net Cash Flow </t>
  </si>
  <si>
    <t>Key Output and  Appraisal of the Proposed Project</t>
  </si>
  <si>
    <t xml:space="preserve">Projected Net Cash </t>
  </si>
  <si>
    <t>Depreciation Per Year</t>
  </si>
  <si>
    <t>Integration and Administration Costs</t>
  </si>
  <si>
    <t>Risk Factor Rate Premium</t>
  </si>
  <si>
    <t>NPV</t>
  </si>
  <si>
    <t>DASHBOARD AREA</t>
  </si>
  <si>
    <t>Action Games Software Company</t>
  </si>
  <si>
    <t>Family Games Software Company</t>
  </si>
  <si>
    <t>RPG Games Software Company</t>
  </si>
  <si>
    <t>Craft Games Software Company</t>
  </si>
  <si>
    <t>Starting a New Game Software Company</t>
  </si>
  <si>
    <t xml:space="preserve">A little Risky </t>
  </si>
  <si>
    <t>More Risky</t>
  </si>
  <si>
    <t>Even more risky</t>
  </si>
  <si>
    <t xml:space="preserve">The most risky </t>
  </si>
  <si>
    <t>Family Games</t>
  </si>
  <si>
    <t>RPG Games</t>
  </si>
  <si>
    <t>Craft Games</t>
  </si>
  <si>
    <t>Action Games</t>
  </si>
  <si>
    <t xml:space="preserve">Total Initial Investment </t>
  </si>
  <si>
    <t>Purchase Price (or Set up Cost)</t>
  </si>
  <si>
    <t>Not Risky</t>
  </si>
  <si>
    <t>Sales Revenue Forecast in Dollars</t>
  </si>
  <si>
    <t>Cost of Good Sold</t>
  </si>
  <si>
    <t>COST OF GOOD SOLD</t>
  </si>
  <si>
    <t>10% of Sales</t>
  </si>
  <si>
    <t>12% of Sales</t>
  </si>
  <si>
    <t>11% of Sales</t>
  </si>
  <si>
    <t>9% of Sales</t>
  </si>
  <si>
    <t>5% of Sales</t>
  </si>
  <si>
    <t>Gross Profits</t>
  </si>
  <si>
    <t xml:space="preserve">Taxes on Operating Income </t>
  </si>
  <si>
    <t xml:space="preserve">EBIT Operating Income Before Taxes </t>
  </si>
  <si>
    <t>Gaming Software Investment Options - Capital Budget</t>
  </si>
  <si>
    <t>Company Tax Rate</t>
  </si>
  <si>
    <t>Year</t>
  </si>
  <si>
    <t>Cash Flow (CF)</t>
  </si>
  <si>
    <t>Discount Rate (r)</t>
  </si>
  <si>
    <t>Discounted Cash Flow (DCF)</t>
  </si>
  <si>
    <t>DCF</t>
  </si>
  <si>
    <t>Total DCF</t>
  </si>
  <si>
    <t>Payback Period</t>
  </si>
  <si>
    <t>Initial Investment (opportunity cost)</t>
  </si>
  <si>
    <t>Base Interest Rate</t>
  </si>
  <si>
    <t>Total Discount Rate</t>
  </si>
  <si>
    <t>Cumulative Cash Flow</t>
  </si>
  <si>
    <t>Company</t>
  </si>
  <si>
    <t>Sales Revenue</t>
  </si>
  <si>
    <t>Costs of Goods Sold</t>
  </si>
  <si>
    <t xml:space="preserve">EBIT </t>
  </si>
  <si>
    <t xml:space="preserve">Net Operating Profit </t>
  </si>
  <si>
    <t>Family</t>
  </si>
  <si>
    <t>RPG</t>
  </si>
  <si>
    <t>Craft</t>
  </si>
  <si>
    <t>Action</t>
  </si>
  <si>
    <t>Starting New</t>
  </si>
  <si>
    <t>Row Labels</t>
  </si>
  <si>
    <t>Grand Total</t>
  </si>
  <si>
    <t>Column Labels</t>
  </si>
  <si>
    <t xml:space="preserve">Sales Revenue </t>
  </si>
  <si>
    <t xml:space="preserve">Total Sales Revenue </t>
  </si>
  <si>
    <t xml:space="preserve">Sales Revenue2 </t>
  </si>
  <si>
    <t xml:space="preserve">Total Sales Revenue2 </t>
  </si>
  <si>
    <t>EBIT</t>
  </si>
  <si>
    <t>Total EBIT</t>
  </si>
  <si>
    <t xml:space="preserve"> Gross Profits </t>
  </si>
  <si>
    <t>Sum of Family Games Software Company</t>
  </si>
  <si>
    <t>Sum of RPG Games Software Company</t>
  </si>
  <si>
    <t>Sum of Craft Games Software Company</t>
  </si>
  <si>
    <t>Sum of Action Games Software Company</t>
  </si>
  <si>
    <t>Sum of Starting a New Game Software Company</t>
  </si>
  <si>
    <t>Maintenance &amp; Cleaning</t>
  </si>
  <si>
    <t>Labor</t>
  </si>
  <si>
    <t>Category</t>
  </si>
  <si>
    <t>Amount</t>
  </si>
  <si>
    <t>Sum of Amount</t>
  </si>
  <si>
    <t>Sum of DCF</t>
  </si>
  <si>
    <t>0</t>
  </si>
  <si>
    <t>1</t>
  </si>
  <si>
    <t>2</t>
  </si>
  <si>
    <t>3</t>
  </si>
  <si>
    <t>4</t>
  </si>
  <si>
    <t>5</t>
  </si>
  <si>
    <t>6</t>
  </si>
  <si>
    <t>7</t>
  </si>
  <si>
    <t>8</t>
  </si>
  <si>
    <t>Starting A New Company From Scratch DCF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</si>
</sst>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5" formatCode="&quot;$&quot;#,##0_);\(&quot;$&quot;#,##0\)"/>
    <numFmt numFmtId="6" formatCode="&quot;$&quot;#,##0_);[Red]\(&quot;$&quot;#,##0\)"/>
    <numFmt numFmtId="164" formatCode="&quot;$&quot;#,##0"/>
    <numFmt numFmtId="165" formatCode="&quot;$&quot;#,##0.00"/>
  </numFmts>
  <fonts count="21" x14ac:knownFonts="1">
    <font>
      <sz val="10"/>
      <name val="Arial"/>
    </font>
    <font>
      <sz val="11"/>
      <color theme="1"/>
      <name val="Tw Cen MT"/>
      <family val="2"/>
      <scheme val="minor"/>
    </font>
    <font>
      <sz val="10"/>
      <name val="Arial"/>
      <family val="2"/>
    </font>
    <font>
      <b/>
      <sz val="12"/>
      <color indexed="12"/>
      <name val="Times New Roman"/>
      <family val="1"/>
    </font>
    <font>
      <sz val="10"/>
      <name val="Times New Roman"/>
      <family val="1"/>
    </font>
    <font>
      <b/>
      <sz val="10"/>
      <color indexed="16"/>
      <name val="Times New Roman"/>
      <family val="1"/>
    </font>
    <font>
      <b/>
      <sz val="10"/>
      <name val="Times New Roman"/>
      <family val="1"/>
    </font>
    <font>
      <b/>
      <sz val="10"/>
      <color indexed="12"/>
      <name val="Times New Roman"/>
      <family val="1"/>
    </font>
    <font>
      <b/>
      <i/>
      <sz val="10"/>
      <color indexed="16"/>
      <name val="Times New Roman"/>
      <family val="1"/>
    </font>
    <font>
      <b/>
      <sz val="9"/>
      <color indexed="21"/>
      <name val="Times New Roman"/>
      <family val="1"/>
    </font>
    <font>
      <b/>
      <sz val="10"/>
      <name val="Arial"/>
      <family val="2"/>
    </font>
    <font>
      <sz val="14"/>
      <name val="Times New Roman"/>
      <family val="1"/>
    </font>
    <font>
      <b/>
      <sz val="12"/>
      <name val="Arial"/>
      <family val="2"/>
    </font>
    <font>
      <sz val="10"/>
      <color indexed="10"/>
      <name val="Arial"/>
      <family val="2"/>
    </font>
    <font>
      <b/>
      <i/>
      <sz val="12"/>
      <color indexed="10"/>
      <name val="Arial"/>
      <family val="2"/>
    </font>
    <font>
      <b/>
      <sz val="16"/>
      <name val="Arial"/>
      <family val="2"/>
    </font>
    <font>
      <b/>
      <sz val="9"/>
      <color rgb="FF000000"/>
      <name val="Tahoma"/>
      <family val="2"/>
    </font>
    <font>
      <sz val="9"/>
      <color rgb="FF000000"/>
      <name val="Tahoma"/>
      <family val="2"/>
    </font>
    <font>
      <sz val="28"/>
      <color theme="1"/>
      <name val="Tw Cen MT"/>
      <family val="2"/>
      <scheme val="minor"/>
    </font>
    <font>
      <b/>
      <sz val="12"/>
      <name val="Times New Roman"/>
      <family val="1"/>
    </font>
    <font>
      <b/>
      <sz val="12"/>
      <color theme="1"/>
      <name val="Tw Cen MT"/>
      <family val="2"/>
      <scheme val="minor"/>
    </font>
  </fonts>
  <fills count="21">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9"/>
        <bgColor indexed="64"/>
      </patternFill>
    </fill>
    <fill>
      <patternFill patternType="solid">
        <fgColor indexed="26"/>
        <bgColor indexed="64"/>
      </patternFill>
    </fill>
    <fill>
      <patternFill patternType="solid">
        <fgColor indexed="42"/>
        <bgColor indexed="64"/>
      </patternFill>
    </fill>
    <fill>
      <patternFill patternType="solid">
        <fgColor indexed="41"/>
        <bgColor indexed="64"/>
      </patternFill>
    </fill>
    <fill>
      <patternFill patternType="solid">
        <fgColor indexed="8"/>
        <bgColor indexed="64"/>
      </patternFill>
    </fill>
    <fill>
      <patternFill patternType="solid">
        <fgColor rgb="FFFFFF00"/>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1"/>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bgColor indexed="64"/>
      </patternFill>
    </fill>
    <fill>
      <patternFill patternType="solid">
        <fgColor theme="0"/>
        <bgColor theme="4" tint="0.79998168889431442"/>
      </patternFill>
    </fill>
    <fill>
      <patternFill patternType="solid">
        <fgColor theme="0"/>
        <bgColor theme="4"/>
      </patternFill>
    </fill>
  </fills>
  <borders count="51">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0" tint="-4.9989318521683403E-2"/>
      </left>
      <right style="thin">
        <color theme="0" tint="-4.9989318521683403E-2"/>
      </right>
      <top/>
      <bottom/>
      <diagonal/>
    </border>
    <border>
      <left/>
      <right/>
      <top/>
      <bottom style="thin">
        <color theme="4" tint="0.399975585192419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diagonal/>
    </border>
    <border>
      <left/>
      <right style="thin">
        <color theme="0" tint="-0.14999847407452621"/>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bottom/>
      <diagonal/>
    </border>
    <border>
      <left style="thin">
        <color theme="0" tint="-0.14999847407452621"/>
      </left>
      <right/>
      <top/>
      <bottom style="thin">
        <color theme="0" tint="-0.14999847407452621"/>
      </bottom>
      <diagonal/>
    </border>
  </borders>
  <cellStyleXfs count="3">
    <xf numFmtId="0" fontId="0" fillId="0" borderId="0"/>
    <xf numFmtId="9" fontId="2" fillId="0" borderId="0" applyFont="0" applyFill="0" applyBorder="0" applyAlignment="0" applyProtection="0"/>
    <xf numFmtId="0" fontId="1" fillId="0" borderId="0"/>
  </cellStyleXfs>
  <cellXfs count="191">
    <xf numFmtId="0" fontId="0" fillId="0" borderId="0" xfId="0"/>
    <xf numFmtId="37" fontId="4" fillId="0" borderId="0" xfId="0" applyNumberFormat="1" applyFont="1"/>
    <xf numFmtId="37" fontId="6" fillId="0" borderId="0" xfId="0" quotePrefix="1" applyNumberFormat="1" applyFont="1" applyAlignment="1">
      <alignment horizontal="left"/>
    </xf>
    <xf numFmtId="37" fontId="6" fillId="0" borderId="0" xfId="0" applyNumberFormat="1" applyFont="1"/>
    <xf numFmtId="37" fontId="7" fillId="0" borderId="0" xfId="0" applyNumberFormat="1" applyFont="1"/>
    <xf numFmtId="37" fontId="3" fillId="0" borderId="0" xfId="0" applyNumberFormat="1" applyFont="1"/>
    <xf numFmtId="37" fontId="5" fillId="0" borderId="0" xfId="0" applyNumberFormat="1" applyFont="1" applyAlignment="1">
      <alignment horizontal="center"/>
    </xf>
    <xf numFmtId="37" fontId="8" fillId="0" borderId="0" xfId="0" applyNumberFormat="1" applyFont="1"/>
    <xf numFmtId="37" fontId="5" fillId="0" borderId="0" xfId="0" applyNumberFormat="1" applyFont="1"/>
    <xf numFmtId="5" fontId="5" fillId="0" borderId="1" xfId="0" applyNumberFormat="1" applyFont="1" applyBorder="1"/>
    <xf numFmtId="37" fontId="9" fillId="0" borderId="0" xfId="0" applyNumberFormat="1" applyFont="1"/>
    <xf numFmtId="5" fontId="6" fillId="2" borderId="2" xfId="0" applyNumberFormat="1" applyFont="1" applyFill="1" applyBorder="1"/>
    <xf numFmtId="10" fontId="6" fillId="2" borderId="2" xfId="1" applyNumberFormat="1" applyFont="1" applyFill="1" applyBorder="1"/>
    <xf numFmtId="37" fontId="6" fillId="0" borderId="2" xfId="0" applyNumberFormat="1" applyFont="1" applyBorder="1"/>
    <xf numFmtId="37" fontId="5" fillId="0" borderId="0" xfId="0" applyNumberFormat="1" applyFont="1" applyAlignment="1">
      <alignment horizontal="right"/>
    </xf>
    <xf numFmtId="5" fontId="5" fillId="0" borderId="0" xfId="0" applyNumberFormat="1" applyFont="1"/>
    <xf numFmtId="0" fontId="13" fillId="0" borderId="0" xfId="0" applyFont="1"/>
    <xf numFmtId="164" fontId="0" fillId="5" borderId="3" xfId="0" applyNumberFormat="1" applyFill="1" applyBorder="1" applyAlignment="1">
      <alignment horizontal="right" wrapText="1"/>
    </xf>
    <xf numFmtId="164" fontId="0" fillId="6" borderId="3" xfId="0" applyNumberFormat="1" applyFill="1" applyBorder="1" applyAlignment="1">
      <alignment horizontal="right"/>
    </xf>
    <xf numFmtId="37" fontId="5" fillId="0" borderId="2" xfId="0" applyNumberFormat="1" applyFont="1" applyBorder="1" applyAlignment="1">
      <alignment horizontal="center"/>
    </xf>
    <xf numFmtId="164" fontId="0" fillId="5" borderId="0" xfId="0" applyNumberFormat="1" applyFill="1" applyAlignment="1">
      <alignment horizontal="right" wrapText="1"/>
    </xf>
    <xf numFmtId="164" fontId="0" fillId="6" borderId="0" xfId="0" applyNumberFormat="1" applyFill="1" applyAlignment="1">
      <alignment horizontal="right"/>
    </xf>
    <xf numFmtId="0" fontId="12" fillId="4" borderId="4" xfId="0" applyFont="1" applyFill="1" applyBorder="1" applyAlignment="1">
      <alignment horizontal="center" wrapText="1"/>
    </xf>
    <xf numFmtId="0" fontId="0" fillId="4" borderId="15" xfId="0" applyFill="1" applyBorder="1" applyAlignment="1">
      <alignment horizontal="left"/>
    </xf>
    <xf numFmtId="164" fontId="0" fillId="5" borderId="16" xfId="0" applyNumberFormat="1" applyFill="1" applyBorder="1" applyAlignment="1">
      <alignment horizontal="right" wrapText="1"/>
    </xf>
    <xf numFmtId="164" fontId="0" fillId="5" borderId="19" xfId="0" applyNumberFormat="1" applyFill="1" applyBorder="1" applyAlignment="1">
      <alignment horizontal="right" wrapText="1"/>
    </xf>
    <xf numFmtId="0" fontId="0" fillId="0" borderId="8" xfId="0" applyBorder="1"/>
    <xf numFmtId="164" fontId="0" fillId="0" borderId="10" xfId="0" applyNumberFormat="1" applyBorder="1" applyAlignment="1">
      <alignment horizontal="right"/>
    </xf>
    <xf numFmtId="164" fontId="0" fillId="0" borderId="6" xfId="0" applyNumberFormat="1" applyBorder="1" applyAlignment="1">
      <alignment horizontal="right"/>
    </xf>
    <xf numFmtId="0" fontId="0" fillId="0" borderId="15" xfId="0" applyBorder="1"/>
    <xf numFmtId="164" fontId="0" fillId="6" borderId="16" xfId="0" applyNumberFormat="1" applyFill="1" applyBorder="1" applyAlignment="1">
      <alignment horizontal="right"/>
    </xf>
    <xf numFmtId="164" fontId="0" fillId="6" borderId="19" xfId="0" applyNumberFormat="1" applyFill="1" applyBorder="1" applyAlignment="1">
      <alignment horizontal="right"/>
    </xf>
    <xf numFmtId="0" fontId="0" fillId="0" borderId="10" xfId="0" applyBorder="1" applyAlignment="1">
      <alignment horizontal="right"/>
    </xf>
    <xf numFmtId="0" fontId="0" fillId="0" borderId="6" xfId="0" applyBorder="1" applyAlignment="1">
      <alignment horizontal="right"/>
    </xf>
    <xf numFmtId="164" fontId="0" fillId="7" borderId="16" xfId="0" applyNumberFormat="1" applyFill="1" applyBorder="1" applyAlignment="1">
      <alignment horizontal="right"/>
    </xf>
    <xf numFmtId="164" fontId="0" fillId="7" borderId="10" xfId="0" applyNumberFormat="1" applyFill="1" applyBorder="1" applyAlignment="1">
      <alignment horizontal="right"/>
    </xf>
    <xf numFmtId="164" fontId="0" fillId="7" borderId="6" xfId="0" applyNumberFormat="1" applyFill="1" applyBorder="1" applyAlignment="1">
      <alignment horizontal="right"/>
    </xf>
    <xf numFmtId="0" fontId="0" fillId="0" borderId="15" xfId="0" applyBorder="1" applyAlignment="1">
      <alignment horizontal="center"/>
    </xf>
    <xf numFmtId="0" fontId="0" fillId="0" borderId="8" xfId="0" applyBorder="1" applyAlignment="1">
      <alignment horizontal="center"/>
    </xf>
    <xf numFmtId="0" fontId="0" fillId="10" borderId="0" xfId="0" applyFill="1"/>
    <xf numFmtId="164" fontId="0" fillId="5" borderId="2" xfId="0" applyNumberFormat="1" applyFill="1" applyBorder="1" applyAlignment="1">
      <alignment horizontal="right" wrapText="1"/>
    </xf>
    <xf numFmtId="37" fontId="6" fillId="11" borderId="20" xfId="0" applyNumberFormat="1" applyFont="1" applyFill="1" applyBorder="1"/>
    <xf numFmtId="0" fontId="10" fillId="4" borderId="4" xfId="0" applyFont="1" applyFill="1" applyBorder="1" applyAlignment="1">
      <alignment horizontal="center" vertical="top" wrapText="1"/>
    </xf>
    <xf numFmtId="164" fontId="0" fillId="6" borderId="20" xfId="0" applyNumberFormat="1" applyFill="1" applyBorder="1" applyAlignment="1">
      <alignment horizontal="right"/>
    </xf>
    <xf numFmtId="0" fontId="1" fillId="12" borderId="0" xfId="2" applyFill="1"/>
    <xf numFmtId="0" fontId="18" fillId="13" borderId="7" xfId="2" applyFont="1" applyFill="1" applyBorder="1"/>
    <xf numFmtId="0" fontId="1" fillId="13" borderId="11" xfId="2" applyFill="1" applyBorder="1"/>
    <xf numFmtId="0" fontId="1" fillId="13" borderId="5" xfId="2" applyFill="1" applyBorder="1"/>
    <xf numFmtId="0" fontId="1" fillId="13" borderId="15" xfId="2" applyFill="1" applyBorder="1"/>
    <xf numFmtId="0" fontId="1" fillId="13" borderId="16" xfId="2" applyFill="1" applyBorder="1"/>
    <xf numFmtId="0" fontId="1" fillId="13" borderId="8" xfId="2" applyFill="1" applyBorder="1"/>
    <xf numFmtId="0" fontId="1" fillId="13" borderId="10" xfId="2" applyFill="1" applyBorder="1"/>
    <xf numFmtId="0" fontId="1" fillId="13" borderId="6" xfId="2" applyFill="1" applyBorder="1"/>
    <xf numFmtId="0" fontId="12" fillId="0" borderId="4" xfId="0" applyFont="1" applyBorder="1" applyAlignment="1">
      <alignment vertical="center" wrapText="1"/>
    </xf>
    <xf numFmtId="0" fontId="0" fillId="0" borderId="13" xfId="0" applyBorder="1" applyAlignment="1">
      <alignment wrapText="1"/>
    </xf>
    <xf numFmtId="0" fontId="12" fillId="4" borderId="9" xfId="0" applyFont="1" applyFill="1" applyBorder="1" applyAlignment="1">
      <alignment horizontal="center" wrapText="1"/>
    </xf>
    <xf numFmtId="0" fontId="14" fillId="8" borderId="0" xfId="0" applyFont="1" applyFill="1" applyAlignment="1">
      <alignment wrapText="1"/>
    </xf>
    <xf numFmtId="0" fontId="0" fillId="0" borderId="13" xfId="0" applyBorder="1"/>
    <xf numFmtId="0" fontId="19" fillId="0" borderId="2" xfId="0" applyFont="1" applyBorder="1"/>
    <xf numFmtId="0" fontId="19" fillId="0" borderId="2" xfId="0" applyFont="1" applyBorder="1" applyAlignment="1">
      <alignment horizontal="left" vertical="top"/>
    </xf>
    <xf numFmtId="0" fontId="19" fillId="0" borderId="22" xfId="0" applyFont="1" applyBorder="1"/>
    <xf numFmtId="0" fontId="19" fillId="0" borderId="23" xfId="0" applyFont="1" applyBorder="1"/>
    <xf numFmtId="0" fontId="10" fillId="4" borderId="21" xfId="0" applyFont="1" applyFill="1" applyBorder="1" applyAlignment="1">
      <alignment horizontal="left" vertical="top" wrapText="1"/>
    </xf>
    <xf numFmtId="0" fontId="10" fillId="4" borderId="17" xfId="0" applyFont="1" applyFill="1" applyBorder="1" applyAlignment="1">
      <alignment horizontal="left" vertical="top" wrapText="1"/>
    </xf>
    <xf numFmtId="0" fontId="10" fillId="4" borderId="18" xfId="0" applyFont="1" applyFill="1" applyBorder="1" applyAlignment="1">
      <alignment horizontal="left" vertical="top" wrapText="1"/>
    </xf>
    <xf numFmtId="164" fontId="0" fillId="7" borderId="7" xfId="0" applyNumberFormat="1" applyFill="1" applyBorder="1" applyAlignment="1">
      <alignment horizontal="right"/>
    </xf>
    <xf numFmtId="164" fontId="0" fillId="7" borderId="11" xfId="0" applyNumberFormat="1" applyFill="1" applyBorder="1" applyAlignment="1">
      <alignment horizontal="right"/>
    </xf>
    <xf numFmtId="164" fontId="0" fillId="7" borderId="5" xfId="0" applyNumberFormat="1" applyFill="1" applyBorder="1" applyAlignment="1">
      <alignment horizontal="right"/>
    </xf>
    <xf numFmtId="164" fontId="0" fillId="7" borderId="15" xfId="0" applyNumberFormat="1" applyFill="1" applyBorder="1" applyAlignment="1">
      <alignment horizontal="right"/>
    </xf>
    <xf numFmtId="164" fontId="0" fillId="7" borderId="0" xfId="0" applyNumberFormat="1" applyFill="1" applyAlignment="1">
      <alignment horizontal="right"/>
    </xf>
    <xf numFmtId="164" fontId="0" fillId="7" borderId="8" xfId="0" applyNumberFormat="1" applyFill="1" applyBorder="1" applyAlignment="1">
      <alignment horizontal="right"/>
    </xf>
    <xf numFmtId="0" fontId="2" fillId="4" borderId="15" xfId="0" applyFont="1" applyFill="1" applyBorder="1" applyAlignment="1">
      <alignment horizontal="left"/>
    </xf>
    <xf numFmtId="0" fontId="2" fillId="4" borderId="24" xfId="0" applyFont="1" applyFill="1" applyBorder="1" applyAlignment="1">
      <alignment horizontal="left"/>
    </xf>
    <xf numFmtId="0" fontId="0" fillId="0" borderId="24" xfId="0" applyBorder="1"/>
    <xf numFmtId="164" fontId="0" fillId="11" borderId="13" xfId="0" applyNumberFormat="1" applyFill="1" applyBorder="1" applyAlignment="1">
      <alignment horizontal="center" vertical="center"/>
    </xf>
    <xf numFmtId="164" fontId="0" fillId="11" borderId="14" xfId="0" applyNumberFormat="1" applyFill="1" applyBorder="1" applyAlignment="1">
      <alignment horizontal="center" vertical="center"/>
    </xf>
    <xf numFmtId="164" fontId="0" fillId="14" borderId="13" xfId="0" applyNumberFormat="1" applyFill="1" applyBorder="1" applyAlignment="1">
      <alignment horizontal="center" vertical="center"/>
    </xf>
    <xf numFmtId="164" fontId="0" fillId="14" borderId="14" xfId="0" applyNumberFormat="1" applyFill="1" applyBorder="1" applyAlignment="1">
      <alignment horizontal="center" vertical="center"/>
    </xf>
    <xf numFmtId="164" fontId="0" fillId="14" borderId="20" xfId="0" applyNumberFormat="1" applyFill="1" applyBorder="1" applyAlignment="1">
      <alignment horizontal="right"/>
    </xf>
    <xf numFmtId="0" fontId="10" fillId="9" borderId="7" xfId="0" applyFont="1" applyFill="1" applyBorder="1" applyAlignment="1">
      <alignment horizontal="center"/>
    </xf>
    <xf numFmtId="0" fontId="10" fillId="9" borderId="8" xfId="0" applyFont="1" applyFill="1" applyBorder="1" applyAlignment="1">
      <alignment horizontal="center"/>
    </xf>
    <xf numFmtId="10" fontId="10" fillId="9" borderId="25" xfId="1" applyNumberFormat="1" applyFont="1" applyFill="1" applyBorder="1" applyAlignment="1">
      <alignment horizontal="center"/>
    </xf>
    <xf numFmtId="10" fontId="10" fillId="9" borderId="26" xfId="1" applyNumberFormat="1" applyFont="1" applyFill="1" applyBorder="1" applyAlignment="1">
      <alignment horizontal="center"/>
    </xf>
    <xf numFmtId="0" fontId="0" fillId="15" borderId="0" xfId="0" applyFill="1"/>
    <xf numFmtId="164" fontId="0" fillId="15" borderId="0" xfId="0" applyNumberFormat="1" applyFill="1" applyAlignment="1">
      <alignment horizontal="right"/>
    </xf>
    <xf numFmtId="0" fontId="0" fillId="15" borderId="0" xfId="0" applyFill="1" applyAlignment="1">
      <alignment horizontal="right"/>
    </xf>
    <xf numFmtId="0" fontId="20" fillId="16" borderId="27" xfId="0" applyFont="1" applyFill="1" applyBorder="1" applyAlignment="1">
      <alignment horizontal="center" vertical="center" wrapText="1"/>
    </xf>
    <xf numFmtId="0" fontId="20" fillId="16" borderId="28" xfId="0" applyFont="1" applyFill="1" applyBorder="1" applyAlignment="1">
      <alignment horizontal="center" vertical="center" wrapText="1"/>
    </xf>
    <xf numFmtId="0" fontId="20" fillId="16" borderId="29" xfId="0" applyFont="1" applyFill="1" applyBorder="1" applyAlignment="1">
      <alignment horizontal="center" vertical="center" wrapText="1"/>
    </xf>
    <xf numFmtId="0" fontId="2" fillId="0" borderId="0" xfId="0" applyFont="1"/>
    <xf numFmtId="0" fontId="0" fillId="0" borderId="2" xfId="0" applyBorder="1" applyAlignment="1">
      <alignment horizontal="center" vertical="center"/>
    </xf>
    <xf numFmtId="0" fontId="0" fillId="0" borderId="20" xfId="0" applyBorder="1" applyAlignment="1">
      <alignment horizontal="center" vertical="center"/>
    </xf>
    <xf numFmtId="10" fontId="10" fillId="9" borderId="30" xfId="0" applyNumberFormat="1" applyFont="1" applyFill="1" applyBorder="1" applyAlignment="1">
      <alignment horizontal="center"/>
    </xf>
    <xf numFmtId="10" fontId="10" fillId="9" borderId="31" xfId="0" applyNumberFormat="1" applyFont="1" applyFill="1" applyBorder="1" applyAlignment="1">
      <alignment horizontal="center"/>
    </xf>
    <xf numFmtId="10" fontId="10" fillId="9" borderId="32" xfId="0" applyNumberFormat="1" applyFont="1" applyFill="1" applyBorder="1" applyAlignment="1">
      <alignment horizontal="center"/>
    </xf>
    <xf numFmtId="10" fontId="10" fillId="13" borderId="2" xfId="0" applyNumberFormat="1" applyFont="1" applyFill="1" applyBorder="1" applyAlignment="1">
      <alignment horizontal="center" vertical="center"/>
    </xf>
    <xf numFmtId="0" fontId="10" fillId="13" borderId="33" xfId="0" applyFont="1" applyFill="1" applyBorder="1" applyAlignment="1">
      <alignment horizontal="center" vertical="center"/>
    </xf>
    <xf numFmtId="164" fontId="0" fillId="0" borderId="20" xfId="0" applyNumberFormat="1" applyBorder="1"/>
    <xf numFmtId="10" fontId="0" fillId="0" borderId="20" xfId="0" applyNumberFormat="1" applyBorder="1"/>
    <xf numFmtId="2" fontId="6" fillId="2" borderId="2" xfId="1" applyNumberFormat="1" applyFont="1" applyFill="1" applyBorder="1"/>
    <xf numFmtId="5" fontId="0" fillId="0" borderId="20" xfId="0" applyNumberFormat="1" applyBorder="1"/>
    <xf numFmtId="164" fontId="0" fillId="0" borderId="2" xfId="0" applyNumberFormat="1" applyBorder="1"/>
    <xf numFmtId="164" fontId="0" fillId="0" borderId="1" xfId="0" applyNumberFormat="1" applyBorder="1"/>
    <xf numFmtId="37" fontId="6" fillId="18" borderId="20" xfId="0" applyNumberFormat="1" applyFont="1" applyFill="1" applyBorder="1"/>
    <xf numFmtId="10" fontId="0" fillId="0" borderId="34" xfId="0" applyNumberFormat="1" applyBorder="1"/>
    <xf numFmtId="37" fontId="0" fillId="0" borderId="20" xfId="0" applyNumberFormat="1" applyBorder="1"/>
    <xf numFmtId="165" fontId="0" fillId="0" borderId="0" xfId="0" applyNumberFormat="1"/>
    <xf numFmtId="164" fontId="0" fillId="0" borderId="0" xfId="0" applyNumberFormat="1"/>
    <xf numFmtId="37" fontId="6" fillId="18" borderId="2" xfId="0" applyNumberFormat="1" applyFont="1" applyFill="1" applyBorder="1"/>
    <xf numFmtId="5" fontId="0" fillId="0" borderId="1" xfId="0" applyNumberFormat="1" applyBorder="1"/>
    <xf numFmtId="0" fontId="10" fillId="0" borderId="0" xfId="0" applyFont="1"/>
    <xf numFmtId="37" fontId="10" fillId="0" borderId="0" xfId="0" applyNumberFormat="1" applyFont="1"/>
    <xf numFmtId="0" fontId="2" fillId="0" borderId="35" xfId="0" applyFont="1" applyBorder="1"/>
    <xf numFmtId="6" fontId="2" fillId="0" borderId="35" xfId="0" applyNumberFormat="1" applyFont="1" applyBorder="1"/>
    <xf numFmtId="164" fontId="2" fillId="0" borderId="0" xfId="0" applyNumberFormat="1" applyFont="1"/>
    <xf numFmtId="0" fontId="0" fillId="0" borderId="0" xfId="0" pivotButton="1"/>
    <xf numFmtId="0" fontId="0" fillId="0" borderId="0" xfId="0" applyAlignment="1">
      <alignment horizontal="left"/>
    </xf>
    <xf numFmtId="6" fontId="2" fillId="19" borderId="0" xfId="0" applyNumberFormat="1" applyFont="1" applyFill="1"/>
    <xf numFmtId="6" fontId="2" fillId="18" borderId="38" xfId="0" applyNumberFormat="1" applyFont="1" applyFill="1" applyBorder="1"/>
    <xf numFmtId="6" fontId="2" fillId="18" borderId="47" xfId="0" applyNumberFormat="1" applyFont="1" applyFill="1" applyBorder="1"/>
    <xf numFmtId="6" fontId="2" fillId="0" borderId="0" xfId="0" applyNumberFormat="1" applyFont="1"/>
    <xf numFmtId="0" fontId="2" fillId="0" borderId="0" xfId="0" pivotButton="1" applyFont="1"/>
    <xf numFmtId="0" fontId="2" fillId="0" borderId="0" xfId="0" applyFont="1" applyAlignment="1">
      <alignment horizontal="left"/>
    </xf>
    <xf numFmtId="0" fontId="2" fillId="0" borderId="41" xfId="0" applyFont="1" applyBorder="1"/>
    <xf numFmtId="0" fontId="2" fillId="19" borderId="44" xfId="0" applyFont="1" applyFill="1" applyBorder="1"/>
    <xf numFmtId="164" fontId="2" fillId="19" borderId="45" xfId="0" applyNumberFormat="1" applyFont="1" applyFill="1" applyBorder="1"/>
    <xf numFmtId="164" fontId="2" fillId="19" borderId="37" xfId="0" applyNumberFormat="1" applyFont="1" applyFill="1" applyBorder="1"/>
    <xf numFmtId="164" fontId="2" fillId="19" borderId="44" xfId="0" applyNumberFormat="1" applyFont="1" applyFill="1" applyBorder="1"/>
    <xf numFmtId="164" fontId="2" fillId="18" borderId="37" xfId="0" applyNumberFormat="1" applyFont="1" applyFill="1" applyBorder="1"/>
    <xf numFmtId="164" fontId="2" fillId="19" borderId="40" xfId="0" applyNumberFormat="1" applyFont="1" applyFill="1" applyBorder="1"/>
    <xf numFmtId="164" fontId="2" fillId="18" borderId="44" xfId="0" applyNumberFormat="1" applyFont="1" applyFill="1" applyBorder="1"/>
    <xf numFmtId="0" fontId="2" fillId="0" borderId="38" xfId="0" applyFont="1" applyBorder="1"/>
    <xf numFmtId="164" fontId="2" fillId="18" borderId="39" xfId="0" applyNumberFormat="1" applyFont="1" applyFill="1" applyBorder="1"/>
    <xf numFmtId="164" fontId="2" fillId="18" borderId="40" xfId="0" applyNumberFormat="1" applyFont="1" applyFill="1" applyBorder="1"/>
    <xf numFmtId="0" fontId="2" fillId="19" borderId="45" xfId="0" applyFont="1" applyFill="1" applyBorder="1"/>
    <xf numFmtId="164" fontId="2" fillId="19" borderId="39" xfId="0" applyNumberFormat="1" applyFont="1" applyFill="1" applyBorder="1"/>
    <xf numFmtId="0" fontId="2" fillId="0" borderId="39" xfId="0" applyFont="1" applyBorder="1"/>
    <xf numFmtId="0" fontId="2" fillId="0" borderId="40" xfId="0" applyFont="1" applyBorder="1"/>
    <xf numFmtId="0" fontId="2" fillId="18" borderId="41" xfId="0" applyFont="1" applyFill="1" applyBorder="1"/>
    <xf numFmtId="0" fontId="2" fillId="19" borderId="46" xfId="0" applyFont="1" applyFill="1" applyBorder="1"/>
    <xf numFmtId="0" fontId="2" fillId="18" borderId="46" xfId="0" applyFont="1" applyFill="1" applyBorder="1"/>
    <xf numFmtId="0" fontId="2" fillId="19" borderId="41" xfId="0" applyFont="1" applyFill="1" applyBorder="1"/>
    <xf numFmtId="0" fontId="10" fillId="20" borderId="0" xfId="0" applyFont="1" applyFill="1"/>
    <xf numFmtId="0" fontId="10" fillId="20" borderId="40" xfId="0" applyFont="1" applyFill="1" applyBorder="1"/>
    <xf numFmtId="37" fontId="10" fillId="20" borderId="0" xfId="0" applyNumberFormat="1" applyFont="1" applyFill="1"/>
    <xf numFmtId="0" fontId="2" fillId="0" borderId="42" xfId="0" applyFont="1" applyBorder="1"/>
    <xf numFmtId="0" fontId="10" fillId="0" borderId="40" xfId="0" applyFont="1" applyBorder="1"/>
    <xf numFmtId="37" fontId="10" fillId="0" borderId="44" xfId="0" applyNumberFormat="1" applyFont="1" applyBorder="1"/>
    <xf numFmtId="0" fontId="2" fillId="0" borderId="45" xfId="0" applyFont="1" applyBorder="1"/>
    <xf numFmtId="164" fontId="2" fillId="0" borderId="45" xfId="0" applyNumberFormat="1" applyFont="1" applyBorder="1"/>
    <xf numFmtId="164" fontId="2" fillId="0" borderId="37" xfId="0" applyNumberFormat="1" applyFont="1" applyBorder="1"/>
    <xf numFmtId="6" fontId="2" fillId="0" borderId="38" xfId="0" applyNumberFormat="1" applyFont="1" applyBorder="1"/>
    <xf numFmtId="164" fontId="2" fillId="0" borderId="47" xfId="0" applyNumberFormat="1" applyFont="1" applyBorder="1"/>
    <xf numFmtId="164" fontId="2" fillId="0" borderId="40" xfId="0" applyNumberFormat="1" applyFont="1" applyBorder="1"/>
    <xf numFmtId="6" fontId="2" fillId="0" borderId="47" xfId="0" applyNumberFormat="1" applyFont="1" applyBorder="1"/>
    <xf numFmtId="164" fontId="2" fillId="0" borderId="44" xfId="0" applyNumberFormat="1" applyFont="1" applyBorder="1"/>
    <xf numFmtId="0" fontId="2" fillId="0" borderId="46" xfId="0" applyFont="1" applyBorder="1"/>
    <xf numFmtId="164" fontId="2" fillId="0" borderId="39" xfId="0" applyNumberFormat="1" applyFont="1" applyBorder="1"/>
    <xf numFmtId="164" fontId="2" fillId="0" borderId="48" xfId="0" applyNumberFormat="1" applyFont="1" applyBorder="1"/>
    <xf numFmtId="0" fontId="2" fillId="0" borderId="47" xfId="0" applyFont="1" applyBorder="1"/>
    <xf numFmtId="0" fontId="2" fillId="0" borderId="43" xfId="0" applyFont="1" applyBorder="1"/>
    <xf numFmtId="0" fontId="10" fillId="0" borderId="36" xfId="0" applyFont="1" applyBorder="1"/>
    <xf numFmtId="165" fontId="2" fillId="0" borderId="0" xfId="0" applyNumberFormat="1" applyFont="1"/>
    <xf numFmtId="164" fontId="10" fillId="0" borderId="0" xfId="0" applyNumberFormat="1" applyFont="1"/>
    <xf numFmtId="164" fontId="2" fillId="19" borderId="49" xfId="0" applyNumberFormat="1" applyFont="1" applyFill="1" applyBorder="1"/>
    <xf numFmtId="164" fontId="2" fillId="18" borderId="38" xfId="0" applyNumberFormat="1" applyFont="1" applyFill="1" applyBorder="1"/>
    <xf numFmtId="164" fontId="2" fillId="18" borderId="42" xfId="0" applyNumberFormat="1" applyFont="1" applyFill="1" applyBorder="1"/>
    <xf numFmtId="164" fontId="2" fillId="19" borderId="38" xfId="0" applyNumberFormat="1" applyFont="1" applyFill="1" applyBorder="1"/>
    <xf numFmtId="164" fontId="2" fillId="18" borderId="50" xfId="0" applyNumberFormat="1" applyFont="1" applyFill="1" applyBorder="1"/>
    <xf numFmtId="164" fontId="2" fillId="19" borderId="42" xfId="0" applyNumberFormat="1" applyFont="1" applyFill="1" applyBorder="1"/>
    <xf numFmtId="164" fontId="2" fillId="19" borderId="50" xfId="0" applyNumberFormat="1" applyFont="1" applyFill="1" applyBorder="1"/>
    <xf numFmtId="164" fontId="2" fillId="18" borderId="49" xfId="0" applyNumberFormat="1" applyFont="1" applyFill="1" applyBorder="1"/>
    <xf numFmtId="0" fontId="1" fillId="13" borderId="0" xfId="2" applyFill="1"/>
    <xf numFmtId="1" fontId="2" fillId="0" borderId="0" xfId="0" applyNumberFormat="1" applyFont="1"/>
    <xf numFmtId="1" fontId="0" fillId="0" borderId="0" xfId="0" applyNumberFormat="1"/>
    <xf numFmtId="0" fontId="15" fillId="13" borderId="12" xfId="0" applyFont="1" applyFill="1" applyBorder="1" applyAlignment="1">
      <alignment horizontal="center"/>
    </xf>
    <xf numFmtId="0" fontId="15" fillId="13" borderId="13" xfId="0" applyFont="1" applyFill="1" applyBorder="1" applyAlignment="1">
      <alignment horizontal="center"/>
    </xf>
    <xf numFmtId="0" fontId="15" fillId="13" borderId="14" xfId="0" applyFont="1" applyFill="1" applyBorder="1" applyAlignment="1">
      <alignment horizontal="center"/>
    </xf>
    <xf numFmtId="37" fontId="6" fillId="0" borderId="7" xfId="0" applyNumberFormat="1" applyFont="1" applyBorder="1" applyAlignment="1">
      <alignment horizontal="center"/>
    </xf>
    <xf numFmtId="37" fontId="6" fillId="0" borderId="11" xfId="0" applyNumberFormat="1" applyFont="1" applyBorder="1" applyAlignment="1">
      <alignment horizontal="center"/>
    </xf>
    <xf numFmtId="0" fontId="0" fillId="0" borderId="11" xfId="0" applyBorder="1"/>
    <xf numFmtId="0" fontId="0" fillId="0" borderId="5" xfId="0" applyBorder="1"/>
    <xf numFmtId="37" fontId="11" fillId="3" borderId="12" xfId="0" applyNumberFormat="1" applyFont="1" applyFill="1" applyBorder="1" applyAlignment="1">
      <alignment horizontal="center"/>
    </xf>
    <xf numFmtId="37" fontId="11" fillId="3" borderId="13" xfId="0" applyNumberFormat="1" applyFont="1" applyFill="1" applyBorder="1" applyAlignment="1">
      <alignment horizontal="center"/>
    </xf>
    <xf numFmtId="37" fontId="11" fillId="3" borderId="14" xfId="0" applyNumberFormat="1" applyFont="1" applyFill="1" applyBorder="1" applyAlignment="1">
      <alignment horizontal="center"/>
    </xf>
    <xf numFmtId="37" fontId="6" fillId="17" borderId="12" xfId="0" applyNumberFormat="1" applyFont="1" applyFill="1" applyBorder="1" applyAlignment="1">
      <alignment horizontal="center"/>
    </xf>
    <xf numFmtId="37" fontId="6" fillId="17" borderId="13" xfId="0" applyNumberFormat="1" applyFont="1" applyFill="1" applyBorder="1" applyAlignment="1">
      <alignment horizontal="center"/>
    </xf>
    <xf numFmtId="37" fontId="6" fillId="17" borderId="14" xfId="0" applyNumberFormat="1" applyFont="1" applyFill="1" applyBorder="1" applyAlignment="1">
      <alignment horizontal="center"/>
    </xf>
    <xf numFmtId="37" fontId="11" fillId="9" borderId="12" xfId="0" applyNumberFormat="1" applyFont="1" applyFill="1" applyBorder="1" applyAlignment="1">
      <alignment horizontal="center"/>
    </xf>
    <xf numFmtId="37" fontId="11" fillId="9" borderId="13" xfId="0" applyNumberFormat="1" applyFont="1" applyFill="1" applyBorder="1" applyAlignment="1">
      <alignment horizontal="center"/>
    </xf>
    <xf numFmtId="37" fontId="11" fillId="9" borderId="14" xfId="0" applyNumberFormat="1" applyFont="1" applyFill="1" applyBorder="1" applyAlignment="1">
      <alignment horizontal="center"/>
    </xf>
  </cellXfs>
  <cellStyles count="3">
    <cellStyle name="Normal" xfId="0" builtinId="0"/>
    <cellStyle name="Normal 2 2" xfId="2" xr:uid="{8D54A250-C9C0-4D8F-8C16-A83A720EB6F8}"/>
    <cellStyle name="Percent" xfId="1" builtinId="5"/>
  </cellStyles>
  <dxfs count="58">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border outline="0">
        <left style="thin">
          <color theme="0" tint="-0.14999847407452621"/>
        </left>
      </border>
    </dxf>
    <dxf>
      <numFmt numFmtId="165" formatCode="&quot;$&quot;#,##0.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quot;#,##0"/>
    </dxf>
    <dxf>
      <font>
        <b val="0"/>
        <i val="0"/>
        <strike val="0"/>
        <condense val="0"/>
        <extend val="0"/>
        <outline val="0"/>
        <shadow val="0"/>
        <u val="none"/>
        <vertAlign val="baseline"/>
        <sz val="10"/>
        <color auto="1"/>
        <name val="Arial"/>
        <family val="2"/>
        <scheme val="none"/>
      </font>
      <numFmt numFmtId="164" formatCode="&quot;$&quot;#,##0"/>
    </dxf>
    <dxf>
      <font>
        <b val="0"/>
        <i val="0"/>
        <strike val="0"/>
        <condense val="0"/>
        <extend val="0"/>
        <outline val="0"/>
        <shadow val="0"/>
        <u val="none"/>
        <vertAlign val="baseline"/>
        <sz val="10"/>
        <color auto="1"/>
        <name val="Arial"/>
        <family val="2"/>
        <scheme val="none"/>
      </font>
      <numFmt numFmtId="164" formatCode="&quot;$&quot;#,##0"/>
    </dxf>
    <dxf>
      <numFmt numFmtId="164" formatCode="&quot;$&quot;#,##0"/>
    </dxf>
    <dxf>
      <numFmt numFmtId="164" formatCode="&quot;$&quot;#,##0"/>
    </dxf>
    <dxf>
      <border outline="0">
        <left style="thin">
          <color theme="0" tint="-0.14999847407452621"/>
        </left>
      </border>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numFmt numFmtId="164" formatCode="&quot;$&quot;#,##0"/>
    </dxf>
    <dxf>
      <fill>
        <patternFill patternType="none">
          <bgColor auto="1"/>
        </patternFill>
      </fill>
    </dxf>
    <dxf>
      <font>
        <b val="0"/>
        <i val="0"/>
        <strike val="0"/>
        <condense val="0"/>
        <extend val="0"/>
        <outline val="0"/>
        <shadow val="0"/>
        <u val="none"/>
        <vertAlign val="baseline"/>
        <sz val="10"/>
        <color auto="1"/>
        <name val="Arial"/>
        <family val="2"/>
        <scheme val="none"/>
      </font>
      <numFmt numFmtId="10" formatCode="&quot;$&quot;#,##0_);[Red]\(&quot;$&quot;#,##0\)"/>
      <fill>
        <patternFill patternType="none">
          <fgColor theme="4" tint="0.79998168889431442"/>
          <bgColor auto="1"/>
        </patternFill>
      </fill>
    </dxf>
    <dxf>
      <font>
        <b val="0"/>
        <i val="0"/>
        <strike val="0"/>
        <condense val="0"/>
        <extend val="0"/>
        <outline val="0"/>
        <shadow val="0"/>
        <u val="none"/>
        <vertAlign val="baseline"/>
        <sz val="10"/>
        <color auto="1"/>
        <name val="Arial"/>
        <family val="2"/>
        <scheme val="none"/>
      </font>
      <fill>
        <patternFill patternType="none">
          <fgColor theme="4" tint="0.79998168889431442"/>
          <bgColor auto="1"/>
        </patternFill>
      </fill>
      <border diagonalUp="0" diagonalDown="0" outline="0">
        <left/>
        <right style="thin">
          <color theme="0" tint="-0.14999847407452621"/>
        </right>
        <top style="thin">
          <color theme="0" tint="-0.14999847407452621"/>
        </top>
        <bottom style="thin">
          <color theme="0" tint="-0.14999847407452621"/>
        </bottom>
      </border>
    </dxf>
    <dxf>
      <border outline="0">
        <left style="thin">
          <color theme="0" tint="-0.14999847407452621"/>
        </left>
        <top style="thin">
          <color theme="0" tint="-0.14999847407452621"/>
        </top>
      </border>
    </dxf>
    <dxf>
      <fill>
        <patternFill patternType="none">
          <bgColor auto="1"/>
        </patternFill>
      </fill>
    </dxf>
    <dxf>
      <fill>
        <patternFill patternType="none">
          <bgColor auto="1"/>
        </patternFill>
      </fill>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strike val="0"/>
        <outline val="0"/>
        <shadow val="0"/>
        <u val="none"/>
        <vertAlign val="baseline"/>
        <sz val="10"/>
        <color auto="1"/>
        <name val="Arial"/>
        <scheme val="none"/>
      </font>
      <numFmt numFmtId="164" formatCode="&quot;$&quot;#,##0"/>
    </dxf>
    <dxf>
      <font>
        <b val="0"/>
        <i val="0"/>
        <strike val="0"/>
        <condense val="0"/>
        <extend val="0"/>
        <outline val="0"/>
        <shadow val="0"/>
        <u val="none"/>
        <vertAlign val="baseline"/>
        <sz val="10"/>
        <color auto="1"/>
        <name val="Arial"/>
        <scheme val="none"/>
      </font>
      <fill>
        <patternFill patternType="none">
          <fgColor indexed="64"/>
          <bgColor indexed="65"/>
        </patternFill>
      </fill>
      <border diagonalUp="0" diagonalDown="0" outline="0">
        <left style="thin">
          <color theme="0" tint="-4.9989318521683403E-2"/>
        </left>
        <right style="thin">
          <color theme="0" tint="-4.9989318521683403E-2"/>
        </right>
        <top/>
        <bottom/>
      </border>
    </dxf>
    <dxf>
      <font>
        <strike val="0"/>
        <outline val="0"/>
        <shadow val="0"/>
        <u val="none"/>
        <vertAlign val="baseline"/>
        <sz val="10"/>
        <color auto="1"/>
        <name val="Arial"/>
        <scheme val="none"/>
      </font>
    </dxf>
    <dxf>
      <font>
        <strike val="0"/>
        <outline val="0"/>
        <shadow val="0"/>
        <u val="none"/>
        <vertAlign val="baseline"/>
        <sz val="10"/>
        <color auto="1"/>
        <name val="Arial"/>
        <scheme val="none"/>
      </font>
    </dxf>
    <dxf>
      <font>
        <b/>
        <i val="0"/>
        <strike val="0"/>
        <condense val="0"/>
        <extend val="0"/>
        <outline val="0"/>
        <shadow val="0"/>
        <u val="none"/>
        <vertAlign val="baseline"/>
        <sz val="10"/>
        <color auto="1"/>
        <name val="Arial"/>
        <scheme val="none"/>
      </font>
      <numFmt numFmtId="5" formatCode="#,##0_);\(#,##0\)"/>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b/>
        <i val="0"/>
        <sz val="20"/>
        <color theme="1"/>
        <name val="Tw Cen MT"/>
        <family val="2"/>
        <scheme val="minor"/>
      </font>
      <border>
        <bottom style="thin">
          <color theme="4"/>
        </bottom>
        <vertical/>
        <horizontal/>
      </border>
    </dxf>
    <dxf>
      <font>
        <color theme="1"/>
      </font>
      <fill>
        <patternFill patternType="solid">
          <bgColor theme="6" tint="0.79998168889431442"/>
        </patternFill>
      </fill>
      <border diagonalUp="0" diagonalDown="0">
        <left/>
        <right/>
        <top/>
        <bottom/>
        <vertical/>
        <horizontal/>
      </border>
    </dxf>
  </dxfs>
  <tableStyles count="1" defaultTableStyle="TableStyleMedium2" defaultPivotStyle="PivotStyleLight16">
    <tableStyle name="SlicerStyleLight1 2" pivot="0" table="0" count="10" xr9:uid="{C5F97256-9BC1-4E4C-BA39-97556CAE14EC}">
      <tableStyleElement type="wholeTable" dxfId="57"/>
      <tableStyleElement type="headerRow" dxfId="56"/>
    </tableStyle>
  </tableStyles>
  <colors>
    <mruColors>
      <color rgb="FFFDE4C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rgb="FF000000"/>
            <name val="Tw Cen MT"/>
            <family val="2"/>
            <scheme val="minor"/>
          </font>
          <fill>
            <patternFill patternType="solid">
              <fgColor auto="1"/>
              <bgColor theme="5" tint="0.39994506668294322"/>
            </patternFill>
          </fill>
          <border>
            <left style="thin">
              <color rgb="FF999999"/>
            </left>
            <right style="thin">
              <color rgb="FF999999"/>
            </right>
            <top style="thin">
              <color rgb="FF999999"/>
            </top>
            <bottom style="thin">
              <color rgb="FF999999"/>
            </bottom>
            <vertical/>
            <horizontal/>
          </border>
        </dxf>
        <dxf>
          <font>
            <sz val="18"/>
            <color rgb="FF000000"/>
            <name val="Tw Cen MT"/>
            <family val="2"/>
            <scheme val="minor"/>
          </font>
          <fill>
            <patternFill patternType="solid">
              <fgColor auto="1"/>
              <bgColor theme="5"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8"/>
            <color rgb="FF000000"/>
            <name val="Tw Cen MT"/>
            <family val="2"/>
            <scheme val="minor"/>
          </font>
          <fill>
            <patternFill patternType="solid">
              <fgColor theme="4"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8"/>
            <color rgb="FF000000"/>
            <name val="Tw Cen MT"/>
            <family val="2"/>
            <scheme val="minor"/>
          </font>
          <fill>
            <patternFill patternType="solid">
              <fgColor rgb="FFFFFFFF"/>
              <bgColor theme="5"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t>Cumulative Cash Flow</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6104562195364791"/>
          <c:y val="0.13213136082093324"/>
          <c:w val="0.82898674091229552"/>
          <c:h val="0.71064342803763081"/>
        </c:manualLayout>
      </c:layout>
      <c:lineChart>
        <c:grouping val="standard"/>
        <c:varyColors val="0"/>
        <c:ser>
          <c:idx val="1"/>
          <c:order val="0"/>
          <c:tx>
            <c:strRef>
              <c:f>Family!$A$1</c:f>
              <c:strCache>
                <c:ptCount val="1"/>
                <c:pt idx="0">
                  <c:v>Family Games</c:v>
                </c:pt>
              </c:strCache>
            </c:strRef>
          </c:tx>
          <c:spPr>
            <a:ln w="44450" cap="rnd">
              <a:solidFill>
                <a:schemeClr val="accent2"/>
              </a:solidFill>
              <a:round/>
            </a:ln>
            <a:effectLst/>
          </c:spPr>
          <c:marker>
            <c:symbol val="circle"/>
            <c:size val="10"/>
            <c:spPr>
              <a:solidFill>
                <a:schemeClr val="accent2"/>
              </a:solidFill>
              <a:ln w="9525">
                <a:solidFill>
                  <a:schemeClr val="accent2"/>
                </a:solidFill>
              </a:ln>
              <a:effectLst/>
            </c:spPr>
          </c:marker>
          <c:val>
            <c:numRef>
              <c:f>Family!$F$18:$M$18</c:f>
              <c:numCache>
                <c:formatCode>"$"#,##0_);\("$"#,##0\)</c:formatCode>
                <c:ptCount val="8"/>
                <c:pt idx="0">
                  <c:v>-38119877.5</c:v>
                </c:pt>
                <c:pt idx="1">
                  <c:v>-15023545</c:v>
                </c:pt>
                <c:pt idx="2">
                  <c:v>8885673.8000000007</c:v>
                </c:pt>
                <c:pt idx="3">
                  <c:v>33632165.489000008</c:v>
                </c:pt>
                <c:pt idx="4">
                  <c:v>59241048.253670007</c:v>
                </c:pt>
                <c:pt idx="5">
                  <c:v>85738193.826280102</c:v>
                </c:pt>
                <c:pt idx="6">
                  <c:v>113150250.09106851</c:v>
                </c:pt>
                <c:pt idx="7">
                  <c:v>143457801.26206851</c:v>
                </c:pt>
              </c:numCache>
            </c:numRef>
          </c:val>
          <c:smooth val="0"/>
          <c:extLst>
            <c:ext xmlns:c16="http://schemas.microsoft.com/office/drawing/2014/chart" uri="{C3380CC4-5D6E-409C-BE32-E72D297353CC}">
              <c16:uniqueId val="{00000000-3E49-4137-A441-596C8D85E741}"/>
            </c:ext>
          </c:extLst>
        </c:ser>
        <c:ser>
          <c:idx val="0"/>
          <c:order val="1"/>
          <c:tx>
            <c:strRef>
              <c:f>RPG!$A$1</c:f>
              <c:strCache>
                <c:ptCount val="1"/>
                <c:pt idx="0">
                  <c:v>RPG Games</c:v>
                </c:pt>
              </c:strCache>
            </c:strRef>
          </c:tx>
          <c:spPr>
            <a:ln w="44450" cap="rnd">
              <a:solidFill>
                <a:schemeClr val="accent1"/>
              </a:solidFill>
              <a:round/>
            </a:ln>
            <a:effectLst/>
          </c:spPr>
          <c:marker>
            <c:symbol val="circle"/>
            <c:size val="10"/>
            <c:spPr>
              <a:solidFill>
                <a:schemeClr val="accent1"/>
              </a:solidFill>
              <a:ln w="9525">
                <a:solidFill>
                  <a:schemeClr val="accent1"/>
                </a:solidFill>
              </a:ln>
              <a:effectLst/>
            </c:spPr>
          </c:marker>
          <c:val>
            <c:numRef>
              <c:f>RPG!$F$18:$M$18</c:f>
              <c:numCache>
                <c:formatCode>"$"#,##0_);\("$"#,##0\)</c:formatCode>
                <c:ptCount val="8"/>
                <c:pt idx="0">
                  <c:v>-47351262.799999997</c:v>
                </c:pt>
                <c:pt idx="1">
                  <c:v>-15296128.399999991</c:v>
                </c:pt>
                <c:pt idx="2">
                  <c:v>17832015.916000016</c:v>
                </c:pt>
                <c:pt idx="3">
                  <c:v>52065360.445480026</c:v>
                </c:pt>
                <c:pt idx="4">
                  <c:v>87437061.194844425</c:v>
                </c:pt>
                <c:pt idx="5">
                  <c:v>123981268.85068977</c:v>
                </c:pt>
                <c:pt idx="6">
                  <c:v>161733158.62021047</c:v>
                </c:pt>
                <c:pt idx="7">
                  <c:v>203307101.66593048</c:v>
                </c:pt>
              </c:numCache>
            </c:numRef>
          </c:val>
          <c:smooth val="0"/>
          <c:extLst>
            <c:ext xmlns:c16="http://schemas.microsoft.com/office/drawing/2014/chart" uri="{C3380CC4-5D6E-409C-BE32-E72D297353CC}">
              <c16:uniqueId val="{00000001-3E49-4137-A441-596C8D85E741}"/>
            </c:ext>
          </c:extLst>
        </c:ser>
        <c:ser>
          <c:idx val="2"/>
          <c:order val="2"/>
          <c:tx>
            <c:strRef>
              <c:f>Craft!$A$1</c:f>
              <c:strCache>
                <c:ptCount val="1"/>
                <c:pt idx="0">
                  <c:v>Craft Games</c:v>
                </c:pt>
              </c:strCache>
            </c:strRef>
          </c:tx>
          <c:spPr>
            <a:ln w="44450" cap="rnd">
              <a:solidFill>
                <a:schemeClr val="accent3"/>
              </a:solidFill>
              <a:round/>
            </a:ln>
            <a:effectLst/>
          </c:spPr>
          <c:marker>
            <c:symbol val="circle"/>
            <c:size val="10"/>
            <c:spPr>
              <a:solidFill>
                <a:schemeClr val="accent3"/>
              </a:solidFill>
              <a:ln w="9525">
                <a:solidFill>
                  <a:schemeClr val="accent3"/>
                </a:solidFill>
              </a:ln>
              <a:effectLst/>
            </c:spPr>
          </c:marker>
          <c:val>
            <c:numRef>
              <c:f>Craft!$F$18:$M$18</c:f>
              <c:numCache>
                <c:formatCode>"$"#,##0_);\("$"#,##0\)</c:formatCode>
                <c:ptCount val="8"/>
                <c:pt idx="0">
                  <c:v>-60242410.335999995</c:v>
                </c:pt>
                <c:pt idx="1">
                  <c:v>-17616680.971999995</c:v>
                </c:pt>
                <c:pt idx="2">
                  <c:v>26375600.583000012</c:v>
                </c:pt>
                <c:pt idx="3">
                  <c:v>71775430.894730002</c:v>
                </c:pt>
                <c:pt idx="4">
                  <c:v>118625036.42589191</c:v>
                </c:pt>
                <c:pt idx="5">
                  <c:v>166967910.43306866</c:v>
                </c:pt>
                <c:pt idx="6">
                  <c:v>216848850.9705407</c:v>
                </c:pt>
                <c:pt idx="7">
                  <c:v>271597440.16701072</c:v>
                </c:pt>
              </c:numCache>
            </c:numRef>
          </c:val>
          <c:smooth val="0"/>
          <c:extLst>
            <c:ext xmlns:c16="http://schemas.microsoft.com/office/drawing/2014/chart" uri="{C3380CC4-5D6E-409C-BE32-E72D297353CC}">
              <c16:uniqueId val="{00000002-3E49-4137-A441-596C8D85E741}"/>
            </c:ext>
          </c:extLst>
        </c:ser>
        <c:ser>
          <c:idx val="3"/>
          <c:order val="3"/>
          <c:tx>
            <c:strRef>
              <c:f>Action!$A$1</c:f>
              <c:strCache>
                <c:ptCount val="1"/>
                <c:pt idx="0">
                  <c:v>Action Games</c:v>
                </c:pt>
              </c:strCache>
            </c:strRef>
          </c:tx>
          <c:spPr>
            <a:ln w="44450" cap="rnd">
              <a:solidFill>
                <a:schemeClr val="accent4"/>
              </a:solidFill>
              <a:round/>
            </a:ln>
            <a:effectLst/>
          </c:spPr>
          <c:marker>
            <c:symbol val="circle"/>
            <c:size val="10"/>
            <c:spPr>
              <a:solidFill>
                <a:schemeClr val="accent4"/>
              </a:solidFill>
              <a:ln w="9525">
                <a:solidFill>
                  <a:schemeClr val="accent4"/>
                </a:solidFill>
              </a:ln>
              <a:effectLst/>
            </c:spPr>
          </c:marker>
          <c:val>
            <c:numRef>
              <c:f>Action!$F$18:$M$18</c:f>
              <c:numCache>
                <c:formatCode>"$"#,##0_);\("$"#,##0\)</c:formatCode>
                <c:ptCount val="8"/>
                <c:pt idx="0">
                  <c:v>-69045249.714667022</c:v>
                </c:pt>
                <c:pt idx="1">
                  <c:v>-14940760.812667027</c:v>
                </c:pt>
                <c:pt idx="2">
                  <c:v>40848660.747832969</c:v>
                </c:pt>
                <c:pt idx="3">
                  <c:v>98373562.94658795</c:v>
                </c:pt>
                <c:pt idx="4">
                  <c:v>157686010.20274559</c:v>
                </c:pt>
                <c:pt idx="5">
                  <c:v>218839628.86802796</c:v>
                </c:pt>
                <c:pt idx="6">
                  <c:v>281889654.08470905</c:v>
                </c:pt>
                <c:pt idx="7">
                  <c:v>350941396.79865408</c:v>
                </c:pt>
              </c:numCache>
            </c:numRef>
          </c:val>
          <c:smooth val="0"/>
          <c:extLst>
            <c:ext xmlns:c16="http://schemas.microsoft.com/office/drawing/2014/chart" uri="{C3380CC4-5D6E-409C-BE32-E72D297353CC}">
              <c16:uniqueId val="{00000003-3E49-4137-A441-596C8D85E741}"/>
            </c:ext>
          </c:extLst>
        </c:ser>
        <c:ser>
          <c:idx val="4"/>
          <c:order val="4"/>
          <c:tx>
            <c:v>Starting New</c:v>
          </c:tx>
          <c:spPr>
            <a:ln w="44450" cap="rnd">
              <a:solidFill>
                <a:schemeClr val="accent5"/>
              </a:solidFill>
              <a:round/>
            </a:ln>
            <a:effectLst/>
          </c:spPr>
          <c:marker>
            <c:symbol val="circle"/>
            <c:size val="10"/>
            <c:spPr>
              <a:solidFill>
                <a:schemeClr val="accent5"/>
              </a:solidFill>
              <a:ln w="9525">
                <a:solidFill>
                  <a:schemeClr val="accent5"/>
                </a:solidFill>
              </a:ln>
              <a:effectLst/>
            </c:spPr>
          </c:marker>
          <c:val>
            <c:numRef>
              <c:f>'Starting New'!$F$18:$M$18</c:f>
              <c:numCache>
                <c:formatCode>"$"#,##0_);\("$"#,##0\)</c:formatCode>
                <c:ptCount val="8"/>
                <c:pt idx="0">
                  <c:v>-28388452.5</c:v>
                </c:pt>
                <c:pt idx="1">
                  <c:v>-33281498.75</c:v>
                </c:pt>
                <c:pt idx="2">
                  <c:v>-35629880.9375</c:v>
                </c:pt>
                <c:pt idx="3">
                  <c:v>-21933393.984375</c:v>
                </c:pt>
                <c:pt idx="4">
                  <c:v>846048.53515625</c:v>
                </c:pt>
                <c:pt idx="5">
                  <c:v>44062141.079101563</c:v>
                </c:pt>
                <c:pt idx="6">
                  <c:v>105671218.64501953</c:v>
                </c:pt>
                <c:pt idx="7">
                  <c:v>178316087.22412109</c:v>
                </c:pt>
              </c:numCache>
            </c:numRef>
          </c:val>
          <c:smooth val="0"/>
          <c:extLst>
            <c:ext xmlns:c16="http://schemas.microsoft.com/office/drawing/2014/chart" uri="{C3380CC4-5D6E-409C-BE32-E72D297353CC}">
              <c16:uniqueId val="{00000004-3E49-4137-A441-596C8D85E741}"/>
            </c:ext>
          </c:extLst>
        </c:ser>
        <c:dLbls>
          <c:showLegendKey val="0"/>
          <c:showVal val="0"/>
          <c:showCatName val="0"/>
          <c:showSerName val="0"/>
          <c:showPercent val="0"/>
          <c:showBubbleSize val="0"/>
        </c:dLbls>
        <c:marker val="1"/>
        <c:smooth val="0"/>
        <c:axId val="695345551"/>
        <c:axId val="551724095"/>
      </c:lineChart>
      <c:catAx>
        <c:axId val="69534555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551724095"/>
        <c:crosses val="autoZero"/>
        <c:auto val="1"/>
        <c:lblAlgn val="ctr"/>
        <c:lblOffset val="100"/>
        <c:noMultiLvlLbl val="0"/>
      </c:catAx>
      <c:valAx>
        <c:axId val="551724095"/>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69534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Captial Budget Case.xlsx]Chart Data2!PivotTable8</c:name>
    <c:fmtId val="13"/>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t>Revenue and EBIT</a:t>
            </a:r>
          </a:p>
        </c:rich>
      </c:tx>
      <c:overlay val="1"/>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66000">
                <a:schemeClr val="accent3">
                  <a:alpha val="0"/>
                </a:schemeClr>
              </a:gs>
              <a:gs pos="0">
                <a:schemeClr val="accent2">
                  <a:alpha val="56000"/>
                </a:schemeClr>
              </a:gs>
              <a:gs pos="100000">
                <a:srgbClr val="FDE4C3">
                  <a:alpha val="62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8100" cap="rnd">
            <a:solidFill>
              <a:schemeClr val="bg1"/>
            </a:solidFill>
            <a:round/>
          </a:ln>
          <a:effectLst/>
        </c:spPr>
        <c:marker>
          <c:symbol val="circle"/>
          <c:size val="1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8100" cap="rnd">
            <a:solidFill>
              <a:schemeClr val="bg1"/>
            </a:solidFill>
            <a:round/>
          </a:ln>
          <a:effectLst/>
        </c:spPr>
        <c:marker>
          <c:symbol val="circle"/>
          <c:size val="1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a:gsLst>
              <a:gs pos="66000">
                <a:schemeClr val="accent3">
                  <a:alpha val="0"/>
                </a:schemeClr>
              </a:gs>
              <a:gs pos="0">
                <a:schemeClr val="accent2">
                  <a:alpha val="56000"/>
                </a:schemeClr>
              </a:gs>
              <a:gs pos="100000">
                <a:srgbClr val="FDE4C3">
                  <a:alpha val="62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8100" cap="rnd">
            <a:solidFill>
              <a:schemeClr val="bg1"/>
            </a:solidFill>
            <a:round/>
          </a:ln>
          <a:effectLst/>
        </c:spPr>
        <c:marker>
          <c:symbol val="circle"/>
          <c:size val="1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a:gsLst>
              <a:gs pos="0">
                <a:schemeClr val="accent2">
                  <a:alpha val="56000"/>
                </a:schemeClr>
              </a:gs>
              <a:gs pos="66000">
                <a:schemeClr val="accent3">
                  <a:alpha val="0"/>
                </a:schemeClr>
              </a:gs>
              <a:gs pos="100000">
                <a:srgbClr val="FDE4C3"/>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38100" cap="rnd">
            <a:solidFill>
              <a:schemeClr val="bg1"/>
            </a:solidFill>
            <a:round/>
          </a:ln>
          <a:effectLst/>
        </c:spPr>
        <c:marker>
          <c:symbol val="circle"/>
          <c:size val="1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a:gsLst>
              <a:gs pos="0">
                <a:schemeClr val="accent2">
                  <a:alpha val="56000"/>
                </a:schemeClr>
              </a:gs>
              <a:gs pos="66000">
                <a:schemeClr val="accent3">
                  <a:alpha val="0"/>
                </a:schemeClr>
              </a:gs>
              <a:gs pos="100000">
                <a:srgbClr val="FDE4C3"/>
              </a:gs>
            </a:gsLst>
            <a:lin ang="5400000" scaled="1"/>
          </a:gradFill>
          <a:ln>
            <a:gradFill>
              <a:gsLst>
                <a:gs pos="0">
                  <a:schemeClr val="accent2">
                    <a:alpha val="56000"/>
                  </a:schemeClr>
                </a:gs>
                <a:gs pos="66000">
                  <a:schemeClr val="accent3">
                    <a:alpha val="0"/>
                  </a:schemeClr>
                </a:gs>
                <a:gs pos="100000">
                  <a:srgbClr val="FDE4C3"/>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38100" cap="rnd">
            <a:solidFill>
              <a:schemeClr val="bg1"/>
            </a:solidFill>
            <a:round/>
          </a:ln>
          <a:effectLst/>
        </c:spPr>
        <c:marker>
          <c:symbol val="circle"/>
          <c:size val="1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a:gsLst>
              <a:gs pos="0">
                <a:schemeClr val="accent2">
                  <a:alpha val="56000"/>
                </a:schemeClr>
              </a:gs>
              <a:gs pos="66000">
                <a:schemeClr val="accent3">
                  <a:alpha val="0"/>
                </a:schemeClr>
              </a:gs>
              <a:gs pos="100000">
                <a:srgbClr val="FDE4C3">
                  <a:alpha val="99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pivotFmt>
    </c:pivotFmts>
    <c:plotArea>
      <c:layout>
        <c:manualLayout>
          <c:layoutTarget val="inner"/>
          <c:xMode val="edge"/>
          <c:yMode val="edge"/>
          <c:x val="9.5687243639999545E-2"/>
          <c:y val="4.2338999470559739E-2"/>
          <c:w val="0.89926225130949544"/>
          <c:h val="0.76377254345352752"/>
        </c:manualLayout>
      </c:layout>
      <c:areaChart>
        <c:grouping val="standard"/>
        <c:varyColors val="0"/>
        <c:ser>
          <c:idx val="1"/>
          <c:order val="1"/>
          <c:tx>
            <c:strRef>
              <c:f>'Chart Data2'!$C$1:$C$3</c:f>
              <c:strCache>
                <c:ptCount val="1"/>
                <c:pt idx="0">
                  <c:v>Sales Revenue2  - Action</c:v>
                </c:pt>
              </c:strCache>
            </c:strRef>
          </c:tx>
          <c:spPr>
            <a:gradFill>
              <a:gsLst>
                <a:gs pos="66000">
                  <a:schemeClr val="accent3">
                    <a:alpha val="0"/>
                  </a:schemeClr>
                </a:gs>
                <a:gs pos="0">
                  <a:schemeClr val="accent2">
                    <a:alpha val="56000"/>
                  </a:schemeClr>
                </a:gs>
                <a:gs pos="100000">
                  <a:srgbClr val="FDE4C3">
                    <a:alpha val="62000"/>
                  </a:srgbClr>
                </a:gs>
              </a:gsLst>
              <a:lin ang="5400000" scaled="1"/>
            </a:gradFill>
            <a:ln>
              <a:noFill/>
            </a:ln>
            <a:effectLst/>
          </c:spPr>
          <c:cat>
            <c:strRef>
              <c:f>'Chart Data2'!$A$4:$A$12</c:f>
              <c:strCache>
                <c:ptCount val="8"/>
                <c:pt idx="0">
                  <c:v>1</c:v>
                </c:pt>
                <c:pt idx="1">
                  <c:v>2</c:v>
                </c:pt>
                <c:pt idx="2">
                  <c:v>3</c:v>
                </c:pt>
                <c:pt idx="3">
                  <c:v>4</c:v>
                </c:pt>
                <c:pt idx="4">
                  <c:v>5</c:v>
                </c:pt>
                <c:pt idx="5">
                  <c:v>6</c:v>
                </c:pt>
                <c:pt idx="6">
                  <c:v>7</c:v>
                </c:pt>
                <c:pt idx="7">
                  <c:v>8</c:v>
                </c:pt>
              </c:strCache>
            </c:strRef>
          </c:cat>
          <c:val>
            <c:numRef>
              <c:f>'Chart Data2'!$C$4:$C$12</c:f>
              <c:numCache>
                <c:formatCode>"$"#,##0</c:formatCode>
                <c:ptCount val="8"/>
                <c:pt idx="0">
                  <c:v>82000000</c:v>
                </c:pt>
                <c:pt idx="1">
                  <c:v>98625500</c:v>
                </c:pt>
                <c:pt idx="2">
                  <c:v>100969265</c:v>
                </c:pt>
                <c:pt idx="3">
                  <c:v>103383342.95</c:v>
                </c:pt>
                <c:pt idx="4">
                  <c:v>105869843.2385</c:v>
                </c:pt>
                <c:pt idx="5">
                  <c:v>108430938.53565501</c:v>
                </c:pt>
                <c:pt idx="6">
                  <c:v>111068866.691725</c:v>
                </c:pt>
                <c:pt idx="7">
                  <c:v>119417340.05</c:v>
                </c:pt>
              </c:numCache>
            </c:numRef>
          </c:val>
          <c:extLst>
            <c:ext xmlns:c16="http://schemas.microsoft.com/office/drawing/2014/chart" uri="{C3380CC4-5D6E-409C-BE32-E72D297353CC}">
              <c16:uniqueId val="{00000000-915F-4BBF-8141-335C42547520}"/>
            </c:ext>
          </c:extLst>
        </c:ser>
        <c:dLbls>
          <c:showLegendKey val="0"/>
          <c:showVal val="0"/>
          <c:showCatName val="0"/>
          <c:showSerName val="0"/>
          <c:showPercent val="0"/>
          <c:showBubbleSize val="0"/>
        </c:dLbls>
        <c:axId val="540640784"/>
        <c:axId val="540643184"/>
      </c:areaChart>
      <c:barChart>
        <c:barDir val="col"/>
        <c:grouping val="clustered"/>
        <c:varyColors val="0"/>
        <c:ser>
          <c:idx val="2"/>
          <c:order val="2"/>
          <c:tx>
            <c:strRef>
              <c:f>'Chart Data2'!$D$1:$D$3</c:f>
              <c:strCache>
                <c:ptCount val="1"/>
                <c:pt idx="0">
                  <c:v>EBIT - Action</c:v>
                </c:pt>
              </c:strCache>
            </c:strRef>
          </c:tx>
          <c:spPr>
            <a:solidFill>
              <a:schemeClr val="accent3"/>
            </a:solidFill>
            <a:ln w="3175">
              <a:solidFill>
                <a:schemeClr val="bg1"/>
              </a:solidFill>
            </a:ln>
            <a:effectLst/>
          </c:spPr>
          <c:invertIfNegative val="0"/>
          <c:cat>
            <c:strRef>
              <c:f>'Chart Data2'!$A$4:$A$12</c:f>
              <c:strCache>
                <c:ptCount val="8"/>
                <c:pt idx="0">
                  <c:v>1</c:v>
                </c:pt>
                <c:pt idx="1">
                  <c:v>2</c:v>
                </c:pt>
                <c:pt idx="2">
                  <c:v>3</c:v>
                </c:pt>
                <c:pt idx="3">
                  <c:v>4</c:v>
                </c:pt>
                <c:pt idx="4">
                  <c:v>5</c:v>
                </c:pt>
                <c:pt idx="5">
                  <c:v>6</c:v>
                </c:pt>
                <c:pt idx="6">
                  <c:v>7</c:v>
                </c:pt>
                <c:pt idx="7">
                  <c:v>8</c:v>
                </c:pt>
              </c:strCache>
            </c:strRef>
          </c:cat>
          <c:val>
            <c:numRef>
              <c:f>'Chart Data2'!$D$4:$D$12</c:f>
              <c:numCache>
                <c:formatCode>"$"#,##0</c:formatCode>
                <c:ptCount val="8"/>
                <c:pt idx="0">
                  <c:v>37745675.466666698</c:v>
                </c:pt>
                <c:pt idx="1">
                  <c:v>52874880.466666698</c:v>
                </c:pt>
                <c:pt idx="2">
                  <c:v>55007706.616666704</c:v>
                </c:pt>
                <c:pt idx="3">
                  <c:v>57204517.551166698</c:v>
                </c:pt>
                <c:pt idx="4">
                  <c:v>59467232.813701704</c:v>
                </c:pt>
                <c:pt idx="5">
                  <c:v>61797829.534112751</c:v>
                </c:pt>
                <c:pt idx="6">
                  <c:v>64198344.156136453</c:v>
                </c:pt>
                <c:pt idx="7">
                  <c:v>71795454.9121667</c:v>
                </c:pt>
              </c:numCache>
            </c:numRef>
          </c:val>
          <c:extLst>
            <c:ext xmlns:c16="http://schemas.microsoft.com/office/drawing/2014/chart" uri="{C3380CC4-5D6E-409C-BE32-E72D297353CC}">
              <c16:uniqueId val="{00000001-915F-4BBF-8141-335C42547520}"/>
            </c:ext>
          </c:extLst>
        </c:ser>
        <c:dLbls>
          <c:showLegendKey val="0"/>
          <c:showVal val="0"/>
          <c:showCatName val="0"/>
          <c:showSerName val="0"/>
          <c:showPercent val="0"/>
          <c:showBubbleSize val="0"/>
        </c:dLbls>
        <c:gapWidth val="75"/>
        <c:axId val="540640784"/>
        <c:axId val="540643184"/>
      </c:barChart>
      <c:lineChart>
        <c:grouping val="standard"/>
        <c:varyColors val="0"/>
        <c:ser>
          <c:idx val="0"/>
          <c:order val="0"/>
          <c:tx>
            <c:strRef>
              <c:f>'Chart Data2'!$B$1:$B$3</c:f>
              <c:strCache>
                <c:ptCount val="1"/>
                <c:pt idx="0">
                  <c:v>Sales Revenue  - Action</c:v>
                </c:pt>
              </c:strCache>
            </c:strRef>
          </c:tx>
          <c:spPr>
            <a:ln w="38100" cap="rnd">
              <a:solidFill>
                <a:schemeClr val="bg1"/>
              </a:solidFill>
              <a:round/>
            </a:ln>
            <a:effectLst/>
          </c:spPr>
          <c:marker>
            <c:symbol val="circle"/>
            <c:size val="15"/>
            <c:spPr>
              <a:solidFill>
                <a:schemeClr val="bg1"/>
              </a:solidFill>
              <a:ln w="9525">
                <a:solidFill>
                  <a:schemeClr val="accent1"/>
                </a:solidFill>
              </a:ln>
              <a:effectLst/>
            </c:spPr>
          </c:marker>
          <c:cat>
            <c:strRef>
              <c:f>'Chart Data2'!$A$4:$A$12</c:f>
              <c:strCache>
                <c:ptCount val="8"/>
                <c:pt idx="0">
                  <c:v>1</c:v>
                </c:pt>
                <c:pt idx="1">
                  <c:v>2</c:v>
                </c:pt>
                <c:pt idx="2">
                  <c:v>3</c:v>
                </c:pt>
                <c:pt idx="3">
                  <c:v>4</c:v>
                </c:pt>
                <c:pt idx="4">
                  <c:v>5</c:v>
                </c:pt>
                <c:pt idx="5">
                  <c:v>6</c:v>
                </c:pt>
                <c:pt idx="6">
                  <c:v>7</c:v>
                </c:pt>
                <c:pt idx="7">
                  <c:v>8</c:v>
                </c:pt>
              </c:strCache>
            </c:strRef>
          </c:cat>
          <c:val>
            <c:numRef>
              <c:f>'Chart Data2'!$B$4:$B$12</c:f>
              <c:numCache>
                <c:formatCode>"$"#,##0</c:formatCode>
                <c:ptCount val="8"/>
                <c:pt idx="0">
                  <c:v>82000000</c:v>
                </c:pt>
                <c:pt idx="1">
                  <c:v>98625500</c:v>
                </c:pt>
                <c:pt idx="2">
                  <c:v>100969265</c:v>
                </c:pt>
                <c:pt idx="3">
                  <c:v>103383342.95</c:v>
                </c:pt>
                <c:pt idx="4">
                  <c:v>105869843.2385</c:v>
                </c:pt>
                <c:pt idx="5">
                  <c:v>108430938.53565501</c:v>
                </c:pt>
                <c:pt idx="6">
                  <c:v>111068866.691725</c:v>
                </c:pt>
                <c:pt idx="7">
                  <c:v>119417340.05</c:v>
                </c:pt>
              </c:numCache>
            </c:numRef>
          </c:val>
          <c:smooth val="0"/>
          <c:extLst>
            <c:ext xmlns:c16="http://schemas.microsoft.com/office/drawing/2014/chart" uri="{C3380CC4-5D6E-409C-BE32-E72D297353CC}">
              <c16:uniqueId val="{00000002-915F-4BBF-8141-335C42547520}"/>
            </c:ext>
          </c:extLst>
        </c:ser>
        <c:dLbls>
          <c:showLegendKey val="0"/>
          <c:showVal val="0"/>
          <c:showCatName val="0"/>
          <c:showSerName val="0"/>
          <c:showPercent val="0"/>
          <c:showBubbleSize val="0"/>
        </c:dLbls>
        <c:dropLines>
          <c:spPr>
            <a:ln w="34925" cap="flat" cmpd="sng" algn="ctr">
              <a:gradFill>
                <a:gsLst>
                  <a:gs pos="0">
                    <a:schemeClr val="bg1"/>
                  </a:gs>
                  <a:gs pos="41000">
                    <a:srgbClr val="FFFFFF">
                      <a:alpha val="0"/>
                    </a:srgbClr>
                  </a:gs>
                  <a:gs pos="100000">
                    <a:schemeClr val="bg1">
                      <a:alpha val="0"/>
                    </a:schemeClr>
                  </a:gs>
                </a:gsLst>
                <a:lin ang="5400000" scaled="1"/>
              </a:gradFill>
              <a:round/>
            </a:ln>
            <a:effectLst/>
          </c:spPr>
        </c:dropLines>
        <c:marker val="1"/>
        <c:smooth val="0"/>
        <c:axId val="540640784"/>
        <c:axId val="540643184"/>
      </c:lineChart>
      <c:catAx>
        <c:axId val="5406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540643184"/>
        <c:crosses val="autoZero"/>
        <c:auto val="1"/>
        <c:lblAlgn val="ctr"/>
        <c:lblOffset val="100"/>
        <c:noMultiLvlLbl val="0"/>
      </c:catAx>
      <c:valAx>
        <c:axId val="54064318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540640784"/>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b="0">
          <a:solidFill>
            <a:schemeClr val="bg1"/>
          </a:solidFill>
        </a:defRPr>
      </a:pPr>
      <a:endParaRPr lang="en-US"/>
    </a:p>
  </c:txPr>
  <c:printSettings>
    <c:headerFooter>
      <c:oddHeader>&amp;C&amp;"Tw Cen MT,Bold"&amp;28&amp;A&amp;R&amp;"-,Bold"&amp;28&amp;P</c:oddHeader>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Captial Budget Case.xlsx]Chart Data1!PivotTable1</c:name>
    <c:fmtId val="2"/>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t>Profitablity</a:t>
            </a:r>
          </a:p>
        </c:rich>
      </c:tx>
      <c:overlay val="1"/>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Data1'!$U$7</c:f>
              <c:strCache>
                <c:ptCount val="1"/>
                <c:pt idx="0">
                  <c:v>Sales Revenue </c:v>
                </c:pt>
              </c:strCache>
            </c:strRef>
          </c:tx>
          <c:spPr>
            <a:solidFill>
              <a:schemeClr val="accent3">
                <a:lumMod val="75000"/>
              </a:schemeClr>
            </a:solidFill>
            <a:ln w="3175">
              <a:solidFill>
                <a:schemeClr val="bg1"/>
              </a:solidFill>
            </a:ln>
            <a:effectLst/>
          </c:spPr>
          <c:invertIfNegative val="0"/>
          <c:cat>
            <c:strRef>
              <c:f>'Chart Data1'!$T$8:$T$13</c:f>
              <c:strCache>
                <c:ptCount val="5"/>
                <c:pt idx="0">
                  <c:v>Action</c:v>
                </c:pt>
                <c:pt idx="1">
                  <c:v>Craft</c:v>
                </c:pt>
                <c:pt idx="2">
                  <c:v>Family</c:v>
                </c:pt>
                <c:pt idx="3">
                  <c:v>RPG</c:v>
                </c:pt>
                <c:pt idx="4">
                  <c:v>Starting New</c:v>
                </c:pt>
              </c:strCache>
            </c:strRef>
          </c:cat>
          <c:val>
            <c:numRef>
              <c:f>'Chart Data1'!$U$8:$U$13</c:f>
              <c:numCache>
                <c:formatCode>"$"#,##0</c:formatCode>
                <c:ptCount val="5"/>
                <c:pt idx="0">
                  <c:v>829765096.46587992</c:v>
                </c:pt>
                <c:pt idx="1">
                  <c:v>688097884.87414408</c:v>
                </c:pt>
                <c:pt idx="2">
                  <c:v>404763461.69067299</c:v>
                </c:pt>
                <c:pt idx="3">
                  <c:v>546430673.2824086</c:v>
                </c:pt>
                <c:pt idx="4">
                  <c:v>357297944.3359375</c:v>
                </c:pt>
              </c:numCache>
            </c:numRef>
          </c:val>
          <c:extLst>
            <c:ext xmlns:c16="http://schemas.microsoft.com/office/drawing/2014/chart" uri="{C3380CC4-5D6E-409C-BE32-E72D297353CC}">
              <c16:uniqueId val="{00000000-1AC4-4487-ADAD-AF54004306CA}"/>
            </c:ext>
          </c:extLst>
        </c:ser>
        <c:ser>
          <c:idx val="1"/>
          <c:order val="1"/>
          <c:tx>
            <c:strRef>
              <c:f>'Chart Data1'!$V$7</c:f>
              <c:strCache>
                <c:ptCount val="1"/>
                <c:pt idx="0">
                  <c:v> Gross Profits </c:v>
                </c:pt>
              </c:strCache>
            </c:strRef>
          </c:tx>
          <c:spPr>
            <a:solidFill>
              <a:schemeClr val="accent3"/>
            </a:solidFill>
            <a:ln w="3175">
              <a:solidFill>
                <a:schemeClr val="bg1"/>
              </a:solidFill>
            </a:ln>
            <a:effectLst/>
          </c:spPr>
          <c:invertIfNegative val="0"/>
          <c:cat>
            <c:strRef>
              <c:f>'Chart Data1'!$T$8:$T$13</c:f>
              <c:strCache>
                <c:ptCount val="5"/>
                <c:pt idx="0">
                  <c:v>Action</c:v>
                </c:pt>
                <c:pt idx="1">
                  <c:v>Craft</c:v>
                </c:pt>
                <c:pt idx="2">
                  <c:v>Family</c:v>
                </c:pt>
                <c:pt idx="3">
                  <c:v>RPG</c:v>
                </c:pt>
                <c:pt idx="4">
                  <c:v>Starting New</c:v>
                </c:pt>
              </c:strCache>
            </c:strRef>
          </c:cat>
          <c:val>
            <c:numRef>
              <c:f>'Chart Data1'!$V$8:$V$13</c:f>
              <c:numCache>
                <c:formatCode>"$"#,##0</c:formatCode>
                <c:ptCount val="5"/>
                <c:pt idx="0">
                  <c:v>755086237.78395092</c:v>
                </c:pt>
                <c:pt idx="1">
                  <c:v>612407117.53798831</c:v>
                </c:pt>
                <c:pt idx="2">
                  <c:v>364287115.52160567</c:v>
                </c:pt>
                <c:pt idx="3">
                  <c:v>480858992.48851955</c:v>
                </c:pt>
                <c:pt idx="4">
                  <c:v>339433047.11914063</c:v>
                </c:pt>
              </c:numCache>
            </c:numRef>
          </c:val>
          <c:extLst>
            <c:ext xmlns:c16="http://schemas.microsoft.com/office/drawing/2014/chart" uri="{C3380CC4-5D6E-409C-BE32-E72D297353CC}">
              <c16:uniqueId val="{00000001-1AC4-4487-ADAD-AF54004306CA}"/>
            </c:ext>
          </c:extLst>
        </c:ser>
        <c:ser>
          <c:idx val="2"/>
          <c:order val="2"/>
          <c:tx>
            <c:strRef>
              <c:f>'Chart Data1'!$W$7</c:f>
              <c:strCache>
                <c:ptCount val="1"/>
                <c:pt idx="0">
                  <c:v>EBIT</c:v>
                </c:pt>
              </c:strCache>
            </c:strRef>
          </c:tx>
          <c:spPr>
            <a:solidFill>
              <a:schemeClr val="accent3">
                <a:lumMod val="60000"/>
                <a:lumOff val="40000"/>
              </a:schemeClr>
            </a:solidFill>
            <a:ln w="3175">
              <a:solidFill>
                <a:schemeClr val="bg1"/>
              </a:solidFill>
            </a:ln>
            <a:effectLst/>
          </c:spPr>
          <c:invertIfNegative val="0"/>
          <c:cat>
            <c:strRef>
              <c:f>'Chart Data1'!$T$8:$T$13</c:f>
              <c:strCache>
                <c:ptCount val="5"/>
                <c:pt idx="0">
                  <c:v>Action</c:v>
                </c:pt>
                <c:pt idx="1">
                  <c:v>Craft</c:v>
                </c:pt>
                <c:pt idx="2">
                  <c:v>Family</c:v>
                </c:pt>
                <c:pt idx="3">
                  <c:v>RPG</c:v>
                </c:pt>
                <c:pt idx="4">
                  <c:v>Starting New</c:v>
                </c:pt>
              </c:strCache>
            </c:strRef>
          </c:cat>
          <c:val>
            <c:numRef>
              <c:f>'Chart Data1'!$W$8:$W$13</c:f>
              <c:numCache>
                <c:formatCode>"$"#,##0</c:formatCode>
                <c:ptCount val="5"/>
                <c:pt idx="0">
                  <c:v>460091641.51728439</c:v>
                </c:pt>
                <c:pt idx="1">
                  <c:v>360470810.33798826</c:v>
                </c:pt>
                <c:pt idx="2">
                  <c:v>201149115.5216057</c:v>
                </c:pt>
                <c:pt idx="3">
                  <c:v>277344432.48851955</c:v>
                </c:pt>
                <c:pt idx="4">
                  <c:v>232295047.11914063</c:v>
                </c:pt>
              </c:numCache>
            </c:numRef>
          </c:val>
          <c:extLst>
            <c:ext xmlns:c16="http://schemas.microsoft.com/office/drawing/2014/chart" uri="{C3380CC4-5D6E-409C-BE32-E72D297353CC}">
              <c16:uniqueId val="{00000002-1AC4-4487-ADAD-AF54004306CA}"/>
            </c:ext>
          </c:extLst>
        </c:ser>
        <c:dLbls>
          <c:showLegendKey val="0"/>
          <c:showVal val="0"/>
          <c:showCatName val="0"/>
          <c:showSerName val="0"/>
          <c:showPercent val="0"/>
          <c:showBubbleSize val="0"/>
        </c:dLbls>
        <c:gapWidth val="219"/>
        <c:axId val="1471366016"/>
        <c:axId val="1471377056"/>
      </c:barChart>
      <c:catAx>
        <c:axId val="1471366016"/>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471377056"/>
        <c:crosses val="autoZero"/>
        <c:auto val="1"/>
        <c:lblAlgn val="ctr"/>
        <c:lblOffset val="100"/>
        <c:noMultiLvlLbl val="0"/>
      </c:catAx>
      <c:valAx>
        <c:axId val="1471377056"/>
        <c:scaling>
          <c:orientation val="minMax"/>
        </c:scaling>
        <c:delete val="0"/>
        <c:axPos val="l"/>
        <c:numFmt formatCode="&quot;$&quot;#,##0"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471366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Captial Budget Case.xlsx]Chart Data1!PivotTable7</c:name>
    <c:fmtId val="6"/>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t>Small Scale Cost Breakdown</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pivotFmt>
      <c:pivotFmt>
        <c:idx val="9"/>
        <c:spPr>
          <a:solidFill>
            <a:schemeClr val="accent1"/>
          </a:solidFill>
          <a:ln>
            <a:solidFill>
              <a:schemeClr val="bg1"/>
            </a:solidFill>
          </a:ln>
          <a:effectLst/>
        </c:spPr>
      </c:pivotFmt>
      <c:pivotFmt>
        <c:idx val="10"/>
        <c:spPr>
          <a:solidFill>
            <a:schemeClr val="accent1"/>
          </a:solidFill>
          <a:ln>
            <a:solidFill>
              <a:schemeClr val="bg1"/>
            </a:solidFill>
          </a:ln>
          <a:effectLst/>
        </c:spPr>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bg1"/>
            </a:solidFill>
          </a:ln>
          <a:effectLst/>
        </c:spPr>
      </c:pivotFmt>
      <c:pivotFmt>
        <c:idx val="13"/>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pivotFmt>
      <c:pivotFmt>
        <c:idx val="16"/>
        <c:spPr>
          <a:solidFill>
            <a:schemeClr val="accent1"/>
          </a:solidFill>
          <a:ln>
            <a:solidFill>
              <a:schemeClr val="bg1"/>
            </a:solidFill>
          </a:ln>
          <a:effectLst/>
        </c:spPr>
      </c:pivotFmt>
      <c:pivotFmt>
        <c:idx val="17"/>
        <c:spPr>
          <a:solidFill>
            <a:schemeClr val="accent1"/>
          </a:solidFill>
          <a:ln>
            <a:solidFill>
              <a:schemeClr val="bg1"/>
            </a:solidFill>
          </a:ln>
          <a:effectLst/>
        </c:spPr>
      </c:pivotFmt>
      <c:pivotFmt>
        <c:idx val="18"/>
        <c:spPr>
          <a:solidFill>
            <a:schemeClr val="accent1"/>
          </a:solidFill>
          <a:ln>
            <a:solidFill>
              <a:schemeClr val="bg1"/>
            </a:solidFill>
          </a:ln>
          <a:effectLst/>
        </c:spPr>
      </c:pivotFmt>
      <c:pivotFmt>
        <c:idx val="19"/>
        <c:spPr>
          <a:solidFill>
            <a:schemeClr val="accent1"/>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1"/>
          </a:solidFill>
          <a:ln>
            <a:solidFill>
              <a:schemeClr val="bg1"/>
            </a:solidFill>
          </a:ln>
          <a:effectLst/>
        </c:spPr>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pivotFmt>
      <c:pivotFmt>
        <c:idx val="24"/>
        <c:spPr>
          <a:solidFill>
            <a:schemeClr val="accent1"/>
          </a:solidFill>
          <a:ln>
            <a:solidFill>
              <a:schemeClr val="bg1"/>
            </a:solidFill>
          </a:ln>
          <a:effectLst/>
        </c:spPr>
      </c:pivotFmt>
    </c:pivotFmts>
    <c:plotArea>
      <c:layout/>
      <c:pieChart>
        <c:varyColors val="1"/>
        <c:ser>
          <c:idx val="0"/>
          <c:order val="0"/>
          <c:tx>
            <c:strRef>
              <c:f>'Chart Data1'!$G$52</c:f>
              <c:strCache>
                <c:ptCount val="1"/>
                <c:pt idx="0">
                  <c:v>Total</c:v>
                </c:pt>
              </c:strCache>
            </c:strRef>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1CDD-430A-BE44-379C271F828F}"/>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1CDD-430A-BE44-379C271F828F}"/>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1CDD-430A-BE44-379C271F828F}"/>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1CDD-430A-BE44-379C271F828F}"/>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CB-4503-9BCD-296A230CA5E9}"/>
              </c:ext>
            </c:extLst>
          </c:dPt>
          <c:dLbls>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Data1'!$F$53:$F$58</c:f>
              <c:strCache>
                <c:ptCount val="5"/>
                <c:pt idx="0">
                  <c:v>Electric</c:v>
                </c:pt>
                <c:pt idx="1">
                  <c:v>Garbage</c:v>
                </c:pt>
                <c:pt idx="2">
                  <c:v>Gas</c:v>
                </c:pt>
                <c:pt idx="3">
                  <c:v>Insurance</c:v>
                </c:pt>
                <c:pt idx="4">
                  <c:v>Telephone</c:v>
                </c:pt>
              </c:strCache>
            </c:strRef>
          </c:cat>
          <c:val>
            <c:numRef>
              <c:f>'Chart Data1'!$G$53:$G$58</c:f>
              <c:numCache>
                <c:formatCode>"$"#,##0</c:formatCode>
                <c:ptCount val="5"/>
                <c:pt idx="0">
                  <c:v>20688</c:v>
                </c:pt>
                <c:pt idx="1">
                  <c:v>2414</c:v>
                </c:pt>
                <c:pt idx="2">
                  <c:v>4138</c:v>
                </c:pt>
                <c:pt idx="3">
                  <c:v>27584</c:v>
                </c:pt>
                <c:pt idx="4">
                  <c:v>3448</c:v>
                </c:pt>
              </c:numCache>
            </c:numRef>
          </c:val>
          <c:extLst>
            <c:ext xmlns:c16="http://schemas.microsoft.com/office/drawing/2014/chart" uri="{C3380CC4-5D6E-409C-BE32-E72D297353CC}">
              <c16:uniqueId val="{00000008-1CDD-430A-BE44-379C271F82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Captial Budget Case.xlsx]Chart Data1!PivotTable17</c:name>
    <c:fmtId val="12"/>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t>Large Scale Cost Breakdown</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9525">
            <a:solidFill>
              <a:schemeClr val="bg1"/>
            </a:solidFill>
          </a:ln>
          <a:effectLst/>
        </c:spPr>
      </c:pivotFmt>
      <c:pivotFmt>
        <c:idx val="12"/>
        <c:spPr>
          <a:solidFill>
            <a:schemeClr val="accent1"/>
          </a:solidFill>
          <a:ln w="9525">
            <a:solidFill>
              <a:schemeClr val="bg1"/>
            </a:solidFill>
          </a:ln>
          <a:effectLst/>
        </c:spPr>
      </c:pivotFmt>
      <c:pivotFmt>
        <c:idx val="13"/>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9525">
            <a:solidFill>
              <a:schemeClr val="bg1"/>
            </a:solidFill>
          </a:ln>
          <a:effectLst/>
        </c:spPr>
      </c:pivotFmt>
      <c:pivotFmt>
        <c:idx val="18"/>
        <c:spPr>
          <a:solidFill>
            <a:schemeClr val="accent1"/>
          </a:solidFill>
          <a:ln w="9525">
            <a:solidFill>
              <a:schemeClr val="bg1"/>
            </a:solidFill>
          </a:ln>
          <a:effectLst/>
        </c:spPr>
      </c:pivotFmt>
    </c:pivotFmts>
    <c:plotArea>
      <c:layout/>
      <c:pieChart>
        <c:varyColors val="1"/>
        <c:ser>
          <c:idx val="0"/>
          <c:order val="0"/>
          <c:tx>
            <c:strRef>
              <c:f>'Chart Data1'!$G$66:$G$67</c:f>
              <c:strCache>
                <c:ptCount val="1"/>
                <c:pt idx="0">
                  <c:v>Action</c:v>
                </c:pt>
              </c:strCache>
            </c:strRef>
          </c:tx>
          <c:spPr>
            <a:ln w="9525">
              <a:solidFill>
                <a:schemeClr val="bg1"/>
              </a:solidFill>
            </a:ln>
          </c:spPr>
          <c:explosion val="10"/>
          <c:dPt>
            <c:idx val="0"/>
            <c:bubble3D val="0"/>
            <c:spPr>
              <a:solidFill>
                <a:schemeClr val="accent1"/>
              </a:solidFill>
              <a:ln w="9525">
                <a:solidFill>
                  <a:schemeClr val="bg1"/>
                </a:solidFill>
              </a:ln>
              <a:effectLst/>
            </c:spPr>
            <c:extLst>
              <c:ext xmlns:c16="http://schemas.microsoft.com/office/drawing/2014/chart" uri="{C3380CC4-5D6E-409C-BE32-E72D297353CC}">
                <c16:uniqueId val="{00000001-AFEF-4821-A195-BB383FC94D24}"/>
              </c:ext>
            </c:extLst>
          </c:dPt>
          <c:dPt>
            <c:idx val="1"/>
            <c:bubble3D val="0"/>
            <c:spPr>
              <a:solidFill>
                <a:schemeClr val="accent2"/>
              </a:solidFill>
              <a:ln w="9525">
                <a:solidFill>
                  <a:schemeClr val="bg1"/>
                </a:solidFill>
              </a:ln>
              <a:effectLst/>
            </c:spPr>
            <c:extLst>
              <c:ext xmlns:c16="http://schemas.microsoft.com/office/drawing/2014/chart" uri="{C3380CC4-5D6E-409C-BE32-E72D297353CC}">
                <c16:uniqueId val="{00000003-AFEF-4821-A195-BB383FC94D24}"/>
              </c:ext>
            </c:extLst>
          </c:dPt>
          <c:dLbls>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Data1'!$F$68:$F$70</c:f>
              <c:strCache>
                <c:ptCount val="2"/>
                <c:pt idx="0">
                  <c:v>Labor</c:v>
                </c:pt>
                <c:pt idx="1">
                  <c:v>Maintenance &amp; Cleaning</c:v>
                </c:pt>
              </c:strCache>
            </c:strRef>
          </c:cat>
          <c:val>
            <c:numRef>
              <c:f>'Chart Data1'!$G$68:$G$70</c:f>
              <c:numCache>
                <c:formatCode>"$"#,##0</c:formatCode>
                <c:ptCount val="2"/>
                <c:pt idx="0">
                  <c:v>24000000</c:v>
                </c:pt>
                <c:pt idx="1">
                  <c:v>482720</c:v>
                </c:pt>
              </c:numCache>
            </c:numRef>
          </c:val>
          <c:extLst>
            <c:ext xmlns:c16="http://schemas.microsoft.com/office/drawing/2014/chart" uri="{C3380CC4-5D6E-409C-BE32-E72D297353CC}">
              <c16:uniqueId val="{00000004-AFEF-4821-A195-BB383FC94D2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t>NPV</a:t>
            </a:r>
          </a:p>
        </c:rich>
      </c:tx>
      <c:overlay val="1"/>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Family!$A$1</c:f>
              <c:strCache>
                <c:ptCount val="1"/>
                <c:pt idx="0">
                  <c:v>Family Games</c:v>
                </c:pt>
              </c:strCache>
            </c:strRef>
          </c:tx>
          <c:spPr>
            <a:solidFill>
              <a:schemeClr val="accent1"/>
            </a:solidFill>
            <a:ln>
              <a:solidFill>
                <a:schemeClr val="bg1"/>
              </a:solidFill>
            </a:ln>
            <a:effectLst/>
          </c:spPr>
          <c:invertIfNegative val="0"/>
          <c:cat>
            <c:strRef>
              <c:f>RPG!$A$22</c:f>
              <c:strCache>
                <c:ptCount val="1"/>
                <c:pt idx="0">
                  <c:v>NPV</c:v>
                </c:pt>
              </c:strCache>
            </c:strRef>
          </c:cat>
          <c:val>
            <c:numRef>
              <c:f>Family!$D$22</c:f>
              <c:numCache>
                <c:formatCode>"$"#,##0_);\("$"#,##0\)</c:formatCode>
                <c:ptCount val="1"/>
                <c:pt idx="0">
                  <c:v>82648361.5762676</c:v>
                </c:pt>
              </c:numCache>
            </c:numRef>
          </c:val>
          <c:extLst>
            <c:ext xmlns:c16="http://schemas.microsoft.com/office/drawing/2014/chart" uri="{C3380CC4-5D6E-409C-BE32-E72D297353CC}">
              <c16:uniqueId val="{00000000-9649-433F-9265-7D9420095F4C}"/>
            </c:ext>
          </c:extLst>
        </c:ser>
        <c:ser>
          <c:idx val="1"/>
          <c:order val="1"/>
          <c:tx>
            <c:strRef>
              <c:f>RPG!$A$1</c:f>
              <c:strCache>
                <c:ptCount val="1"/>
                <c:pt idx="0">
                  <c:v>RPG Games</c:v>
                </c:pt>
              </c:strCache>
            </c:strRef>
          </c:tx>
          <c:spPr>
            <a:solidFill>
              <a:schemeClr val="accent2"/>
            </a:solidFill>
            <a:ln>
              <a:solidFill>
                <a:schemeClr val="bg1"/>
              </a:solidFill>
            </a:ln>
            <a:effectLst/>
          </c:spPr>
          <c:invertIfNegative val="0"/>
          <c:cat>
            <c:strRef>
              <c:f>RPG!$A$22</c:f>
              <c:strCache>
                <c:ptCount val="1"/>
                <c:pt idx="0">
                  <c:v>NPV</c:v>
                </c:pt>
              </c:strCache>
            </c:strRef>
          </c:cat>
          <c:val>
            <c:numRef>
              <c:f>RPG!$D$22</c:f>
              <c:numCache>
                <c:formatCode>"$"#,##0_);\("$"#,##0\)</c:formatCode>
                <c:ptCount val="1"/>
                <c:pt idx="0">
                  <c:v>117498086.6357806</c:v>
                </c:pt>
              </c:numCache>
            </c:numRef>
          </c:val>
          <c:extLst>
            <c:ext xmlns:c16="http://schemas.microsoft.com/office/drawing/2014/chart" uri="{C3380CC4-5D6E-409C-BE32-E72D297353CC}">
              <c16:uniqueId val="{00000001-9649-433F-9265-7D9420095F4C}"/>
            </c:ext>
          </c:extLst>
        </c:ser>
        <c:ser>
          <c:idx val="2"/>
          <c:order val="2"/>
          <c:tx>
            <c:strRef>
              <c:f>Craft!$A$1</c:f>
              <c:strCache>
                <c:ptCount val="1"/>
                <c:pt idx="0">
                  <c:v>Craft Games</c:v>
                </c:pt>
              </c:strCache>
            </c:strRef>
          </c:tx>
          <c:spPr>
            <a:solidFill>
              <a:schemeClr val="accent3"/>
            </a:solidFill>
            <a:ln>
              <a:solidFill>
                <a:schemeClr val="bg1"/>
              </a:solidFill>
            </a:ln>
            <a:effectLst/>
          </c:spPr>
          <c:invertIfNegative val="0"/>
          <c:val>
            <c:numRef>
              <c:f>Craft!$D$22</c:f>
              <c:numCache>
                <c:formatCode>"$"#,##0_);\("$"#,##0\)</c:formatCode>
                <c:ptCount val="1"/>
                <c:pt idx="0">
                  <c:v>155554703.42324927</c:v>
                </c:pt>
              </c:numCache>
            </c:numRef>
          </c:val>
          <c:extLst>
            <c:ext xmlns:c16="http://schemas.microsoft.com/office/drawing/2014/chart" uri="{C3380CC4-5D6E-409C-BE32-E72D297353CC}">
              <c16:uniqueId val="{00000002-9649-433F-9265-7D9420095F4C}"/>
            </c:ext>
          </c:extLst>
        </c:ser>
        <c:ser>
          <c:idx val="3"/>
          <c:order val="3"/>
          <c:tx>
            <c:strRef>
              <c:f>Action!$A$1</c:f>
              <c:strCache>
                <c:ptCount val="1"/>
                <c:pt idx="0">
                  <c:v>Action Games</c:v>
                </c:pt>
              </c:strCache>
            </c:strRef>
          </c:tx>
          <c:spPr>
            <a:solidFill>
              <a:schemeClr val="accent4"/>
            </a:solidFill>
            <a:ln>
              <a:solidFill>
                <a:schemeClr val="bg1"/>
              </a:solidFill>
            </a:ln>
            <a:effectLst/>
          </c:spPr>
          <c:invertIfNegative val="0"/>
          <c:val>
            <c:numRef>
              <c:f>Action!$D$22</c:f>
              <c:numCache>
                <c:formatCode>"$"#,##0_);\("$"#,##0\)</c:formatCode>
                <c:ptCount val="1"/>
                <c:pt idx="0">
                  <c:v>201002891.97170445</c:v>
                </c:pt>
              </c:numCache>
            </c:numRef>
          </c:val>
          <c:extLst>
            <c:ext xmlns:c16="http://schemas.microsoft.com/office/drawing/2014/chart" uri="{C3380CC4-5D6E-409C-BE32-E72D297353CC}">
              <c16:uniqueId val="{00000003-9649-433F-9265-7D9420095F4C}"/>
            </c:ext>
          </c:extLst>
        </c:ser>
        <c:ser>
          <c:idx val="4"/>
          <c:order val="4"/>
          <c:tx>
            <c:strRef>
              <c:f>'Chart Data1'!$C$39</c:f>
              <c:strCache>
                <c:ptCount val="1"/>
                <c:pt idx="0">
                  <c:v>Starting New</c:v>
                </c:pt>
              </c:strCache>
            </c:strRef>
          </c:tx>
          <c:spPr>
            <a:solidFill>
              <a:schemeClr val="accent5"/>
            </a:solidFill>
            <a:ln>
              <a:solidFill>
                <a:schemeClr val="bg1"/>
              </a:solidFill>
            </a:ln>
            <a:effectLst/>
          </c:spPr>
          <c:invertIfNegative val="0"/>
          <c:val>
            <c:numRef>
              <c:f>'Starting New'!$D$22</c:f>
              <c:numCache>
                <c:formatCode>"$"#,##0_);\("$"#,##0\)</c:formatCode>
                <c:ptCount val="1"/>
                <c:pt idx="0">
                  <c:v>84949386.032285452</c:v>
                </c:pt>
              </c:numCache>
            </c:numRef>
          </c:val>
          <c:extLst>
            <c:ext xmlns:c16="http://schemas.microsoft.com/office/drawing/2014/chart" uri="{C3380CC4-5D6E-409C-BE32-E72D297353CC}">
              <c16:uniqueId val="{00000004-9649-433F-9265-7D9420095F4C}"/>
            </c:ext>
          </c:extLst>
        </c:ser>
        <c:dLbls>
          <c:showLegendKey val="0"/>
          <c:showVal val="0"/>
          <c:showCatName val="0"/>
          <c:showSerName val="0"/>
          <c:showPercent val="0"/>
          <c:showBubbleSize val="0"/>
        </c:dLbls>
        <c:gapWidth val="50"/>
        <c:axId val="1958579919"/>
        <c:axId val="1958582799"/>
      </c:barChart>
      <c:catAx>
        <c:axId val="19585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958582799"/>
        <c:crosses val="autoZero"/>
        <c:auto val="1"/>
        <c:lblAlgn val="ctr"/>
        <c:lblOffset val="100"/>
        <c:noMultiLvlLbl val="0"/>
      </c:catAx>
      <c:valAx>
        <c:axId val="1958582799"/>
        <c:scaling>
          <c:orientation val="minMax"/>
        </c:scaling>
        <c:delete val="0"/>
        <c:axPos val="l"/>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958579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solidFill>
            <a:schemeClr val="bg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t>IRR</a:t>
            </a:r>
          </a:p>
        </c:rich>
      </c:tx>
      <c:overlay val="1"/>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Family!$A$1</c:f>
              <c:strCache>
                <c:ptCount val="1"/>
                <c:pt idx="0">
                  <c:v>Family Games</c:v>
                </c:pt>
              </c:strCache>
            </c:strRef>
          </c:tx>
          <c:spPr>
            <a:solidFill>
              <a:schemeClr val="accent1"/>
            </a:solidFill>
            <a:ln>
              <a:solidFill>
                <a:schemeClr val="bg1"/>
              </a:solidFill>
            </a:ln>
            <a:effectLst/>
          </c:spPr>
          <c:invertIfNegative val="0"/>
          <c:cat>
            <c:strRef>
              <c:f>Family!$A$23</c:f>
              <c:strCache>
                <c:ptCount val="1"/>
                <c:pt idx="0">
                  <c:v>IRR</c:v>
                </c:pt>
              </c:strCache>
            </c:strRef>
          </c:cat>
          <c:val>
            <c:numRef>
              <c:f>Family!$D$23</c:f>
              <c:numCache>
                <c:formatCode>0.00%</c:formatCode>
                <c:ptCount val="1"/>
                <c:pt idx="0">
                  <c:v>0.37457443652334899</c:v>
                </c:pt>
              </c:numCache>
            </c:numRef>
          </c:val>
          <c:extLst>
            <c:ext xmlns:c16="http://schemas.microsoft.com/office/drawing/2014/chart" uri="{C3380CC4-5D6E-409C-BE32-E72D297353CC}">
              <c16:uniqueId val="{00000000-A926-456D-A2BB-895DE3FF25B8}"/>
            </c:ext>
          </c:extLst>
        </c:ser>
        <c:ser>
          <c:idx val="1"/>
          <c:order val="1"/>
          <c:tx>
            <c:strRef>
              <c:f>RPG!$A$1</c:f>
              <c:strCache>
                <c:ptCount val="1"/>
                <c:pt idx="0">
                  <c:v>RPG Games</c:v>
                </c:pt>
              </c:strCache>
            </c:strRef>
          </c:tx>
          <c:spPr>
            <a:solidFill>
              <a:schemeClr val="accent2"/>
            </a:solidFill>
            <a:ln>
              <a:solidFill>
                <a:schemeClr val="bg1"/>
              </a:solidFill>
            </a:ln>
            <a:effectLst/>
          </c:spPr>
          <c:invertIfNegative val="0"/>
          <c:val>
            <c:numRef>
              <c:f>RPG!$D$23</c:f>
              <c:numCache>
                <c:formatCode>0.00%</c:formatCode>
                <c:ptCount val="1"/>
                <c:pt idx="0">
                  <c:v>0.40507981066888776</c:v>
                </c:pt>
              </c:numCache>
            </c:numRef>
          </c:val>
          <c:extLst>
            <c:ext xmlns:c16="http://schemas.microsoft.com/office/drawing/2014/chart" uri="{C3380CC4-5D6E-409C-BE32-E72D297353CC}">
              <c16:uniqueId val="{00000001-A926-456D-A2BB-895DE3FF25B8}"/>
            </c:ext>
          </c:extLst>
        </c:ser>
        <c:ser>
          <c:idx val="2"/>
          <c:order val="2"/>
          <c:tx>
            <c:strRef>
              <c:f>Craft!$A$1</c:f>
              <c:strCache>
                <c:ptCount val="1"/>
                <c:pt idx="0">
                  <c:v>Craft Games</c:v>
                </c:pt>
              </c:strCache>
            </c:strRef>
          </c:tx>
          <c:spPr>
            <a:solidFill>
              <a:schemeClr val="accent3"/>
            </a:solidFill>
            <a:ln>
              <a:solidFill>
                <a:schemeClr val="bg1"/>
              </a:solidFill>
            </a:ln>
            <a:effectLst/>
          </c:spPr>
          <c:invertIfNegative val="0"/>
          <c:val>
            <c:numRef>
              <c:f>Craft!$D$23</c:f>
              <c:numCache>
                <c:formatCode>0.00%</c:formatCode>
                <c:ptCount val="1"/>
                <c:pt idx="0">
                  <c:v>0.41655262904996682</c:v>
                </c:pt>
              </c:numCache>
            </c:numRef>
          </c:val>
          <c:extLst>
            <c:ext xmlns:c16="http://schemas.microsoft.com/office/drawing/2014/chart" uri="{C3380CC4-5D6E-409C-BE32-E72D297353CC}">
              <c16:uniqueId val="{00000002-A926-456D-A2BB-895DE3FF25B8}"/>
            </c:ext>
          </c:extLst>
        </c:ser>
        <c:ser>
          <c:idx val="3"/>
          <c:order val="3"/>
          <c:tx>
            <c:strRef>
              <c:f>Action!$A$1</c:f>
              <c:strCache>
                <c:ptCount val="1"/>
                <c:pt idx="0">
                  <c:v>Action Games</c:v>
                </c:pt>
              </c:strCache>
            </c:strRef>
          </c:tx>
          <c:spPr>
            <a:solidFill>
              <a:schemeClr val="accent4"/>
            </a:solidFill>
            <a:ln>
              <a:solidFill>
                <a:schemeClr val="bg1"/>
              </a:solidFill>
            </a:ln>
            <a:effectLst/>
          </c:spPr>
          <c:invertIfNegative val="0"/>
          <c:val>
            <c:numRef>
              <c:f>Action!$D$23</c:f>
              <c:numCache>
                <c:formatCode>0.00%</c:formatCode>
                <c:ptCount val="1"/>
                <c:pt idx="0">
                  <c:v>0.44554643427299689</c:v>
                </c:pt>
              </c:numCache>
            </c:numRef>
          </c:val>
          <c:extLst>
            <c:ext xmlns:c16="http://schemas.microsoft.com/office/drawing/2014/chart" uri="{C3380CC4-5D6E-409C-BE32-E72D297353CC}">
              <c16:uniqueId val="{00000003-A926-456D-A2BB-895DE3FF25B8}"/>
            </c:ext>
          </c:extLst>
        </c:ser>
        <c:ser>
          <c:idx val="4"/>
          <c:order val="4"/>
          <c:tx>
            <c:strRef>
              <c:f>'Chart Data1'!$C$39</c:f>
              <c:strCache>
                <c:ptCount val="1"/>
                <c:pt idx="0">
                  <c:v>Starting New</c:v>
                </c:pt>
              </c:strCache>
            </c:strRef>
          </c:tx>
          <c:spPr>
            <a:solidFill>
              <a:schemeClr val="accent5"/>
            </a:solidFill>
            <a:ln>
              <a:solidFill>
                <a:schemeClr val="bg1"/>
              </a:solidFill>
            </a:ln>
            <a:effectLst/>
          </c:spPr>
          <c:invertIfNegative val="0"/>
          <c:val>
            <c:numRef>
              <c:f>'Starting New'!$D$23</c:f>
              <c:numCache>
                <c:formatCode>0.00%</c:formatCode>
                <c:ptCount val="1"/>
                <c:pt idx="0">
                  <c:v>0.35233254509681711</c:v>
                </c:pt>
              </c:numCache>
            </c:numRef>
          </c:val>
          <c:extLst>
            <c:ext xmlns:c16="http://schemas.microsoft.com/office/drawing/2014/chart" uri="{C3380CC4-5D6E-409C-BE32-E72D297353CC}">
              <c16:uniqueId val="{00000004-A926-456D-A2BB-895DE3FF25B8}"/>
            </c:ext>
          </c:extLst>
        </c:ser>
        <c:dLbls>
          <c:showLegendKey val="0"/>
          <c:showVal val="0"/>
          <c:showCatName val="0"/>
          <c:showSerName val="0"/>
          <c:showPercent val="0"/>
          <c:showBubbleSize val="0"/>
        </c:dLbls>
        <c:gapWidth val="50"/>
        <c:axId val="1841793935"/>
        <c:axId val="1841792975"/>
      </c:barChart>
      <c:catAx>
        <c:axId val="184179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841792975"/>
        <c:crosses val="autoZero"/>
        <c:auto val="1"/>
        <c:lblAlgn val="ctr"/>
        <c:lblOffset val="100"/>
        <c:noMultiLvlLbl val="0"/>
      </c:catAx>
      <c:valAx>
        <c:axId val="18417929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841793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solidFill>
            <a:schemeClr val="bg1"/>
          </a:solidFill>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t>Payback Period</a:t>
            </a:r>
          </a:p>
        </c:rich>
      </c:tx>
      <c:overlay val="1"/>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5671007819524291"/>
          <c:y val="4.716981132075472E-2"/>
          <c:w val="0.81114749929615204"/>
          <c:h val="0.75231441588669345"/>
        </c:manualLayout>
      </c:layout>
      <c:barChart>
        <c:barDir val="bar"/>
        <c:grouping val="clustered"/>
        <c:varyColors val="0"/>
        <c:ser>
          <c:idx val="0"/>
          <c:order val="0"/>
          <c:tx>
            <c:strRef>
              <c:f>Family!$A$1</c:f>
              <c:strCache>
                <c:ptCount val="1"/>
                <c:pt idx="0">
                  <c:v>Family Games</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Family!$A$24</c:f>
              <c:strCache>
                <c:ptCount val="1"/>
                <c:pt idx="0">
                  <c:v>Payback Period</c:v>
                </c:pt>
              </c:strCache>
            </c:strRef>
          </c:cat>
          <c:val>
            <c:numRef>
              <c:f>Family!$D$24</c:f>
              <c:numCache>
                <c:formatCode>0.00</c:formatCode>
                <c:ptCount val="1"/>
                <c:pt idx="0">
                  <c:v>2.6283578366015039</c:v>
                </c:pt>
              </c:numCache>
            </c:numRef>
          </c:val>
          <c:extLst>
            <c:ext xmlns:c16="http://schemas.microsoft.com/office/drawing/2014/chart" uri="{C3380CC4-5D6E-409C-BE32-E72D297353CC}">
              <c16:uniqueId val="{00000000-24A3-4BA0-BC67-91E7AA3E3A45}"/>
            </c:ext>
          </c:extLst>
        </c:ser>
        <c:ser>
          <c:idx val="1"/>
          <c:order val="1"/>
          <c:tx>
            <c:strRef>
              <c:f>RPG!$A$1</c:f>
              <c:strCache>
                <c:ptCount val="1"/>
                <c:pt idx="0">
                  <c:v>RPG Games</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RPG!$D$24</c:f>
              <c:numCache>
                <c:formatCode>0.00</c:formatCode>
                <c:ptCount val="1"/>
                <c:pt idx="0">
                  <c:v>2.4617260856537735</c:v>
                </c:pt>
              </c:numCache>
            </c:numRef>
          </c:val>
          <c:extLst>
            <c:ext xmlns:c16="http://schemas.microsoft.com/office/drawing/2014/chart" uri="{C3380CC4-5D6E-409C-BE32-E72D297353CC}">
              <c16:uniqueId val="{00000001-24A3-4BA0-BC67-91E7AA3E3A45}"/>
            </c:ext>
          </c:extLst>
        </c:ser>
        <c:ser>
          <c:idx val="2"/>
          <c:order val="2"/>
          <c:tx>
            <c:strRef>
              <c:f>Craft!$A$1</c:f>
              <c:strCache>
                <c:ptCount val="1"/>
                <c:pt idx="0">
                  <c:v>Craft Games</c:v>
                </c:pt>
              </c:strCache>
            </c:strRef>
          </c:tx>
          <c:spPr>
            <a:solidFill>
              <a:schemeClr val="accent3"/>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Craft!$D$24</c:f>
              <c:numCache>
                <c:formatCode>0.00</c:formatCode>
                <c:ptCount val="1"/>
                <c:pt idx="0">
                  <c:v>2.4004493595081056</c:v>
                </c:pt>
              </c:numCache>
            </c:numRef>
          </c:val>
          <c:extLst>
            <c:ext xmlns:c16="http://schemas.microsoft.com/office/drawing/2014/chart" uri="{C3380CC4-5D6E-409C-BE32-E72D297353CC}">
              <c16:uniqueId val="{00000002-24A3-4BA0-BC67-91E7AA3E3A45}"/>
            </c:ext>
          </c:extLst>
        </c:ser>
        <c:ser>
          <c:idx val="3"/>
          <c:order val="3"/>
          <c:tx>
            <c:strRef>
              <c:f>Action!$A$1</c:f>
              <c:strCache>
                <c:ptCount val="1"/>
                <c:pt idx="0">
                  <c:v>Action Games</c:v>
                </c:pt>
              </c:strCache>
            </c:strRef>
          </c:tx>
          <c:spPr>
            <a:solidFill>
              <a:schemeClr val="accent4"/>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Action!$D$24</c:f>
              <c:numCache>
                <c:formatCode>0.00</c:formatCode>
                <c:ptCount val="1"/>
                <c:pt idx="0">
                  <c:v>2.2678063402479403</c:v>
                </c:pt>
              </c:numCache>
            </c:numRef>
          </c:val>
          <c:extLst>
            <c:ext xmlns:c16="http://schemas.microsoft.com/office/drawing/2014/chart" uri="{C3380CC4-5D6E-409C-BE32-E72D297353CC}">
              <c16:uniqueId val="{00000003-24A3-4BA0-BC67-91E7AA3E3A45}"/>
            </c:ext>
          </c:extLst>
        </c:ser>
        <c:ser>
          <c:idx val="4"/>
          <c:order val="4"/>
          <c:tx>
            <c:strRef>
              <c:f>'Chart Data1'!$C$39</c:f>
              <c:strCache>
                <c:ptCount val="1"/>
                <c:pt idx="0">
                  <c:v>Starting New</c:v>
                </c:pt>
              </c:strCache>
            </c:strRef>
          </c:tx>
          <c:spPr>
            <a:solidFill>
              <a:schemeClr val="accent5"/>
            </a:solidFill>
            <a:ln>
              <a:noFill/>
            </a:ln>
            <a:effectLst/>
          </c:spPr>
          <c:invertIfNegative val="0"/>
          <c:dPt>
            <c:idx val="0"/>
            <c:invertIfNegative val="0"/>
            <c:bubble3D val="0"/>
            <c:spPr>
              <a:solidFill>
                <a:schemeClr val="accent5"/>
              </a:solidFill>
              <a:ln>
                <a:solidFill>
                  <a:schemeClr val="bg1"/>
                </a:solidFill>
              </a:ln>
              <a:effectLst/>
            </c:spPr>
            <c:extLst>
              <c:ext xmlns:c16="http://schemas.microsoft.com/office/drawing/2014/chart" uri="{C3380CC4-5D6E-409C-BE32-E72D297353CC}">
                <c16:uniqueId val="{00000005-24A3-4BA0-BC67-91E7AA3E3A45}"/>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'Starting New'!$D$24</c:f>
              <c:numCache>
                <c:formatCode>0.00</c:formatCode>
                <c:ptCount val="1"/>
                <c:pt idx="0">
                  <c:v>4.9628591202602594</c:v>
                </c:pt>
              </c:numCache>
            </c:numRef>
          </c:val>
          <c:extLst>
            <c:ext xmlns:c16="http://schemas.microsoft.com/office/drawing/2014/chart" uri="{C3380CC4-5D6E-409C-BE32-E72D297353CC}">
              <c16:uniqueId val="{00000004-24A3-4BA0-BC67-91E7AA3E3A45}"/>
            </c:ext>
          </c:extLst>
        </c:ser>
        <c:dLbls>
          <c:dLblPos val="outEnd"/>
          <c:showLegendKey val="0"/>
          <c:showVal val="1"/>
          <c:showCatName val="0"/>
          <c:showSerName val="0"/>
          <c:showPercent val="0"/>
          <c:showBubbleSize val="0"/>
        </c:dLbls>
        <c:gapWidth val="120"/>
        <c:axId val="1345958399"/>
        <c:axId val="1345953119"/>
      </c:barChart>
      <c:catAx>
        <c:axId val="1345958399"/>
        <c:scaling>
          <c:orientation val="minMax"/>
        </c:scaling>
        <c:delete val="0"/>
        <c:axPos val="l"/>
        <c:numFmt formatCode="General" sourceLinked="1"/>
        <c:majorTickMark val="out"/>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345953119"/>
        <c:crosses val="autoZero"/>
        <c:auto val="1"/>
        <c:lblAlgn val="ctr"/>
        <c:lblOffset val="100"/>
        <c:noMultiLvlLbl val="0"/>
      </c:catAx>
      <c:valAx>
        <c:axId val="1345953119"/>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345958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solidFill>
            <a:schemeClr val="bg1"/>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DCF</cx:v>
        </cx:txData>
      </cx:tx>
      <cx:txPr>
        <a:bodyPr vertOverflow="overflow" horzOverflow="overflow" wrap="square" lIns="0" tIns="0" rIns="0" bIns="0"/>
        <a:lstStyle/>
        <a:p>
          <a:pPr algn="ctr" rtl="0">
            <a:defRPr sz="2400" b="1" i="0">
              <a:solidFill>
                <a:schemeClr val="bg1"/>
              </a:solidFill>
              <a:latin typeface="Tw Cen MT" panose="020B0602020104020603" pitchFamily="34" charset="0"/>
              <a:ea typeface="Tw Cen MT" panose="020B0602020104020603" pitchFamily="34" charset="0"/>
              <a:cs typeface="Tw Cen MT" panose="020B0602020104020603" pitchFamily="34" charset="0"/>
            </a:defRPr>
          </a:pPr>
          <a:r>
            <a:rPr lang="en-US" sz="2400" b="1">
              <a:solidFill>
                <a:schemeClr val="bg1"/>
              </a:solidFill>
            </a:rPr>
            <a:t>DCF</a:t>
          </a:r>
        </a:p>
      </cx:txPr>
    </cx:title>
    <cx:plotArea>
      <cx:plotAreaRegion>
        <cx:series layoutId="waterfall" uniqueId="{575A34FF-DBE3-41CA-9FBC-C185E12C200D}" formatIdx="1">
          <cx:tx>
            <cx:txData>
              <cx:f>_xlchart.v1.1</cx:f>
              <cx:v>Sum of DCF</cx:v>
            </cx:txData>
          </cx:tx>
          <cx:dataLabels pos="outEnd">
            <cx:txPr>
              <a:bodyPr vertOverflow="overflow" horzOverflow="overflow" wrap="square" lIns="0" tIns="0" rIns="0" bIns="0"/>
              <a:lstStyle/>
              <a:p>
                <a:pPr algn="ctr" rtl="0">
                  <a:defRPr sz="1700" b="1" i="0">
                    <a:solidFill>
                      <a:schemeClr val="bg1"/>
                    </a:solidFill>
                    <a:latin typeface="Tw Cen MT" panose="020B0602020104020603" pitchFamily="34" charset="0"/>
                    <a:ea typeface="Tw Cen MT" panose="020B0602020104020603" pitchFamily="34" charset="0"/>
                    <a:cs typeface="Tw Cen MT" panose="020B0602020104020603" pitchFamily="34" charset="0"/>
                  </a:defRPr>
                </a:pPr>
                <a:endParaRPr lang="en-US" sz="1700" b="1">
                  <a:solidFill>
                    <a:schemeClr val="bg1"/>
                  </a:solidFill>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700" b="1" i="0">
                <a:solidFill>
                  <a:schemeClr val="bg1"/>
                </a:solidFill>
                <a:latin typeface="Tw Cen MT" panose="020B0602020104020603" pitchFamily="34" charset="0"/>
                <a:ea typeface="Tw Cen MT" panose="020B0602020104020603" pitchFamily="34" charset="0"/>
                <a:cs typeface="Tw Cen MT" panose="020B0602020104020603" pitchFamily="34" charset="0"/>
              </a:defRPr>
            </a:pPr>
            <a:endParaRPr lang="en-US" sz="1700" b="1">
              <a:solidFill>
                <a:schemeClr val="bg1"/>
              </a:solidFill>
            </a:endParaRPr>
          </a:p>
        </cx:txPr>
      </cx:axis>
      <cx:axis id="1">
        <cx:valScaling/>
        <cx:majorGridlines/>
        <cx:tickLabels/>
        <cx:txPr>
          <a:bodyPr vertOverflow="overflow" horzOverflow="overflow" wrap="square" lIns="0" tIns="0" rIns="0" bIns="0"/>
          <a:lstStyle/>
          <a:p>
            <a:pPr algn="ctr" rtl="0">
              <a:defRPr sz="1700" b="1" i="0">
                <a:solidFill>
                  <a:schemeClr val="bg1"/>
                </a:solidFill>
                <a:latin typeface="Tw Cen MT" panose="020B0602020104020603" pitchFamily="34" charset="0"/>
                <a:ea typeface="Tw Cen MT" panose="020B0602020104020603" pitchFamily="34" charset="0"/>
                <a:cs typeface="Tw Cen MT" panose="020B0602020104020603" pitchFamily="34" charset="0"/>
              </a:defRPr>
            </a:pPr>
            <a:endParaRPr lang="en-US" sz="1700" b="1">
              <a:solidFill>
                <a:schemeClr val="bg1"/>
              </a:solidFill>
            </a:endParaRPr>
          </a:p>
        </cx:txPr>
      </cx:axis>
    </cx:plotArea>
    <cx:legend pos="t" align="ctr" overlay="0">
      <cx:txPr>
        <a:bodyPr vertOverflow="overflow" horzOverflow="overflow" wrap="square" lIns="0" tIns="0" rIns="0" bIns="0"/>
        <a:lstStyle/>
        <a:p>
          <a:pPr algn="ctr" rtl="0">
            <a:defRPr sz="1700" b="1" i="0">
              <a:solidFill>
                <a:schemeClr val="bg1"/>
              </a:solidFill>
              <a:latin typeface="Tw Cen MT" panose="020B0602020104020603" pitchFamily="34" charset="0"/>
              <a:ea typeface="Tw Cen MT" panose="020B0602020104020603" pitchFamily="34" charset="0"/>
              <a:cs typeface="Tw Cen MT" panose="020B0602020104020603" pitchFamily="34" charset="0"/>
            </a:defRPr>
          </a:pPr>
          <a:endParaRPr lang="en-US" sz="1700" b="1">
            <a:solidFill>
              <a:schemeClr val="bg1"/>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737755</xdr:colOff>
      <xdr:row>1</xdr:row>
      <xdr:rowOff>184032</xdr:rowOff>
    </xdr:from>
    <xdr:to>
      <xdr:col>11</xdr:col>
      <xdr:colOff>140855</xdr:colOff>
      <xdr:row>112</xdr:row>
      <xdr:rowOff>95250</xdr:rowOff>
    </xdr:to>
    <xdr:sp macro="" textlink="">
      <xdr:nvSpPr>
        <xdr:cNvPr id="2" name="TextBox 1">
          <a:extLst>
            <a:ext uri="{FF2B5EF4-FFF2-40B4-BE49-F238E27FC236}">
              <a16:creationId xmlns:a16="http://schemas.microsoft.com/office/drawing/2014/main" id="{EB83A863-7ADE-4C7F-B7A3-C15544A74CFD}"/>
            </a:ext>
          </a:extLst>
        </xdr:cNvPr>
        <xdr:cNvSpPr txBox="1"/>
      </xdr:nvSpPr>
      <xdr:spPr>
        <a:xfrm>
          <a:off x="737755" y="355482"/>
          <a:ext cx="7575550" cy="19266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Times New Roman" panose="02020603050405020304" pitchFamily="18" charset="0"/>
              <a:cs typeface="Times New Roman" panose="02020603050405020304" pitchFamily="18" charset="0"/>
            </a:rPr>
            <a:t>Executive</a:t>
          </a:r>
          <a:r>
            <a:rPr lang="en-US" sz="1800" b="1" baseline="0">
              <a:latin typeface="Times New Roman" panose="02020603050405020304" pitchFamily="18" charset="0"/>
              <a:cs typeface="Times New Roman" panose="02020603050405020304" pitchFamily="18" charset="0"/>
            </a:rPr>
            <a:t> Summary</a:t>
          </a:r>
        </a:p>
        <a:p>
          <a:r>
            <a:rPr lang="en-US" sz="1800" b="1" baseline="0">
              <a:latin typeface="Times New Roman" panose="02020603050405020304" pitchFamily="18" charset="0"/>
              <a:cs typeface="Times New Roman" panose="02020603050405020304" pitchFamily="18" charset="0"/>
            </a:rPr>
            <a:t>To: CFO</a:t>
          </a:r>
        </a:p>
        <a:p>
          <a:r>
            <a:rPr lang="en-US" sz="1800" b="1" baseline="0">
              <a:latin typeface="Times New Roman" panose="02020603050405020304" pitchFamily="18" charset="0"/>
              <a:cs typeface="Times New Roman" panose="02020603050405020304" pitchFamily="18" charset="0"/>
            </a:rPr>
            <a:t>Subject: Capital Budget</a:t>
          </a:r>
        </a:p>
        <a:p>
          <a:r>
            <a:rPr lang="en-US" sz="1800" b="1" baseline="0">
              <a:latin typeface="Times New Roman" panose="02020603050405020304" pitchFamily="18" charset="0"/>
              <a:cs typeface="Times New Roman" panose="02020603050405020304" pitchFamily="18" charset="0"/>
            </a:rPr>
            <a:t>From: Team 6, MJ Sanacore, Neoma Khan, Terrence Ho, Christina Alex</a:t>
          </a:r>
        </a:p>
        <a:p>
          <a:endParaRPr lang="en-US" sz="1800" b="1" baseline="0">
            <a:latin typeface="Times New Roman" panose="02020603050405020304" pitchFamily="18" charset="0"/>
            <a:cs typeface="Times New Roman" panose="02020603050405020304" pitchFamily="18" charset="0"/>
          </a:endParaRPr>
        </a:p>
        <a:p>
          <a:r>
            <a:rPr lang="en-US" sz="1200" b="1" baseline="0">
              <a:latin typeface="Times New Roman" panose="02020603050405020304" pitchFamily="18" charset="0"/>
              <a:cs typeface="Times New Roman" panose="02020603050405020304" pitchFamily="18" charset="0"/>
            </a:rPr>
            <a:t>INTRODUCTION:</a:t>
          </a:r>
        </a:p>
        <a:p>
          <a:pPr rtl="0"/>
          <a:r>
            <a:rPr lang="en-US" sz="1200" b="0" i="0" u="none" strike="noStrike">
              <a:solidFill>
                <a:schemeClr val="dk1"/>
              </a:solidFill>
              <a:effectLst/>
              <a:latin typeface="+mn-lt"/>
              <a:ea typeface="+mn-ea"/>
              <a:cs typeface="+mn-cs"/>
            </a:rPr>
            <a:t>This capital budget case evaluates the potential growth opportunities for our firm through two possible strategic pathways: acquiring an existing software company or launching a new software venture. The objective this analysis will help to complete is to determine which option will yield the highest value  and future profitability for the firm based on both financial performance and strategic alignment.</a:t>
          </a:r>
          <a:endParaRPr lang="en-US" sz="1200" b="0">
            <a:effectLst/>
          </a:endParaRPr>
        </a:p>
        <a:p>
          <a:pPr rtl="0"/>
          <a:r>
            <a:rPr lang="en-US" sz="1200" b="0" i="0" u="none" strike="noStrike">
              <a:solidFill>
                <a:schemeClr val="dk1"/>
              </a:solidFill>
              <a:effectLst/>
              <a:latin typeface="+mn-lt"/>
              <a:ea typeface="+mn-ea"/>
              <a:cs typeface="+mn-cs"/>
            </a:rPr>
            <a:t>Using the provided data, a comprehensive capital budgeting and discounted cash flow (DCF) analysis was conducted for each potential acquisition target. The key financial metrics used within this case include Net Present Value (NPV), Internal Rate of Return (IRR), and Payback Period along with Discounted Cash Flows were calculated to assess each company's investment potential. This financial analysis also incorporates a risk-adjusted discount rate to reflect the uncertainty associated with each investment.</a:t>
          </a:r>
          <a:endParaRPr lang="en-US" sz="1200" b="0">
            <a:effectLst/>
          </a:endParaRPr>
        </a:p>
        <a:p>
          <a:pPr rtl="0"/>
          <a:r>
            <a:rPr lang="en-US" sz="1200" b="0" i="0" u="none" strike="noStrike">
              <a:solidFill>
                <a:schemeClr val="dk1"/>
              </a:solidFill>
              <a:effectLst/>
              <a:latin typeface="+mn-lt"/>
              <a:ea typeface="+mn-ea"/>
              <a:cs typeface="+mn-cs"/>
            </a:rPr>
            <a:t>In the sections that follow, this summary will present a comparison of the financial outcomes of each option, highlight strategic advantages and risks, and offer a recommendation on whether to pursue an acquisition or begin developing a brand new company outside of the existing ones researched from the ground up.</a:t>
          </a:r>
          <a:endParaRPr lang="en-US" sz="1200" b="0">
            <a:effectLst/>
          </a:endParaRPr>
        </a:p>
        <a:p>
          <a:endParaRPr lang="en-US" sz="1200" baseline="0">
            <a:latin typeface="Times New Roman" panose="02020603050405020304" pitchFamily="18" charset="0"/>
            <a:cs typeface="Times New Roman" panose="02020603050405020304" pitchFamily="18" charset="0"/>
          </a:endParaRPr>
        </a:p>
        <a:p>
          <a:r>
            <a:rPr lang="en-US" sz="1200" b="1" baseline="0">
              <a:latin typeface="Times New Roman" panose="02020603050405020304" pitchFamily="18" charset="0"/>
              <a:cs typeface="Times New Roman" panose="02020603050405020304" pitchFamily="18" charset="0"/>
            </a:rPr>
            <a:t>FINANCIAL ANALYSIS:</a:t>
          </a:r>
        </a:p>
        <a:p>
          <a:pPr rtl="0"/>
          <a:r>
            <a:rPr lang="en-US" sz="1200" b="0" i="0" u="none" strike="noStrike">
              <a:solidFill>
                <a:schemeClr val="dk1"/>
              </a:solidFill>
              <a:effectLst/>
              <a:latin typeface="+mn-lt"/>
              <a:ea typeface="+mn-ea"/>
              <a:cs typeface="+mn-cs"/>
            </a:rPr>
            <a:t>The financial analysis of the Family Games software company indicates decent potential for long-term value through acquisition. With an initial investment of $55.45 million, the projected net cash flows over an eight-year period grow steadily from $17.3 million in Year 1 to over $30 million in Year 8. The net present value of the project is $82,648,362, reflecting a substantial return above the initial $55 million investment and signaling a highly attractive investment. The internal rate of return is calculated at 37.46%, significantly exceeding the risk-adjusted discount rate of 8.25%, further confirming the company’s profitability. The investment also features a short payback period of just 2.63 years, meaning the initial capital is expected to be recovered before the end of Year 3 as cumulative cash flow turns positive by Year 3 and continues to rise consistently, indicating strong long-term viability. These results are supported by a discounted cash flow analysis that incorporates consistent depreciation and growing revenues, reinforcing the financial appeal of the Family Games acquisition.</a:t>
          </a:r>
          <a:endParaRPr lang="en-US" sz="1200" b="0">
            <a:effectLst/>
          </a:endParaRPr>
        </a:p>
        <a:p>
          <a:pPr rtl="0"/>
          <a:r>
            <a:rPr lang="en-US" sz="1200" b="0" i="0" u="none" strike="noStrike">
              <a:solidFill>
                <a:schemeClr val="dk1"/>
              </a:solidFill>
              <a:effectLst/>
              <a:latin typeface="+mn-lt"/>
              <a:ea typeface="+mn-ea"/>
              <a:cs typeface="+mn-cs"/>
            </a:rPr>
            <a:t>The analysis for RPG Games shows another promising investment. With an initial investment of $71.8 million, slightly steeper than the investment for the Family Games firm, the company is expected to generate increasing net cash flows each year, from $24.4 million in the first year up to over $41.5 million by year eight. The net present value comes out to $117.5 million, which is a strong indicator that this investment would bring in significantly more than it costs with NPV being almost $50 million above the value of initial investment. The internal rate of return is 40.51%, similar to Family Games is much higher than the 8.5% discount rate, which means the project is likely to be highly profitable. On top of that, the payback period is just 2.46 years, so the initial cost would be recovered pretty quickly. Looking at the DCF numbers, shown within figure 6, the total present value of the project’s future cash flows aligns with the high NPV, showing the financial strength of the investment. Both options show strong financial potential, but RPG Games has both a higher NPV and IRR, and its yearly cash flows are consistently stronger. Even though it requires a bigger initial investment than Family Games, the return is also greater. </a:t>
          </a:r>
          <a:endParaRPr lang="en-US" sz="1200" b="0">
            <a:effectLst/>
          </a:endParaRPr>
        </a:p>
        <a:p>
          <a:pPr rtl="0"/>
          <a:r>
            <a:rPr lang="en-US" sz="1200" b="0" i="0" u="none" strike="noStrike">
              <a:solidFill>
                <a:schemeClr val="dk1"/>
              </a:solidFill>
              <a:effectLst/>
              <a:latin typeface="+mn-lt"/>
              <a:ea typeface="+mn-ea"/>
              <a:cs typeface="+mn-cs"/>
            </a:rPr>
            <a:t>The Craft Games data shows another strong contender for investment. It requires an initial investment of $93.17 million higher than both previous cases, but the projected cash flows over the eight-year period are still consistently high, starting at $32.9 million in the first year and rising to over $54.7 million by year eight. The NPV of the project is $155.55 million, which is the highest among the three companies analyzed so far, and reflects significant value added beyond the initial cost. The IRR comes in at 41.66%, again well above the 8.75% discount rate, confirming solid profitability. The payback period is 2.40 years, meaning the investment would be recovered fairly quickly. The discounted cash flow analysis also supports these findings, with a total present value of future cash flows matching the reported NPV. </a:t>
          </a:r>
          <a:endParaRPr lang="en-US" sz="1200" b="0">
            <a:effectLst/>
          </a:endParaRPr>
        </a:p>
        <a:p>
          <a:pPr rtl="0"/>
          <a:r>
            <a:rPr lang="en-US" sz="1200" b="0" i="0" u="none" strike="noStrike">
              <a:solidFill>
                <a:schemeClr val="dk1"/>
              </a:solidFill>
              <a:effectLst/>
              <a:latin typeface="+mn-lt"/>
              <a:ea typeface="+mn-ea"/>
              <a:cs typeface="+mn-cs"/>
            </a:rPr>
            <a:t>The Action Games company is our final case of an existing company for possible acquisition, showing the strongest performance of all four companies evaluated. Even with an initial investment much greater than that of the other three of $111.2 million, the company is projected to generate robust and consistently growing net cash flows, starting at $42.2 million in the first year and reaching over $69 million by year eight which is by far the greatest growth of the 4 existing companies. The NPV stands at an immense $201 million, which is the highest among all existing options, signaling the greatest potential return on investment. The internal rate of return is 44.55%, well above the 9% discount rate used in the analysis, indicating another highly profitable project. The payback period is only 2.27 years, meaning the company would recover its full investment relatively quickly compared to the other options, which is visualized in figure 9 where the shortest bar belongs to Action Games. When compared to the other established companies—Family Games, RPG Games, and Craft Games—Action Games clearly emerges as the front-runner from a financial standpoint. Its NPV is significantly higher than Craft’s $155 million, RPG’s $117 million, and Family’s $82 million, as seen in figure 2 on the dashboard. It also has the highest IRR and one of the shortest payback periods, balancing both profitability and fairly fast speed of return. Although it requires the largest upfront investment, the long-term gains more than justify the high cost. In contrast, while Craft and RPG are still excellent opportunities with strong financials, their returns are ultimately more average. Family Games, although viable, lags behind the others in every key metric analyzed.</a:t>
          </a:r>
          <a:endParaRPr lang="en-US" sz="1200" b="0">
            <a:effectLst/>
          </a:endParaRPr>
        </a:p>
        <a:p>
          <a:pPr rtl="0"/>
          <a:r>
            <a:rPr lang="en-US" sz="1200" b="0" i="0" u="none" strike="noStrike">
              <a:solidFill>
                <a:schemeClr val="dk1"/>
              </a:solidFill>
              <a:effectLst/>
              <a:latin typeface="+mn-lt"/>
              <a:ea typeface="+mn-ea"/>
              <a:cs typeface="+mn-cs"/>
            </a:rPr>
            <a:t>The financial analysis for starting a brand new software company from scratch shows moderate profitability, though it comes with more gradual growth and a longer timeline for returns, although this is expected for a brand new company as opposed to already established investments. The initial investment is relatively low at $21.2 million, but the early years involve negative net cash flows, reflecting the costs and higher risks of building a company from the ground up. Cash flows remain negative through Year 3 and only begin to turn positive in Year 4. The company hits its stride in later years, with cash flows climbing up to $72.6 million by Year 8 as can be seen in figure 5 showing the cash flow progression over time of each company. The total net present value is $84.95 million, and the internal rate of return is 35.23%, both indicating a decent return on investment. However, the payback period, as expected with a brand new startup, is significantly longer at nearly 5 years just to recover the original investment. The discounted cash flow analysis confirms a slow but steady buildup in value, with most of the return occurring in the later years of the project. Compared to the existing investment options, starting a new company presents the slowest financial payoff and the highest short-term risk. Action Games has by far the highest NPV at $201 million and the shortest payback period after Family Games. Craft and RPG Games also show stronger performance, both with NPVs over $100 million and shorter payback periods than the startup scenario. Family Games, though the smallest performer among the existing companies, still outpaces the startup in NPV, IRR, and how quickly it returns investment. In short, while creating a company from scratch allows for full control and potentially massive growth in the long run, it is also the riskiest path and offers the least immediate financial benefit compared to acquiring an established company with proven revenue.</a:t>
          </a:r>
          <a:endParaRPr lang="en-US" sz="1200" b="0">
            <a:effectLst/>
          </a:endParaRPr>
        </a:p>
        <a:p>
          <a:br>
            <a:rPr lang="en-US" sz="1200"/>
          </a:br>
          <a:r>
            <a:rPr lang="en-US" sz="1200" b="1" baseline="0">
              <a:latin typeface="Times New Roman" panose="02020603050405020304" pitchFamily="18" charset="0"/>
              <a:cs typeface="Times New Roman" panose="02020603050405020304" pitchFamily="18" charset="0"/>
            </a:rPr>
            <a:t>RECOMMENDATIONS:</a:t>
          </a:r>
        </a:p>
        <a:p>
          <a:r>
            <a:rPr lang="en-US" sz="1200" b="0" i="0" u="none" strike="noStrike">
              <a:solidFill>
                <a:schemeClr val="dk1"/>
              </a:solidFill>
              <a:effectLst/>
              <a:latin typeface="+mn-lt"/>
              <a:ea typeface="+mn-ea"/>
              <a:cs typeface="+mn-cs"/>
            </a:rPr>
            <a:t>Based on the financial analysis, Action Games is the company that should be acquired. It demonstrates the strongest financial metrics across the board: the highest Net Present Value by a wide margin at $201 million, the highest Internal Rate of Return at 44.55%, and a very short payback period of 2.27 years, and all this despite requiring the largest initial investment. These results show that Action Games not only offer the greatest return, but it does so in a timely and consistent manner, which is essential for mitigating risk and maximizing potential value. Given these results, the firm should not pursue creating a new software company from scratch, at least not as its primary growth strategy. Although the startup scenario does show positive long-term potential with an NPV of $84.9 million and IRR of 35.23%, its payback period of nearly 5 years reflects delayed profitability and higher upfront risk, especially in the first few years where cash flows remain negative. The financial reward does not outweigh the uncertainty and delay when compared to the returns of acquiring a high-performing, already-established company. This may be a viable secondary investment with the possibility of reaching even larger numbers with more time but should not be deployed as the primary investment strategy. Acquiring an existing company has multiple advantages over starting a new one. Financially, established firms already have proven revenue models, market presence, and operational systems in place, reducing the risk of failure and allowing for quicker and larger returns. On the other hand, starting from scratch involves building everything: team, product, brand, and market, without any guarantees of success, leading to higher risk and slower returns, despite the potential for full control and customization. In making a final decision, other qualitative and strategic factors should also be considered such as cultural fit, leadership strength, scalability, alignment with long-term business goals, and competitive positioning. While the financial metrics provide a clear direction, these softer factors are just as important for ensuring long-term success post-acquisition. When deciding between NPV and IRR as the more useful measure for investment decisions in this case, NPV is the more reliable metric. While IRR is helpful in understanding rate of return, NPV gives a concrete dollar value representing how much value will be added to the firm. It accounts for the actual scale of the investment, which is especially important when comparing projects with varying initial costs, like those in this case. For example, Action Games has the highest NPV, which tells us that it will contribute the most overall value—even more than Craft Games, which has a slightly lower IRR. The firm should pursue Action Games due to its far superior financial performance, fast return on investment, and long-term value potential. Starting a new company should only be considered as a secondary strategy or for diversification once the core acquisition path has been secured and optimized.</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24</xdr:col>
      <xdr:colOff>15586</xdr:colOff>
      <xdr:row>27</xdr:row>
      <xdr:rowOff>131615</xdr:rowOff>
    </xdr:from>
    <xdr:to>
      <xdr:col>36</xdr:col>
      <xdr:colOff>19050</xdr:colOff>
      <xdr:row>54</xdr:row>
      <xdr:rowOff>92753</xdr:rowOff>
    </xdr:to>
    <xdr:graphicFrame macro="">
      <xdr:nvGraphicFramePr>
        <xdr:cNvPr id="3" name="Chart 2">
          <a:extLst>
            <a:ext uri="{FF2B5EF4-FFF2-40B4-BE49-F238E27FC236}">
              <a16:creationId xmlns:a16="http://schemas.microsoft.com/office/drawing/2014/main" id="{96A198B3-4283-4148-AF0E-44ADAE5A5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152400</xdr:colOff>
      <xdr:row>3</xdr:row>
      <xdr:rowOff>19050</xdr:rowOff>
    </xdr:from>
    <xdr:to>
      <xdr:col>35</xdr:col>
      <xdr:colOff>666750</xdr:colOff>
      <xdr:row>29</xdr:row>
      <xdr:rowOff>0</xdr:rowOff>
    </xdr:to>
    <xdr:graphicFrame macro="">
      <xdr:nvGraphicFramePr>
        <xdr:cNvPr id="4" name="Chart 3">
          <a:extLst>
            <a:ext uri="{FF2B5EF4-FFF2-40B4-BE49-F238E27FC236}">
              <a16:creationId xmlns:a16="http://schemas.microsoft.com/office/drawing/2014/main" id="{14EC00BD-FB60-45C9-B012-EA8988529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95250</xdr:colOff>
      <xdr:row>27</xdr:row>
      <xdr:rowOff>131615</xdr:rowOff>
    </xdr:from>
    <xdr:to>
      <xdr:col>23</xdr:col>
      <xdr:colOff>323850</xdr:colOff>
      <xdr:row>54</xdr:row>
      <xdr:rowOff>93515</xdr:rowOff>
    </xdr:to>
    <xdr:graphicFrame macro="">
      <xdr:nvGraphicFramePr>
        <xdr:cNvPr id="6" name="Chart 5">
          <a:extLst>
            <a:ext uri="{FF2B5EF4-FFF2-40B4-BE49-F238E27FC236}">
              <a16:creationId xmlns:a16="http://schemas.microsoft.com/office/drawing/2014/main" id="{3197F6A5-643C-469A-8651-DEB0F7360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53</xdr:col>
      <xdr:colOff>102870</xdr:colOff>
      <xdr:row>17</xdr:row>
      <xdr:rowOff>152400</xdr:rowOff>
    </xdr:from>
    <xdr:to>
      <xdr:col>56</xdr:col>
      <xdr:colOff>144780</xdr:colOff>
      <xdr:row>29</xdr:row>
      <xdr:rowOff>7620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18C1C918-2539-2B3A-01FD-C76149C6722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9479220" y="3371850"/>
              <a:ext cx="2270760" cy="1912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53</xdr:col>
      <xdr:colOff>140970</xdr:colOff>
      <xdr:row>2</xdr:row>
      <xdr:rowOff>213360</xdr:rowOff>
    </xdr:from>
    <xdr:to>
      <xdr:col>56</xdr:col>
      <xdr:colOff>354330</xdr:colOff>
      <xdr:row>18</xdr:row>
      <xdr:rowOff>57150</xdr:rowOff>
    </xdr:to>
    <xdr:grpSp>
      <xdr:nvGrpSpPr>
        <xdr:cNvPr id="12" name="Group 11">
          <a:extLst>
            <a:ext uri="{FF2B5EF4-FFF2-40B4-BE49-F238E27FC236}">
              <a16:creationId xmlns:a16="http://schemas.microsoft.com/office/drawing/2014/main" id="{C86A3A5D-36FE-F0E1-8CE7-E4B46E094075}"/>
            </a:ext>
          </a:extLst>
        </xdr:cNvPr>
        <xdr:cNvGrpSpPr/>
      </xdr:nvGrpSpPr>
      <xdr:grpSpPr>
        <a:xfrm>
          <a:off x="39405137" y="573193"/>
          <a:ext cx="2435860" cy="2828290"/>
          <a:chOff x="27100530" y="480060"/>
          <a:chExt cx="2407920" cy="3672840"/>
        </a:xfrm>
      </xdr:grpSpPr>
      <mc:AlternateContent xmlns:mc="http://schemas.openxmlformats.org/markup-compatibility/2006" xmlns:a14="http://schemas.microsoft.com/office/drawing/2010/main">
        <mc:Choice Requires="a14">
          <xdr:graphicFrame macro="">
            <xdr:nvGraphicFramePr>
              <xdr:cNvPr id="5" name="Company 1">
                <a:extLst>
                  <a:ext uri="{FF2B5EF4-FFF2-40B4-BE49-F238E27FC236}">
                    <a16:creationId xmlns:a16="http://schemas.microsoft.com/office/drawing/2014/main" id="{2E10AB68-6014-8BB4-63CB-6A0DB1564FEB}"/>
                  </a:ext>
                </a:extLst>
              </xdr:cNvPr>
              <xdr:cNvGraphicFramePr/>
            </xdr:nvGraphicFramePr>
            <xdr:xfrm>
              <a:off x="27100530" y="758190"/>
              <a:ext cx="2407920" cy="339471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39517320" y="792852"/>
                <a:ext cx="2442210" cy="2655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1" name="TextBox 10">
            <a:extLst>
              <a:ext uri="{FF2B5EF4-FFF2-40B4-BE49-F238E27FC236}">
                <a16:creationId xmlns:a16="http://schemas.microsoft.com/office/drawing/2014/main" id="{88CE6A1D-121C-54BC-7109-BC79715B25B7}"/>
              </a:ext>
            </a:extLst>
          </xdr:cNvPr>
          <xdr:cNvSpPr txBox="1"/>
        </xdr:nvSpPr>
        <xdr:spPr>
          <a:xfrm>
            <a:off x="27104340" y="480060"/>
            <a:ext cx="217551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FIGURES 1 &amp; 6</a:t>
            </a:r>
          </a:p>
        </xdr:txBody>
      </xdr:sp>
    </xdr:grpSp>
    <xdr:clientData/>
  </xdr:twoCellAnchor>
  <xdr:twoCellAnchor>
    <xdr:from>
      <xdr:col>12</xdr:col>
      <xdr:colOff>209549</xdr:colOff>
      <xdr:row>56</xdr:row>
      <xdr:rowOff>19050</xdr:rowOff>
    </xdr:from>
    <xdr:to>
      <xdr:col>23</xdr:col>
      <xdr:colOff>571500</xdr:colOff>
      <xdr:row>78</xdr:row>
      <xdr:rowOff>57150</xdr:rowOff>
    </xdr:to>
    <xdr:graphicFrame macro="">
      <xdr:nvGraphicFramePr>
        <xdr:cNvPr id="8" name="Chart 7">
          <a:extLst>
            <a:ext uri="{FF2B5EF4-FFF2-40B4-BE49-F238E27FC236}">
              <a16:creationId xmlns:a16="http://schemas.microsoft.com/office/drawing/2014/main" id="{970C2EFF-17A8-40F6-BC86-575EB67BB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495300</xdr:colOff>
      <xdr:row>55</xdr:row>
      <xdr:rowOff>57150</xdr:rowOff>
    </xdr:from>
    <xdr:to>
      <xdr:col>36</xdr:col>
      <xdr:colOff>111252</xdr:colOff>
      <xdr:row>77</xdr:row>
      <xdr:rowOff>125730</xdr:rowOff>
    </xdr:to>
    <xdr:graphicFrame macro="">
      <xdr:nvGraphicFramePr>
        <xdr:cNvPr id="10" name="Chart 9">
          <a:extLst>
            <a:ext uri="{FF2B5EF4-FFF2-40B4-BE49-F238E27FC236}">
              <a16:creationId xmlns:a16="http://schemas.microsoft.com/office/drawing/2014/main" id="{08287A9E-CEFC-445C-A5C7-21B0B8BC0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167640</xdr:colOff>
      <xdr:row>50</xdr:row>
      <xdr:rowOff>152400</xdr:rowOff>
    </xdr:from>
    <xdr:to>
      <xdr:col>56</xdr:col>
      <xdr:colOff>587502</xdr:colOff>
      <xdr:row>70</xdr:row>
      <xdr:rowOff>53340</xdr:rowOff>
    </xdr:to>
    <xdr:grpSp>
      <xdr:nvGrpSpPr>
        <xdr:cNvPr id="15" name="Group 14">
          <a:extLst>
            <a:ext uri="{FF2B5EF4-FFF2-40B4-BE49-F238E27FC236}">
              <a16:creationId xmlns:a16="http://schemas.microsoft.com/office/drawing/2014/main" id="{A6E2F245-5EAF-5D26-EA1B-F69FCE4D2CF9}"/>
            </a:ext>
          </a:extLst>
        </xdr:cNvPr>
        <xdr:cNvGrpSpPr/>
      </xdr:nvGrpSpPr>
      <xdr:grpSpPr>
        <a:xfrm>
          <a:off x="39431807" y="8915400"/>
          <a:ext cx="2642362" cy="3287607"/>
          <a:chOff x="39543990" y="9029700"/>
          <a:chExt cx="2648712" cy="3329940"/>
        </a:xfrm>
      </xdr:grpSpPr>
      <mc:AlternateContent xmlns:mc="http://schemas.openxmlformats.org/markup-compatibility/2006" xmlns:a14="http://schemas.microsoft.com/office/drawing/2010/main">
        <mc:Choice Requires="a14">
          <xdr:graphicFrame macro="">
            <xdr:nvGraphicFramePr>
              <xdr:cNvPr id="9" name="Company 2">
                <a:extLst>
                  <a:ext uri="{FF2B5EF4-FFF2-40B4-BE49-F238E27FC236}">
                    <a16:creationId xmlns:a16="http://schemas.microsoft.com/office/drawing/2014/main" id="{8569857E-87C7-42C8-8042-9366248BBF2A}"/>
                  </a:ext>
                </a:extLst>
              </xdr:cNvPr>
              <xdr:cNvGraphicFramePr/>
            </xdr:nvGraphicFramePr>
            <xdr:xfrm>
              <a:off x="39543990" y="9324704"/>
              <a:ext cx="2648712" cy="3034936"/>
            </xdr:xfrm>
            <a:graphic>
              <a:graphicData uri="http://schemas.microsoft.com/office/drawing/2010/slicer">
                <sle:slicer xmlns:sle="http://schemas.microsoft.com/office/drawing/2010/slicer" name="Company 2"/>
              </a:graphicData>
            </a:graphic>
          </xdr:graphicFrame>
        </mc:Choice>
        <mc:Fallback xmlns="">
          <xdr:sp macro="" textlink="">
            <xdr:nvSpPr>
              <xdr:cNvPr id="0" name=""/>
              <xdr:cNvSpPr>
                <a:spLocks noTextEdit="1"/>
              </xdr:cNvSpPr>
            </xdr:nvSpPr>
            <xdr:spPr>
              <a:xfrm>
                <a:off x="39543990" y="9324704"/>
                <a:ext cx="2648712" cy="3034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4" name="TextBox 13">
            <a:extLst>
              <a:ext uri="{FF2B5EF4-FFF2-40B4-BE49-F238E27FC236}">
                <a16:creationId xmlns:a16="http://schemas.microsoft.com/office/drawing/2014/main" id="{31864D88-BF8E-DB4F-5216-C4973F052CA2}"/>
              </a:ext>
            </a:extLst>
          </xdr:cNvPr>
          <xdr:cNvSpPr txBox="1"/>
        </xdr:nvSpPr>
        <xdr:spPr>
          <a:xfrm>
            <a:off x="39585900" y="9029700"/>
            <a:ext cx="23050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FIGURES 7 &amp; 8</a:t>
            </a:r>
          </a:p>
        </xdr:txBody>
      </xdr:sp>
    </xdr:grpSp>
    <xdr:clientData/>
  </xdr:twoCellAnchor>
  <xdr:twoCellAnchor>
    <xdr:from>
      <xdr:col>36</xdr:col>
      <xdr:colOff>628650</xdr:colOff>
      <xdr:row>2</xdr:row>
      <xdr:rowOff>171450</xdr:rowOff>
    </xdr:from>
    <xdr:to>
      <xdr:col>44</xdr:col>
      <xdr:colOff>628650</xdr:colOff>
      <xdr:row>25</xdr:row>
      <xdr:rowOff>38100</xdr:rowOff>
    </xdr:to>
    <xdr:graphicFrame macro="">
      <xdr:nvGraphicFramePr>
        <xdr:cNvPr id="19" name="Chart 18">
          <a:extLst>
            <a:ext uri="{FF2B5EF4-FFF2-40B4-BE49-F238E27FC236}">
              <a16:creationId xmlns:a16="http://schemas.microsoft.com/office/drawing/2014/main" id="{9293786F-1A18-4165-B6C0-B61FC5FBB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57150</xdr:colOff>
      <xdr:row>2</xdr:row>
      <xdr:rowOff>361950</xdr:rowOff>
    </xdr:from>
    <xdr:to>
      <xdr:col>52</xdr:col>
      <xdr:colOff>590550</xdr:colOff>
      <xdr:row>24</xdr:row>
      <xdr:rowOff>19050</xdr:rowOff>
    </xdr:to>
    <xdr:graphicFrame macro="">
      <xdr:nvGraphicFramePr>
        <xdr:cNvPr id="20" name="Chart 19">
          <a:extLst>
            <a:ext uri="{FF2B5EF4-FFF2-40B4-BE49-F238E27FC236}">
              <a16:creationId xmlns:a16="http://schemas.microsoft.com/office/drawing/2014/main" id="{F8E13EB3-844E-4931-9721-60FB31DC4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550333</xdr:colOff>
      <xdr:row>54</xdr:row>
      <xdr:rowOff>19050</xdr:rowOff>
    </xdr:from>
    <xdr:to>
      <xdr:col>52</xdr:col>
      <xdr:colOff>247650</xdr:colOff>
      <xdr:row>77</xdr:row>
      <xdr:rowOff>114300</xdr:rowOff>
    </xdr:to>
    <xdr:graphicFrame macro="">
      <xdr:nvGraphicFramePr>
        <xdr:cNvPr id="21" name="Chart 20">
          <a:extLst>
            <a:ext uri="{FF2B5EF4-FFF2-40B4-BE49-F238E27FC236}">
              <a16:creationId xmlns:a16="http://schemas.microsoft.com/office/drawing/2014/main" id="{2063E08C-1E76-47F2-B72D-F937BAC18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114300</xdr:colOff>
      <xdr:row>3</xdr:row>
      <xdr:rowOff>57150</xdr:rowOff>
    </xdr:from>
    <xdr:to>
      <xdr:col>34</xdr:col>
      <xdr:colOff>533400</xdr:colOff>
      <xdr:row>5</xdr:row>
      <xdr:rowOff>38100</xdr:rowOff>
    </xdr:to>
    <xdr:sp macro="" textlink="">
      <xdr:nvSpPr>
        <xdr:cNvPr id="22" name="TextBox 21">
          <a:extLst>
            <a:ext uri="{FF2B5EF4-FFF2-40B4-BE49-F238E27FC236}">
              <a16:creationId xmlns:a16="http://schemas.microsoft.com/office/drawing/2014/main" id="{D3F8E520-B1CB-3A7B-C0A5-2646C815EFFC}"/>
            </a:ext>
          </a:extLst>
        </xdr:cNvPr>
        <xdr:cNvSpPr txBox="1"/>
      </xdr:nvSpPr>
      <xdr:spPr>
        <a:xfrm>
          <a:off x="24631650" y="876300"/>
          <a:ext cx="1162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FIGURE 1</a:t>
          </a:r>
        </a:p>
      </xdr:txBody>
    </xdr:sp>
    <xdr:clientData/>
  </xdr:twoCellAnchor>
  <xdr:twoCellAnchor>
    <xdr:from>
      <xdr:col>43</xdr:col>
      <xdr:colOff>323850</xdr:colOff>
      <xdr:row>2</xdr:row>
      <xdr:rowOff>247650</xdr:rowOff>
    </xdr:from>
    <xdr:to>
      <xdr:col>45</xdr:col>
      <xdr:colOff>0</xdr:colOff>
      <xdr:row>3</xdr:row>
      <xdr:rowOff>114300</xdr:rowOff>
    </xdr:to>
    <xdr:sp macro="" textlink="">
      <xdr:nvSpPr>
        <xdr:cNvPr id="23" name="TextBox 22">
          <a:extLst>
            <a:ext uri="{FF2B5EF4-FFF2-40B4-BE49-F238E27FC236}">
              <a16:creationId xmlns:a16="http://schemas.microsoft.com/office/drawing/2014/main" id="{56690C7A-8347-4FF7-B6E3-25F083055C82}"/>
            </a:ext>
          </a:extLst>
        </xdr:cNvPr>
        <xdr:cNvSpPr txBox="1"/>
      </xdr:nvSpPr>
      <xdr:spPr>
        <a:xfrm>
          <a:off x="32270700" y="609600"/>
          <a:ext cx="1162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FIGURE 2</a:t>
          </a:r>
        </a:p>
      </xdr:txBody>
    </xdr:sp>
    <xdr:clientData/>
  </xdr:twoCellAnchor>
  <xdr:twoCellAnchor>
    <xdr:from>
      <xdr:col>21</xdr:col>
      <xdr:colOff>361950</xdr:colOff>
      <xdr:row>29</xdr:row>
      <xdr:rowOff>0</xdr:rowOff>
    </xdr:from>
    <xdr:to>
      <xdr:col>23</xdr:col>
      <xdr:colOff>38100</xdr:colOff>
      <xdr:row>30</xdr:row>
      <xdr:rowOff>152400</xdr:rowOff>
    </xdr:to>
    <xdr:sp macro="" textlink="">
      <xdr:nvSpPr>
        <xdr:cNvPr id="24" name="TextBox 23">
          <a:extLst>
            <a:ext uri="{FF2B5EF4-FFF2-40B4-BE49-F238E27FC236}">
              <a16:creationId xmlns:a16="http://schemas.microsoft.com/office/drawing/2014/main" id="{ADDC43A0-2E44-4304-95B9-1C8BDC3BA475}"/>
            </a:ext>
          </a:extLst>
        </xdr:cNvPr>
        <xdr:cNvSpPr txBox="1"/>
      </xdr:nvSpPr>
      <xdr:spPr>
        <a:xfrm>
          <a:off x="15963900" y="5276850"/>
          <a:ext cx="1162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FIGURE 4</a:t>
          </a:r>
        </a:p>
      </xdr:txBody>
    </xdr:sp>
    <xdr:clientData/>
  </xdr:twoCellAnchor>
  <xdr:twoCellAnchor>
    <xdr:from>
      <xdr:col>34</xdr:col>
      <xdr:colOff>114300</xdr:colOff>
      <xdr:row>27</xdr:row>
      <xdr:rowOff>133350</xdr:rowOff>
    </xdr:from>
    <xdr:to>
      <xdr:col>35</xdr:col>
      <xdr:colOff>533400</xdr:colOff>
      <xdr:row>29</xdr:row>
      <xdr:rowOff>114300</xdr:rowOff>
    </xdr:to>
    <xdr:sp macro="" textlink="">
      <xdr:nvSpPr>
        <xdr:cNvPr id="25" name="TextBox 24">
          <a:extLst>
            <a:ext uri="{FF2B5EF4-FFF2-40B4-BE49-F238E27FC236}">
              <a16:creationId xmlns:a16="http://schemas.microsoft.com/office/drawing/2014/main" id="{4441487C-ABF4-4F3E-9B5D-A95F7E608F9B}"/>
            </a:ext>
          </a:extLst>
        </xdr:cNvPr>
        <xdr:cNvSpPr txBox="1"/>
      </xdr:nvSpPr>
      <xdr:spPr>
        <a:xfrm>
          <a:off x="25374600" y="5067300"/>
          <a:ext cx="1162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FIGURE 5</a:t>
          </a:r>
        </a:p>
      </xdr:txBody>
    </xdr:sp>
    <xdr:clientData/>
  </xdr:twoCellAnchor>
  <xdr:twoCellAnchor>
    <xdr:from>
      <xdr:col>50</xdr:col>
      <xdr:colOff>354330</xdr:colOff>
      <xdr:row>26</xdr:row>
      <xdr:rowOff>68580</xdr:rowOff>
    </xdr:from>
    <xdr:to>
      <xdr:col>52</xdr:col>
      <xdr:colOff>30480</xdr:colOff>
      <xdr:row>28</xdr:row>
      <xdr:rowOff>49530</xdr:rowOff>
    </xdr:to>
    <xdr:sp macro="" textlink="">
      <xdr:nvSpPr>
        <xdr:cNvPr id="26" name="TextBox 25">
          <a:extLst>
            <a:ext uri="{FF2B5EF4-FFF2-40B4-BE49-F238E27FC236}">
              <a16:creationId xmlns:a16="http://schemas.microsoft.com/office/drawing/2014/main" id="{2865369B-2C97-4297-9A39-A2381091E089}"/>
            </a:ext>
          </a:extLst>
        </xdr:cNvPr>
        <xdr:cNvSpPr txBox="1"/>
      </xdr:nvSpPr>
      <xdr:spPr>
        <a:xfrm>
          <a:off x="37501830" y="4831080"/>
          <a:ext cx="1162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FIGURE 6</a:t>
          </a:r>
        </a:p>
      </xdr:txBody>
    </xdr:sp>
    <xdr:clientData/>
  </xdr:twoCellAnchor>
  <xdr:twoCellAnchor>
    <xdr:from>
      <xdr:col>21</xdr:col>
      <xdr:colOff>361950</xdr:colOff>
      <xdr:row>57</xdr:row>
      <xdr:rowOff>0</xdr:rowOff>
    </xdr:from>
    <xdr:to>
      <xdr:col>23</xdr:col>
      <xdr:colOff>38100</xdr:colOff>
      <xdr:row>58</xdr:row>
      <xdr:rowOff>152400</xdr:rowOff>
    </xdr:to>
    <xdr:sp macro="" textlink="">
      <xdr:nvSpPr>
        <xdr:cNvPr id="27" name="TextBox 26">
          <a:extLst>
            <a:ext uri="{FF2B5EF4-FFF2-40B4-BE49-F238E27FC236}">
              <a16:creationId xmlns:a16="http://schemas.microsoft.com/office/drawing/2014/main" id="{FB749373-9AD8-4AB3-9B80-CB42C7EEE5B1}"/>
            </a:ext>
          </a:extLst>
        </xdr:cNvPr>
        <xdr:cNvSpPr txBox="1"/>
      </xdr:nvSpPr>
      <xdr:spPr>
        <a:xfrm>
          <a:off x="15963900" y="10077450"/>
          <a:ext cx="1162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FIGURE 7</a:t>
          </a:r>
        </a:p>
      </xdr:txBody>
    </xdr:sp>
    <xdr:clientData/>
  </xdr:twoCellAnchor>
  <xdr:twoCellAnchor>
    <xdr:from>
      <xdr:col>34</xdr:col>
      <xdr:colOff>0</xdr:colOff>
      <xdr:row>56</xdr:row>
      <xdr:rowOff>76200</xdr:rowOff>
    </xdr:from>
    <xdr:to>
      <xdr:col>35</xdr:col>
      <xdr:colOff>419100</xdr:colOff>
      <xdr:row>58</xdr:row>
      <xdr:rowOff>57150</xdr:rowOff>
    </xdr:to>
    <xdr:sp macro="" textlink="">
      <xdr:nvSpPr>
        <xdr:cNvPr id="28" name="TextBox 27">
          <a:extLst>
            <a:ext uri="{FF2B5EF4-FFF2-40B4-BE49-F238E27FC236}">
              <a16:creationId xmlns:a16="http://schemas.microsoft.com/office/drawing/2014/main" id="{A28DEECE-CB59-4E7A-945B-1CACBAE88BE7}"/>
            </a:ext>
          </a:extLst>
        </xdr:cNvPr>
        <xdr:cNvSpPr txBox="1"/>
      </xdr:nvSpPr>
      <xdr:spPr>
        <a:xfrm>
          <a:off x="25260300" y="9982200"/>
          <a:ext cx="1162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FIGURE 8</a:t>
          </a:r>
        </a:p>
      </xdr:txBody>
    </xdr:sp>
    <xdr:clientData/>
  </xdr:twoCellAnchor>
  <xdr:twoCellAnchor>
    <xdr:from>
      <xdr:col>50</xdr:col>
      <xdr:colOff>609600</xdr:colOff>
      <xdr:row>54</xdr:row>
      <xdr:rowOff>152400</xdr:rowOff>
    </xdr:from>
    <xdr:to>
      <xdr:col>52</xdr:col>
      <xdr:colOff>285750</xdr:colOff>
      <xdr:row>56</xdr:row>
      <xdr:rowOff>133350</xdr:rowOff>
    </xdr:to>
    <xdr:sp macro="" textlink="">
      <xdr:nvSpPr>
        <xdr:cNvPr id="29" name="TextBox 28">
          <a:extLst>
            <a:ext uri="{FF2B5EF4-FFF2-40B4-BE49-F238E27FC236}">
              <a16:creationId xmlns:a16="http://schemas.microsoft.com/office/drawing/2014/main" id="{5C676420-74E6-411B-8C85-97BE69970967}"/>
            </a:ext>
          </a:extLst>
        </xdr:cNvPr>
        <xdr:cNvSpPr txBox="1"/>
      </xdr:nvSpPr>
      <xdr:spPr>
        <a:xfrm>
          <a:off x="37757100" y="9715500"/>
          <a:ext cx="1162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FIGURE 9</a:t>
          </a:r>
        </a:p>
      </xdr:txBody>
    </xdr:sp>
    <xdr:clientData/>
  </xdr:twoCellAnchor>
  <xdr:twoCellAnchor>
    <xdr:from>
      <xdr:col>36</xdr:col>
      <xdr:colOff>254000</xdr:colOff>
      <xdr:row>25</xdr:row>
      <xdr:rowOff>95250</xdr:rowOff>
    </xdr:from>
    <xdr:to>
      <xdr:col>52</xdr:col>
      <xdr:colOff>269875</xdr:colOff>
      <xdr:row>52</xdr:row>
      <xdr:rowOff>47625</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739396E9-8867-4A10-B217-B588B3C17F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6588720" y="4758690"/>
              <a:ext cx="11720195" cy="46843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0.74972</cdr:x>
      <cdr:y>0</cdr:y>
    </cdr:from>
    <cdr:to>
      <cdr:x>0.95238</cdr:x>
      <cdr:y>0.08718</cdr:y>
    </cdr:to>
    <cdr:sp macro="" textlink="">
      <cdr:nvSpPr>
        <cdr:cNvPr id="2" name="TextBox 21">
          <a:extLst xmlns:a="http://schemas.openxmlformats.org/drawingml/2006/main">
            <a:ext uri="{FF2B5EF4-FFF2-40B4-BE49-F238E27FC236}">
              <a16:creationId xmlns:a16="http://schemas.microsoft.com/office/drawing/2014/main" id="{D3F8E520-B1CB-3A7B-C0A5-2646C815EFFC}"/>
            </a:ext>
          </a:extLst>
        </cdr:cNvPr>
        <cdr:cNvSpPr txBox="1"/>
      </cdr:nvSpPr>
      <cdr:spPr>
        <a:xfrm xmlns:a="http://schemas.openxmlformats.org/drawingml/2006/main">
          <a:off x="4298950" y="0"/>
          <a:ext cx="1162050" cy="3238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800" b="1">
              <a:solidFill>
                <a:schemeClr val="bg1"/>
              </a:solidFill>
            </a:rPr>
            <a:t>FIGURE 3</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523875</xdr:colOff>
      <xdr:row>2</xdr:row>
      <xdr:rowOff>142876</xdr:rowOff>
    </xdr:from>
    <xdr:to>
      <xdr:col>12</xdr:col>
      <xdr:colOff>238125</xdr:colOff>
      <xdr:row>49</xdr:row>
      <xdr:rowOff>146050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23875" y="473076"/>
          <a:ext cx="7181850" cy="7762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©Michael Nugent®</a:t>
          </a:r>
        </a:p>
        <a:p>
          <a:endParaRPr lang="en-US" b="1"/>
        </a:p>
        <a:p>
          <a:r>
            <a:rPr lang="en-US" b="1"/>
            <a:t>To:</a:t>
          </a:r>
          <a:r>
            <a:rPr lang="en-US"/>
            <a:t> Financial Analysts</a:t>
          </a:r>
          <a:br>
            <a:rPr lang="en-US"/>
          </a:br>
          <a:r>
            <a:rPr lang="en-US" b="1"/>
            <a:t>From:</a:t>
          </a:r>
          <a:r>
            <a:rPr lang="en-US"/>
            <a:t> Chief Financial Officer (CFO)</a:t>
          </a:r>
          <a:br>
            <a:rPr lang="en-US"/>
          </a:br>
          <a:r>
            <a:rPr lang="en-US" b="1"/>
            <a:t>Re:</a:t>
          </a:r>
          <a:r>
            <a:rPr lang="en-US"/>
            <a:t> Software Business Acquisition Analysis</a:t>
          </a:r>
        </a:p>
        <a:p>
          <a:endParaRPr lang="en-US"/>
        </a:p>
        <a:p>
          <a:r>
            <a:rPr lang="en-US"/>
            <a:t>Our firm is evaluating potential growth opportunities through either acquiring an existing software company or launching a new venture. Your objective is to determine which option will create the most value for the company.</a:t>
          </a:r>
        </a:p>
        <a:p>
          <a:endParaRPr lang="en-US"/>
        </a:p>
        <a:p>
          <a:r>
            <a:rPr lang="en-US" b="1"/>
            <a:t>Instructions:</a:t>
          </a:r>
        </a:p>
        <a:p>
          <a:r>
            <a:rPr lang="en-US" b="1"/>
            <a:t>Financial Analysis:</a:t>
          </a:r>
          <a:endParaRPr lang="en-US"/>
        </a:p>
        <a:p>
          <a:pPr lvl="1"/>
          <a:r>
            <a:rPr lang="en-US"/>
            <a:t>Using the provided Excel workbook, conduct a </a:t>
          </a:r>
          <a:r>
            <a:rPr lang="en-US" b="1"/>
            <a:t>Capital Budgeting</a:t>
          </a:r>
          <a:r>
            <a:rPr lang="en-US"/>
            <a:t> and </a:t>
          </a:r>
          <a:r>
            <a:rPr lang="en-US" b="1"/>
            <a:t>Discounted Cash Flow (DCF) analysis</a:t>
          </a:r>
          <a:r>
            <a:rPr lang="en-US"/>
            <a:t> for each potential acquisition target.</a:t>
          </a:r>
          <a:r>
            <a:rPr lang="en-US" baseline="0"/>
            <a:t> </a:t>
          </a:r>
          <a:r>
            <a:rPr lang="en-US"/>
            <a:t>Worksheets have been set up for each company. Refer to the </a:t>
          </a:r>
          <a:r>
            <a:rPr lang="en-US" b="1"/>
            <a:t>"Capital Requirements"</a:t>
          </a:r>
          <a:r>
            <a:rPr lang="en-US"/>
            <a:t> worksheet for the necessary financial data.</a:t>
          </a:r>
        </a:p>
        <a:p>
          <a:endParaRPr lang="en-US" b="1"/>
        </a:p>
        <a:p>
          <a:r>
            <a:rPr lang="en-US" b="1"/>
            <a:t>Calculations Required:</a:t>
          </a:r>
          <a:endParaRPr lang="en-US"/>
        </a:p>
        <a:p>
          <a:pPr lvl="1"/>
          <a:r>
            <a:rPr lang="en-US"/>
            <a:t>Complete the </a:t>
          </a:r>
          <a:r>
            <a:rPr lang="en-US" b="1"/>
            <a:t>Net Cash Flow</a:t>
          </a:r>
          <a:r>
            <a:rPr lang="en-US"/>
            <a:t> projections for each firm.</a:t>
          </a:r>
        </a:p>
        <a:p>
          <a:pPr lvl="1"/>
          <a:r>
            <a:rPr lang="en-US"/>
            <a:t>Compute the following financial metrics for each company:</a:t>
          </a:r>
        </a:p>
        <a:p>
          <a:pPr lvl="2"/>
          <a:r>
            <a:rPr lang="en-US" b="1"/>
            <a:t>Net Present Value (NPV)</a:t>
          </a:r>
          <a:endParaRPr lang="en-US"/>
        </a:p>
        <a:p>
          <a:pPr lvl="2"/>
          <a:r>
            <a:rPr lang="en-US" b="1"/>
            <a:t>Internal Rate of Return (IRR)</a:t>
          </a:r>
          <a:endParaRPr lang="en-US"/>
        </a:p>
        <a:p>
          <a:pPr lvl="2"/>
          <a:r>
            <a:rPr lang="en-US" b="1"/>
            <a:t>Payback Period</a:t>
          </a:r>
          <a:endParaRPr lang="en-US"/>
        </a:p>
        <a:p>
          <a:pPr lvl="1"/>
          <a:r>
            <a:rPr lang="en-US"/>
            <a:t>When calculating NPV and DCF, ensure that you </a:t>
          </a:r>
          <a:r>
            <a:rPr lang="en-US" b="1"/>
            <a:t>add the risk factor rate premium to the discount rate</a:t>
          </a:r>
          <a:r>
            <a:rPr lang="en-US"/>
            <a:t> as specified in the data.</a:t>
          </a:r>
        </a:p>
        <a:p>
          <a:pPr lvl="1"/>
          <a:endParaRPr lang="en-US"/>
        </a:p>
        <a:p>
          <a:r>
            <a:rPr lang="en-US" b="1"/>
            <a:t>Strategic Decision &amp; Recommendations:</a:t>
          </a:r>
          <a:endParaRPr lang="en-US"/>
        </a:p>
        <a:p>
          <a:pPr lvl="1"/>
          <a:r>
            <a:rPr lang="en-US"/>
            <a:t>Prepare an </a:t>
          </a:r>
          <a:r>
            <a:rPr lang="en-US" b="1"/>
            <a:t>executive summary</a:t>
          </a:r>
          <a:r>
            <a:rPr lang="en-US"/>
            <a:t> and </a:t>
          </a:r>
          <a:r>
            <a:rPr lang="en-US" b="1"/>
            <a:t>dashboard</a:t>
          </a:r>
          <a:r>
            <a:rPr lang="en-US"/>
            <a:t> summarizing your findings.</a:t>
          </a:r>
        </a:p>
        <a:p>
          <a:pPr lvl="1"/>
          <a:r>
            <a:rPr lang="en-US"/>
            <a:t>Address the following key questions:</a:t>
          </a:r>
        </a:p>
        <a:p>
          <a:pPr lvl="2"/>
          <a:r>
            <a:rPr lang="en-US" b="1"/>
            <a:t>Which company (if any) should be acquired?</a:t>
          </a:r>
          <a:endParaRPr lang="en-US"/>
        </a:p>
        <a:p>
          <a:pPr lvl="2"/>
          <a:r>
            <a:rPr lang="en-US" b="1"/>
            <a:t>Should the firm create a new software company instead?</a:t>
          </a:r>
          <a:endParaRPr lang="en-US"/>
        </a:p>
        <a:p>
          <a:pPr lvl="2"/>
          <a:r>
            <a:rPr lang="en-US" b="1"/>
            <a:t>What are the advantages of acquiring an existing company versus starting a new firm?</a:t>
          </a:r>
          <a:endParaRPr lang="en-US"/>
        </a:p>
        <a:p>
          <a:pPr lvl="2"/>
          <a:r>
            <a:rPr lang="en-US" b="1"/>
            <a:t>What risks are associated with each option?</a:t>
          </a:r>
          <a:endParaRPr lang="en-US"/>
        </a:p>
        <a:p>
          <a:pPr lvl="2"/>
          <a:r>
            <a:rPr lang="en-US" b="1"/>
            <a:t>What other qualitative and quantitative factors should be considered before making a final decision?</a:t>
          </a:r>
          <a:endParaRPr lang="en-US"/>
        </a:p>
        <a:p>
          <a:pPr lvl="2"/>
          <a:r>
            <a:rPr lang="en-US" b="1"/>
            <a:t>Between NPV and IRR, which is the more useful measure for investment decision-making in this case? Why?</a:t>
          </a:r>
        </a:p>
        <a:p>
          <a:pPr lvl="2"/>
          <a:endParaRPr lang="en-US" b="1"/>
        </a:p>
        <a:p>
          <a:pPr lvl="2"/>
          <a:r>
            <a:rPr lang="en-US" b="1"/>
            <a:t>Dashboard should include slicers, macro buttons, or data validation to make the charts interactive</a:t>
          </a:r>
          <a:r>
            <a:rPr lang="en-US" b="1" baseline="0"/>
            <a:t> switching between different acquisitions.</a:t>
          </a:r>
          <a:endParaRPr lang="en-US" b="1"/>
        </a:p>
        <a:p>
          <a:pPr lvl="2"/>
          <a:endParaRPr lang="en-US"/>
        </a:p>
        <a:p>
          <a:r>
            <a:rPr lang="en-US"/>
            <a:t>Your analysis should be clear, data-driven, and well-supported with appropriate financial reasoning. Please ensure that your final report is professional and suitable for presentation to senior management.</a:t>
          </a:r>
        </a:p>
        <a:p>
          <a:r>
            <a:rPr lang="en-US"/>
            <a:t>This version enhances clarity, organization, and professionalism while maintaining the original intent. </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291192</xdr:colOff>
      <xdr:row>51</xdr:row>
      <xdr:rowOff>46264</xdr:rowOff>
    </xdr:from>
    <xdr:to>
      <xdr:col>15</xdr:col>
      <xdr:colOff>283028</xdr:colOff>
      <xdr:row>65</xdr:row>
      <xdr:rowOff>141514</xdr:rowOff>
    </xdr:to>
    <mc:AlternateContent xmlns:mc="http://schemas.openxmlformats.org/markup-compatibility/2006" xmlns:a14="http://schemas.microsoft.com/office/drawing/2010/main">
      <mc:Choice Requires="a14">
        <xdr:graphicFrame macro="">
          <xdr:nvGraphicFramePr>
            <xdr:cNvPr id="2" name="Company 3">
              <a:extLst>
                <a:ext uri="{FF2B5EF4-FFF2-40B4-BE49-F238E27FC236}">
                  <a16:creationId xmlns:a16="http://schemas.microsoft.com/office/drawing/2014/main" id="{36B1B334-B7F6-B64A-0273-1C00F82E78AF}"/>
                </a:ext>
              </a:extLst>
            </xdr:cNvPr>
            <xdr:cNvGraphicFramePr/>
          </xdr:nvGraphicFramePr>
          <xdr:xfrm>
            <a:off x="0" y="0"/>
            <a:ext cx="0" cy="0"/>
          </xdr:xfrm>
          <a:graphic>
            <a:graphicData uri="http://schemas.microsoft.com/office/drawing/2010/slicer">
              <sle:slicer xmlns:sle="http://schemas.microsoft.com/office/drawing/2010/slicer" name="Company 3"/>
            </a:graphicData>
          </a:graphic>
        </xdr:graphicFrame>
      </mc:Choice>
      <mc:Fallback xmlns="">
        <xdr:sp macro="" textlink="">
          <xdr:nvSpPr>
            <xdr:cNvPr id="0" name=""/>
            <xdr:cNvSpPr>
              <a:spLocks noTextEdit="1"/>
            </xdr:cNvSpPr>
          </xdr:nvSpPr>
          <xdr:spPr>
            <a:xfrm>
              <a:off x="13499192" y="8142514"/>
              <a:ext cx="1833336" cy="231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J Sanacore" refreshedDate="45752.887660416665" createdVersion="8" refreshedVersion="8" minRefreshableVersion="3" recordCount="7" xr:uid="{E365F66F-502A-4B82-BCD9-8F18861AF395}">
  <cacheSource type="worksheet">
    <worksheetSource ref="A12:F19" sheet="Capital Requirements"/>
  </cacheSource>
  <cacheFields count="6">
    <cacheField name="Annual Operating Fixed Costs" numFmtId="0">
      <sharedItems count="7">
        <s v="Building Maintenance &amp; Cleaning"/>
        <s v="Electric"/>
        <s v="Gas"/>
        <s v="Garbage"/>
        <s v="Insurance"/>
        <s v="Telephone"/>
        <s v="Labor Costs For Employees"/>
      </sharedItems>
    </cacheField>
    <cacheField name="Family Games Software Company" numFmtId="164">
      <sharedItems containsSemiMixedTypes="0" containsString="0" containsNumber="1" containsInteger="1" minValue="1750" maxValue="15000000"/>
    </cacheField>
    <cacheField name="RPG Games Software Company" numFmtId="164">
      <sharedItems containsSemiMixedTypes="0" containsString="0" containsNumber="1" containsInteger="1" minValue="1960" maxValue="18000000"/>
    </cacheField>
    <cacheField name="Craft Games Software Company" numFmtId="164">
      <sharedItems containsSemiMixedTypes="0" containsString="0" containsNumber="1" minValue="2195.1999999999998" maxValue="21000000"/>
    </cacheField>
    <cacheField name="Action Games Software Company" numFmtId="164">
      <sharedItems containsSemiMixedTypes="0" containsString="0" containsNumber="1" minValue="2413.6" maxValue="24000000"/>
    </cacheField>
    <cacheField name="Starting a New Game Software Company" numFmtId="164">
      <sharedItems containsSemiMixedTypes="0" containsString="0" containsNumber="1" containsInteger="1" minValue="1750" maxValue="11000000"/>
    </cacheField>
  </cacheFields>
  <extLst>
    <ext xmlns:x14="http://schemas.microsoft.com/office/spreadsheetml/2009/9/main" uri="{725AE2AE-9491-48be-B2B4-4EB974FC3084}">
      <x14:pivotCacheDefinition pivotCacheId="20420039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J Sanacore" refreshedDate="45752.887660879627" createdVersion="8" refreshedVersion="8" minRefreshableVersion="3" recordCount="45" xr:uid="{5DD0291D-F83D-4807-9991-667D4D8CDEA1}">
  <cacheSource type="worksheet">
    <worksheetSource name="Table1"/>
  </cacheSource>
  <cacheFields count="17">
    <cacheField name="Year" numFmtId="0">
      <sharedItems containsSemiMixedTypes="0" containsString="0" containsNumber="1" containsInteger="1" minValue="0" maxValue="8" count="9">
        <n v="0"/>
        <n v="1"/>
        <n v="2"/>
        <n v="3"/>
        <n v="4"/>
        <n v="5"/>
        <n v="6"/>
        <n v="7"/>
        <n v="8"/>
      </sharedItems>
    </cacheField>
    <cacheField name="Company" numFmtId="0">
      <sharedItems count="5">
        <s v="Family"/>
        <s v="RPG"/>
        <s v="Craft"/>
        <s v="Action"/>
        <s v="Starting New"/>
      </sharedItems>
    </cacheField>
    <cacheField name="Sales Revenue" numFmtId="164">
      <sharedItems containsSemiMixedTypes="0" containsString="0" containsNumber="1" minValue="0" maxValue="119417340.05"/>
    </cacheField>
    <cacheField name="Costs of Goods Sold" numFmtId="164">
      <sharedItems containsSemiMixedTypes="0" containsString="0" containsNumber="1" minValue="0" maxValue="10893191.507000001"/>
    </cacheField>
    <cacheField name="Gross Profits" numFmtId="164">
      <sharedItems containsSemiMixedTypes="0" containsString="0" containsNumber="1" minValue="0" maxValue="108669779.4455"/>
    </cacheField>
    <cacheField name="Fixed operating costs" numFmtId="164">
      <sharedItems containsSemiMixedTypes="0" containsString="0" containsNumber="1" minValue="0" maxValue="24540991.199999999"/>
    </cacheField>
    <cacheField name="EBIT " numFmtId="164">
      <sharedItems containsSemiMixedTypes="0" containsString="0" containsNumber="1" minValue="-11634750" maxValue="89423884.27734375"/>
    </cacheField>
    <cacheField name="Net Operating Profit " numFmtId="164">
      <sharedItems containsSemiMixedTypes="0" containsString="0" containsNumber="1" minValue="-9191452.5" maxValue="70644868.579101563"/>
    </cacheField>
    <cacheField name="Net Cash Flow " numFmtId="164">
      <sharedItems containsSemiMixedTypes="0" containsString="0" containsNumber="1" minValue="-111197666.66666701" maxValue="72644868.579101563"/>
    </cacheField>
    <cacheField name="DCF" numFmtId="164">
      <sharedItems containsSemiMixedTypes="0" containsString="0" containsNumber="1" minValue="-111197666.66666701" maxValue="45538665.854726024"/>
    </cacheField>
    <cacheField name="Maintenance &amp; Cleaning" numFmtId="164">
      <sharedItems containsSemiMixedTypes="0" containsString="0" containsNumber="1" containsInteger="1" minValue="0" maxValue="482720"/>
    </cacheField>
    <cacheField name="Electric" numFmtId="164">
      <sharedItems containsSemiMixedTypes="0" containsString="0" containsNumber="1" containsInteger="1" minValue="0" maxValue="20688"/>
    </cacheField>
    <cacheField name="Garbage" numFmtId="164">
      <sharedItems containsSemiMixedTypes="0" containsString="0" containsNumber="1" containsInteger="1" minValue="0" maxValue="2414"/>
    </cacheField>
    <cacheField name="Gas" numFmtId="164">
      <sharedItems containsSemiMixedTypes="0" containsString="0" containsNumber="1" containsInteger="1" minValue="0" maxValue="4138"/>
    </cacheField>
    <cacheField name="Insurance" numFmtId="164">
      <sharedItems containsSemiMixedTypes="0" containsString="0" containsNumber="1" containsInteger="1" minValue="0" maxValue="27584"/>
    </cacheField>
    <cacheField name="Labor" numFmtId="164">
      <sharedItems containsSemiMixedTypes="0" containsString="0" containsNumber="1" containsInteger="1" minValue="0" maxValue="24000000"/>
    </cacheField>
    <cacheField name="Telephone" numFmtId="164">
      <sharedItems containsSemiMixedTypes="0" containsString="0" containsNumber="1" containsInteger="1" minValue="0" maxValue="3448"/>
    </cacheField>
  </cacheFields>
  <extLst>
    <ext xmlns:x14="http://schemas.microsoft.com/office/spreadsheetml/2009/9/main" uri="{725AE2AE-9491-48be-B2B4-4EB974FC3084}">
      <x14:pivotCacheDefinition pivotCacheId="49950764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J Sanacore" refreshedDate="45753.449108449073" createdVersion="8" refreshedVersion="8" minRefreshableVersion="3" recordCount="35" xr:uid="{8F92D0F2-BCEF-4CF7-B14D-B5D35313A655}">
  <cacheSource type="worksheet">
    <worksheetSource name="Table6"/>
  </cacheSource>
  <cacheFields count="3">
    <cacheField name="Company" numFmtId="0">
      <sharedItems count="5">
        <s v="Family"/>
        <s v="RPG"/>
        <s v="Craft"/>
        <s v="Action"/>
        <s v="Starting New"/>
      </sharedItems>
    </cacheField>
    <cacheField name="Category" numFmtId="6">
      <sharedItems count="7">
        <s v="Electric"/>
        <s v="Garbage"/>
        <s v="Gas"/>
        <s v="Insurance"/>
        <s v="Telephone"/>
        <s v="Maintenance &amp; Cleaning"/>
        <s v="Labor"/>
      </sharedItems>
    </cacheField>
    <cacheField name="Amount" numFmtId="164">
      <sharedItems containsSemiMixedTypes="0" containsString="0" containsNumber="1" containsInteger="1" minValue="1750" maxValue="24000000"/>
    </cacheField>
  </cacheFields>
  <extLst>
    <ext xmlns:x14="http://schemas.microsoft.com/office/spreadsheetml/2009/9/main" uri="{725AE2AE-9491-48be-B2B4-4EB974FC3084}">
      <x14:pivotCacheDefinition pivotCacheId="1423201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350000"/>
    <n v="392000"/>
    <n v="439040"/>
    <n v="482720"/>
    <n v="350000"/>
  </r>
  <r>
    <x v="1"/>
    <n v="15000"/>
    <n v="16800"/>
    <n v="18816"/>
    <n v="20688"/>
    <n v="15000"/>
  </r>
  <r>
    <x v="2"/>
    <n v="3000"/>
    <n v="3360"/>
    <n v="3763.2"/>
    <n v="4137.6000000000004"/>
    <n v="3000"/>
  </r>
  <r>
    <x v="3"/>
    <n v="1750"/>
    <n v="1960"/>
    <n v="2195.1999999999998"/>
    <n v="2413.6"/>
    <n v="1750"/>
  </r>
  <r>
    <x v="4"/>
    <n v="20000"/>
    <n v="22400"/>
    <n v="25088"/>
    <n v="27584"/>
    <n v="20000"/>
  </r>
  <r>
    <x v="5"/>
    <n v="2500"/>
    <n v="2800"/>
    <n v="3136"/>
    <n v="3448"/>
    <n v="2500"/>
  </r>
  <r>
    <x v="6"/>
    <n v="15000000"/>
    <n v="18000000"/>
    <n v="21000000"/>
    <n v="24000000"/>
    <n v="11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x v="0"/>
    <n v="0"/>
    <n v="0"/>
    <n v="0"/>
    <n v="0"/>
    <n v="0"/>
    <n v="0"/>
    <n v="-55450000"/>
    <n v="-55450000"/>
    <n v="0"/>
    <n v="0"/>
    <n v="0"/>
    <n v="0"/>
    <n v="0"/>
    <n v="0"/>
    <n v="0"/>
  </r>
  <r>
    <x v="1"/>
    <x v="0"/>
    <n v="40000000"/>
    <n v="4000000"/>
    <n v="36000000"/>
    <n v="15392250"/>
    <n v="15607750"/>
    <n v="12330122.5"/>
    <n v="17330122.5"/>
    <n v="16009351.03926097"/>
    <n v="350000"/>
    <n v="15000"/>
    <n v="1750"/>
    <n v="3000"/>
    <n v="20000"/>
    <n v="15000000"/>
    <n v="2500"/>
  </r>
  <r>
    <x v="2"/>
    <x v="0"/>
    <n v="48110000"/>
    <n v="4811000"/>
    <n v="43299000"/>
    <n v="15392250"/>
    <n v="22906750"/>
    <n v="18096332.5"/>
    <n v="23096332.5"/>
    <n v="19710026.721567668"/>
    <n v="350000"/>
    <n v="15000"/>
    <n v="1750"/>
    <n v="3000"/>
    <n v="20000"/>
    <n v="15000000"/>
    <n v="2500"/>
  </r>
  <r>
    <x v="3"/>
    <x v="0"/>
    <n v="49253300"/>
    <n v="4925330"/>
    <n v="44327970"/>
    <n v="15392250"/>
    <n v="23935720"/>
    <n v="18909218.800000001"/>
    <n v="23909218.800000001"/>
    <n v="18848711.681154579"/>
    <n v="350000"/>
    <n v="15000"/>
    <n v="1750"/>
    <n v="3000"/>
    <n v="20000"/>
    <n v="15000000"/>
    <n v="2500"/>
  </r>
  <r>
    <x v="4"/>
    <x v="0"/>
    <n v="50430899"/>
    <n v="5043089.9000000004"/>
    <n v="45387809.100000001"/>
    <n v="15392250"/>
    <n v="24995559.100000001"/>
    <n v="19746491.689000003"/>
    <n v="24746491.689000003"/>
    <n v="18021959.840485975"/>
    <n v="350000"/>
    <n v="15000"/>
    <n v="1750"/>
    <n v="3000"/>
    <n v="20000"/>
    <n v="15000000"/>
    <n v="2500"/>
  </r>
  <r>
    <x v="5"/>
    <x v="0"/>
    <n v="51643825.969999999"/>
    <n v="5164382.5970000001"/>
    <n v="46479443.372999996"/>
    <n v="15392250"/>
    <n v="26087193.372999996"/>
    <n v="20608882.764669996"/>
    <n v="25608882.764669996"/>
    <n v="17228644.38458379"/>
    <n v="350000"/>
    <n v="15000"/>
    <n v="1750"/>
    <n v="3000"/>
    <n v="20000"/>
    <n v="15000000"/>
    <n v="2500"/>
  </r>
  <r>
    <x v="6"/>
    <x v="0"/>
    <n v="52893140.7491"/>
    <n v="5289314.07491"/>
    <n v="47603826.67419"/>
    <n v="15392250"/>
    <n v="27211576.67419"/>
    <n v="21497145.572610099"/>
    <n v="26497145.572610099"/>
    <n v="16467651.271968145"/>
    <n v="350000"/>
    <n v="15000"/>
    <n v="1750"/>
    <n v="3000"/>
    <n v="20000"/>
    <n v="15000000"/>
    <n v="2500"/>
  </r>
  <r>
    <x v="7"/>
    <x v="0"/>
    <n v="54179934.971573003"/>
    <n v="5417993.4971573008"/>
    <n v="48761941.474415705"/>
    <n v="15392250"/>
    <n v="28369691.474415705"/>
    <n v="22412056.264788408"/>
    <n v="27412056.264788408"/>
    <n v="15737881.806610003"/>
    <n v="350000"/>
    <n v="15000"/>
    <n v="1750"/>
    <n v="3000"/>
    <n v="20000"/>
    <n v="15000000"/>
    <n v="2500"/>
  </r>
  <r>
    <x v="8"/>
    <x v="0"/>
    <n v="58252361"/>
    <n v="5825236.1000000006"/>
    <n v="52427124.899999999"/>
    <n v="15392250"/>
    <n v="32034874.899999999"/>
    <n v="25307551.171"/>
    <n v="30307551.171"/>
    <n v="16074134.83063652"/>
    <n v="350000"/>
    <n v="15000"/>
    <n v="1750"/>
    <n v="3000"/>
    <n v="20000"/>
    <n v="15000000"/>
    <n v="2500"/>
  </r>
  <r>
    <x v="0"/>
    <x v="1"/>
    <n v="0"/>
    <n v="0"/>
    <n v="0"/>
    <n v="0"/>
    <n v="0"/>
    <n v="0"/>
    <n v="-71795000"/>
    <n v="-71795000"/>
    <n v="0"/>
    <n v="0"/>
    <n v="0"/>
    <n v="0"/>
    <n v="0"/>
    <n v="0"/>
    <n v="0"/>
  </r>
  <r>
    <x v="1"/>
    <x v="1"/>
    <n v="54000000"/>
    <n v="6480000"/>
    <n v="47520000"/>
    <n v="18439320"/>
    <n v="22080680"/>
    <n v="17443737.199999999"/>
    <n v="24443737.199999999"/>
    <n v="22528790.046082951"/>
    <n v="392000"/>
    <n v="16800"/>
    <n v="1960"/>
    <n v="3360"/>
    <n v="22400"/>
    <n v="18000000"/>
    <n v="2800"/>
  </r>
  <r>
    <x v="2"/>
    <x v="1"/>
    <n v="64948500.000000007"/>
    <n v="7793820.0000000009"/>
    <n v="57154680.000000007"/>
    <n v="18439320"/>
    <n v="31715360.000000007"/>
    <n v="25055134.400000006"/>
    <n v="32055134.400000006"/>
    <n v="27229403.385079324"/>
    <n v="392000"/>
    <n v="16800"/>
    <n v="1960"/>
    <n v="3360"/>
    <n v="22400"/>
    <n v="18000000"/>
    <n v="2800"/>
  </r>
  <r>
    <x v="3"/>
    <x v="1"/>
    <n v="66491955.000000007"/>
    <n v="7979034.6000000006"/>
    <n v="58512920.400000006"/>
    <n v="18439320"/>
    <n v="33073600.400000006"/>
    <n v="26128144.316000007"/>
    <n v="33128144.316000007"/>
    <n v="25936292.470978335"/>
    <n v="392000"/>
    <n v="16800"/>
    <n v="1960"/>
    <n v="3360"/>
    <n v="22400"/>
    <n v="18000000"/>
    <n v="2800"/>
  </r>
  <r>
    <x v="4"/>
    <x v="1"/>
    <n v="68081713.650000006"/>
    <n v="8169805.6380000003"/>
    <n v="59911908.012000009"/>
    <n v="18439320"/>
    <n v="34472588.012000009"/>
    <n v="27233344.529480007"/>
    <n v="34233344.52948001"/>
    <n v="24701901.076957792"/>
    <n v="392000"/>
    <n v="16800"/>
    <n v="1960"/>
    <n v="3360"/>
    <n v="22400"/>
    <n v="18000000"/>
    <n v="2800"/>
  </r>
  <r>
    <x v="5"/>
    <x v="1"/>
    <n v="69719165.059500009"/>
    <n v="8366299.8071400011"/>
    <n v="61352865.252360009"/>
    <n v="18439320"/>
    <n v="35913545.252360009"/>
    <n v="28371700.749364406"/>
    <n v="35371700.749364406"/>
    <n v="23523787.69729295"/>
    <n v="392000"/>
    <n v="16800"/>
    <n v="1960"/>
    <n v="3360"/>
    <n v="22400"/>
    <n v="18000000"/>
    <n v="2800"/>
  </r>
  <r>
    <x v="6"/>
    <x v="1"/>
    <n v="71405740.011285007"/>
    <n v="8568688.8013541996"/>
    <n v="62837051.209930807"/>
    <n v="18439320"/>
    <n v="37397731.209930807"/>
    <n v="29544207.655845337"/>
    <n v="36544207.655845337"/>
    <n v="22399592.67209417"/>
    <n v="392000"/>
    <n v="16800"/>
    <n v="1960"/>
    <n v="3360"/>
    <n v="22400"/>
    <n v="18000000"/>
    <n v="2800"/>
  </r>
  <r>
    <x v="7"/>
    <x v="1"/>
    <n v="73142912.211623564"/>
    <n v="8777149.4653948266"/>
    <n v="64365762.74622874"/>
    <n v="18439320"/>
    <n v="38926442.74622874"/>
    <n v="30751889.769520704"/>
    <n v="37751889.7695207"/>
    <n v="21327037.32226998"/>
    <n v="392000"/>
    <n v="16800"/>
    <n v="1960"/>
    <n v="3360"/>
    <n v="22400"/>
    <n v="18000000"/>
    <n v="2800"/>
  </r>
  <r>
    <x v="8"/>
    <x v="1"/>
    <n v="78640687.350000009"/>
    <n v="9436882.4820000008"/>
    <n v="69203804.868000001"/>
    <n v="18439320"/>
    <n v="43764484.868000001"/>
    <n v="34573943.045720004"/>
    <n v="41573943.045720004"/>
    <n v="21646281.965025108"/>
    <n v="392000"/>
    <n v="16800"/>
    <n v="1960"/>
    <n v="3360"/>
    <n v="22400"/>
    <n v="18000000"/>
    <n v="2800"/>
  </r>
  <r>
    <x v="0"/>
    <x v="2"/>
    <n v="0"/>
    <n v="0"/>
    <n v="0"/>
    <n v="0"/>
    <n v="0"/>
    <n v="0"/>
    <n v="-93174500"/>
    <n v="-93174500"/>
    <n v="0"/>
    <n v="0"/>
    <n v="0"/>
    <n v="0"/>
    <n v="0"/>
    <n v="0"/>
    <n v="0"/>
  </r>
  <r>
    <x v="1"/>
    <x v="2"/>
    <n v="68000000"/>
    <n v="7480000"/>
    <n v="60520000"/>
    <n v="21492038.399999999"/>
    <n v="29027961.600000001"/>
    <n v="22932089.664000001"/>
    <n v="32932089.664000001"/>
    <n v="30282381.300229888"/>
    <n v="439040"/>
    <n v="18816"/>
    <n v="2195"/>
    <n v="3763"/>
    <n v="25088"/>
    <n v="21000000"/>
    <n v="3136"/>
  </r>
  <r>
    <x v="2"/>
    <x v="2"/>
    <n v="81787000"/>
    <n v="8996570"/>
    <n v="72790430"/>
    <n v="21492038.399999999"/>
    <n v="41298391.600000001"/>
    <n v="32625729.364"/>
    <n v="42625729.364"/>
    <n v="36042365.957140975"/>
    <n v="439040"/>
    <n v="18816"/>
    <n v="2195"/>
    <n v="3763"/>
    <n v="25088"/>
    <n v="21000000"/>
    <n v="3136"/>
  </r>
  <r>
    <x v="3"/>
    <x v="2"/>
    <n v="83730610"/>
    <n v="9210367.0999999996"/>
    <n v="74520242.900000006"/>
    <n v="21492038.399999999"/>
    <n v="43028204.500000007"/>
    <n v="33992281.555000007"/>
    <n v="43992281.555000007"/>
    <n v="34204928.68849498"/>
    <n v="439040"/>
    <n v="18816"/>
    <n v="2195"/>
    <n v="3763"/>
    <n v="25088"/>
    <n v="21000000"/>
    <n v="3136"/>
  </r>
  <r>
    <x v="4"/>
    <x v="2"/>
    <n v="85732528.299999997"/>
    <n v="9430578.1129999999"/>
    <n v="76301950.186999992"/>
    <n v="21492038.399999999"/>
    <n v="44809911.786999993"/>
    <n v="35399830.311729997"/>
    <n v="45399830.311729997"/>
    <n v="32459151.811934799"/>
    <n v="439040"/>
    <n v="18816"/>
    <n v="2195"/>
    <n v="3763"/>
    <n v="25088"/>
    <n v="21000000"/>
    <n v="3136"/>
  </r>
  <r>
    <x v="5"/>
    <x v="2"/>
    <n v="87794504.149000004"/>
    <n v="9657395.4563900009"/>
    <n v="78137108.692609996"/>
    <n v="21492038.399999999"/>
    <n v="46645070.292609997"/>
    <n v="36849605.531161897"/>
    <n v="46849605.531161897"/>
    <n v="30800630.757815499"/>
    <n v="439040"/>
    <n v="18816"/>
    <n v="2195"/>
    <n v="3763"/>
    <n v="25088"/>
    <n v="21000000"/>
    <n v="3136"/>
  </r>
  <r>
    <x v="6"/>
    <x v="2"/>
    <n v="89918339.273469999"/>
    <n v="9891017.3200816996"/>
    <n v="80027321.953388304"/>
    <n v="21492038.399999999"/>
    <n v="48535283.553388305"/>
    <n v="38342874.007176757"/>
    <n v="48342874.007176757"/>
    <n v="29225158.291286755"/>
    <n v="439040"/>
    <n v="18816"/>
    <n v="2195"/>
    <n v="3763"/>
    <n v="25088"/>
    <n v="21000000"/>
    <n v="3136"/>
  </r>
  <r>
    <x v="7"/>
    <x v="2"/>
    <n v="92105889.451674104"/>
    <n v="10131647.839684151"/>
    <n v="81974241.611989945"/>
    <n v="21492038.399999999"/>
    <n v="50482203.211989947"/>
    <n v="39880940.537472054"/>
    <n v="49880940.537472054"/>
    <n v="27728716.938883934"/>
    <n v="439040"/>
    <n v="18816"/>
    <n v="2195"/>
    <n v="3763"/>
    <n v="25088"/>
    <n v="21000000"/>
    <n v="3136"/>
  </r>
  <r>
    <x v="8"/>
    <x v="2"/>
    <n v="99029013.700000003"/>
    <n v="10893191.507000001"/>
    <n v="88135822.193000004"/>
    <n v="21492038.399999999"/>
    <n v="56643783.793000005"/>
    <n v="44748589.196470007"/>
    <n v="54748589.196470007"/>
    <n v="27985869.677462477"/>
    <n v="439040"/>
    <n v="18816"/>
    <n v="2195"/>
    <n v="3763"/>
    <n v="25088"/>
    <n v="21000000"/>
    <n v="3136"/>
  </r>
  <r>
    <x v="0"/>
    <x v="3"/>
    <n v="0"/>
    <n v="0"/>
    <n v="0"/>
    <n v="0"/>
    <n v="0"/>
    <n v="0"/>
    <n v="-111197666.66666701"/>
    <n v="-111197666.66666701"/>
    <n v="0"/>
    <n v="0"/>
    <n v="0"/>
    <n v="0"/>
    <n v="0"/>
    <n v="0"/>
    <n v="0"/>
  </r>
  <r>
    <x v="1"/>
    <x v="3"/>
    <n v="82000000"/>
    <n v="7380000"/>
    <n v="74620000"/>
    <n v="24540991.199999999"/>
    <n v="37745675.466666698"/>
    <n v="29819083.618666694"/>
    <n v="42152416.951999992"/>
    <n v="38671942.157798156"/>
    <n v="482720"/>
    <n v="20688"/>
    <n v="2414"/>
    <n v="4138"/>
    <n v="27584"/>
    <n v="24000000"/>
    <n v="3448"/>
  </r>
  <r>
    <x v="2"/>
    <x v="3"/>
    <n v="98625500"/>
    <n v="8876295"/>
    <n v="89749205"/>
    <n v="24540991.199999999"/>
    <n v="52874880.466666698"/>
    <n v="41771155.568666697"/>
    <n v="54104488.901999995"/>
    <n v="45538665.854726024"/>
    <n v="482720"/>
    <n v="20688"/>
    <n v="2414"/>
    <n v="4138"/>
    <n v="27584"/>
    <n v="24000000"/>
    <n v="3448"/>
  </r>
  <r>
    <x v="3"/>
    <x v="3"/>
    <n v="100969265"/>
    <n v="9087233.8499999996"/>
    <n v="91882031.150000006"/>
    <n v="24540991.199999999"/>
    <n v="55007706.616666704"/>
    <n v="43456088.227166697"/>
    <n v="55789421.560499996"/>
    <n v="43079669.691180654"/>
    <n v="482720"/>
    <n v="20688"/>
    <n v="2414"/>
    <n v="4138"/>
    <n v="27584"/>
    <n v="24000000"/>
    <n v="3448"/>
  </r>
  <r>
    <x v="4"/>
    <x v="3"/>
    <n v="103383342.95"/>
    <n v="9304500.8654999994"/>
    <n v="94078842.0845"/>
    <n v="24540991.199999999"/>
    <n v="57204517.551166698"/>
    <n v="45191568.86542169"/>
    <n v="57524902.198754989"/>
    <n v="40752090.981657788"/>
    <n v="482720"/>
    <n v="20688"/>
    <n v="2414"/>
    <n v="4138"/>
    <n v="27584"/>
    <n v="24000000"/>
    <n v="3448"/>
  </r>
  <r>
    <x v="5"/>
    <x v="3"/>
    <n v="105869843.2385"/>
    <n v="9528285.8914649989"/>
    <n v="96341557.347035006"/>
    <n v="24540991.199999999"/>
    <n v="59467232.813701704"/>
    <n v="46979113.922824346"/>
    <n v="59312447.256157644"/>
    <n v="38549021.06994202"/>
    <n v="482720"/>
    <n v="20688"/>
    <n v="2414"/>
    <n v="4138"/>
    <n v="27584"/>
    <n v="24000000"/>
    <n v="3448"/>
  </r>
  <r>
    <x v="6"/>
    <x v="3"/>
    <n v="108430938.53565501"/>
    <n v="9758784.46820895"/>
    <n v="98672154.067446053"/>
    <n v="24540991.199999999"/>
    <n v="61797829.534112751"/>
    <n v="48820285.33194907"/>
    <n v="61153618.665282369"/>
    <n v="36463904.730538838"/>
    <n v="482720"/>
    <n v="20688"/>
    <n v="2414"/>
    <n v="4138"/>
    <n v="27584"/>
    <n v="24000000"/>
    <n v="3448"/>
  </r>
  <r>
    <x v="7"/>
    <x v="3"/>
    <n v="111068866.691725"/>
    <n v="9996198.0022552498"/>
    <n v="101072668.68946975"/>
    <n v="24540991.199999999"/>
    <n v="64198344.156136453"/>
    <n v="50716691.883347794"/>
    <n v="63050025.216681093"/>
    <n v="34490522.931759253"/>
    <n v="482720"/>
    <n v="20688"/>
    <n v="2414"/>
    <n v="4138"/>
    <n v="27584"/>
    <n v="24000000"/>
    <n v="3448"/>
  </r>
  <r>
    <x v="8"/>
    <x v="3"/>
    <n v="119417340.05"/>
    <n v="10747560.604499999"/>
    <n v="108669779.4455"/>
    <n v="24540991.199999999"/>
    <n v="71795454.9121667"/>
    <n v="56718409.380611695"/>
    <n v="69051742.713945001"/>
    <n v="34654741.22076875"/>
    <n v="482720"/>
    <n v="20688"/>
    <n v="2414"/>
    <n v="4138"/>
    <n v="27584"/>
    <n v="24000000"/>
    <n v="3448"/>
  </r>
  <r>
    <x v="0"/>
    <x v="4"/>
    <n v="0"/>
    <n v="0"/>
    <n v="0"/>
    <n v="0"/>
    <n v="0"/>
    <n v="0"/>
    <n v="-21197000"/>
    <n v="-21197000"/>
    <n v="0"/>
    <n v="0"/>
    <n v="0"/>
    <n v="0"/>
    <n v="0"/>
    <n v="0"/>
    <n v="0"/>
  </r>
  <r>
    <x v="1"/>
    <x v="4"/>
    <n v="1850000"/>
    <n v="92500"/>
    <n v="1757500"/>
    <n v="11392250"/>
    <n v="-11634750"/>
    <n v="-9191452.5"/>
    <n v="-7191452.5"/>
    <n v="-6582565.2173913037"/>
    <n v="350000"/>
    <n v="15000"/>
    <n v="1750"/>
    <n v="3000"/>
    <n v="20000"/>
    <n v="11000000"/>
    <n v="2500"/>
  </r>
  <r>
    <x v="2"/>
    <x v="4"/>
    <n v="4912500"/>
    <n v="245625"/>
    <n v="4666875"/>
    <n v="11392250"/>
    <n v="-8725375"/>
    <n v="-6893046.25"/>
    <n v="-4893046.25"/>
    <n v="-4099552.2833548896"/>
    <n v="350000"/>
    <n v="15000"/>
    <n v="1750"/>
    <n v="3000"/>
    <n v="20000"/>
    <n v="11000000"/>
    <n v="2500"/>
  </r>
  <r>
    <x v="3"/>
    <x v="4"/>
    <n v="8303125"/>
    <n v="415156.25"/>
    <n v="7887968.75"/>
    <n v="11392250"/>
    <n v="-5504281.25"/>
    <n v="-4348382.1875"/>
    <n v="-2348382.1875"/>
    <n v="-1800961.5491883839"/>
    <n v="350000"/>
    <n v="15000"/>
    <n v="1750"/>
    <n v="3000"/>
    <n v="20000"/>
    <n v="11000000"/>
    <n v="2500"/>
  </r>
  <r>
    <x v="4"/>
    <x v="4"/>
    <n v="29682031.25"/>
    <n v="1484101.5625"/>
    <n v="28197929.6875"/>
    <n v="11392250"/>
    <n v="14805679.6875"/>
    <n v="11696486.953125"/>
    <n v="13696486.953125"/>
    <n v="9614426.9840432182"/>
    <n v="350000"/>
    <n v="15000"/>
    <n v="1750"/>
    <n v="3000"/>
    <n v="20000"/>
    <n v="11000000"/>
    <n v="2500"/>
  </r>
  <r>
    <x v="5"/>
    <x v="4"/>
    <n v="41784570.3125"/>
    <n v="2089228.515625"/>
    <n v="39695341.796875"/>
    <n v="11392250"/>
    <n v="26303091.796875"/>
    <n v="20779442.51953125"/>
    <n v="22779442.51953125"/>
    <n v="14636453.697562939"/>
    <n v="350000"/>
    <n v="15000"/>
    <n v="1750"/>
    <n v="3000"/>
    <n v="20000"/>
    <n v="11000000"/>
    <n v="2500"/>
  </r>
  <r>
    <x v="6"/>
    <x v="4"/>
    <n v="69015283.203125"/>
    <n v="3450764.16015625"/>
    <n v="65564519.04296875"/>
    <n v="11392250"/>
    <n v="52172269.04296875"/>
    <n v="41216092.543945313"/>
    <n v="43216092.543945313"/>
    <n v="25416563.061700836"/>
    <n v="350000"/>
    <n v="15000"/>
    <n v="1750"/>
    <n v="3000"/>
    <n v="20000"/>
    <n v="11000000"/>
    <n v="2500"/>
  </r>
  <r>
    <x v="7"/>
    <x v="4"/>
    <n v="93522924.8046875"/>
    <n v="4676146.240234375"/>
    <n v="88846778.564453125"/>
    <n v="11392250"/>
    <n v="75454528.564453125"/>
    <n v="59609077.565917969"/>
    <n v="61609077.565917969"/>
    <n v="33166113.827914573"/>
    <n v="350000"/>
    <n v="15000"/>
    <n v="1750"/>
    <n v="3000"/>
    <n v="20000"/>
    <n v="11000000"/>
    <n v="2500"/>
  </r>
  <r>
    <x v="8"/>
    <x v="4"/>
    <n v="108227509.765625"/>
    <n v="5411375.48828125"/>
    <n v="102816134.27734375"/>
    <n v="11392250"/>
    <n v="89423884.27734375"/>
    <n v="70644868.579101563"/>
    <n v="72644868.579101563"/>
    <n v="35795907.510998473"/>
    <n v="350000"/>
    <n v="15000"/>
    <n v="1750"/>
    <n v="3000"/>
    <n v="20000"/>
    <n v="11000000"/>
    <n v="25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15000"/>
  </r>
  <r>
    <x v="0"/>
    <x v="1"/>
    <n v="1750"/>
  </r>
  <r>
    <x v="0"/>
    <x v="2"/>
    <n v="3000"/>
  </r>
  <r>
    <x v="0"/>
    <x v="3"/>
    <n v="20000"/>
  </r>
  <r>
    <x v="0"/>
    <x v="4"/>
    <n v="2500"/>
  </r>
  <r>
    <x v="1"/>
    <x v="0"/>
    <n v="16800"/>
  </r>
  <r>
    <x v="1"/>
    <x v="1"/>
    <n v="1960"/>
  </r>
  <r>
    <x v="1"/>
    <x v="2"/>
    <n v="3360"/>
  </r>
  <r>
    <x v="1"/>
    <x v="3"/>
    <n v="22400"/>
  </r>
  <r>
    <x v="1"/>
    <x v="4"/>
    <n v="2800"/>
  </r>
  <r>
    <x v="2"/>
    <x v="0"/>
    <n v="18816"/>
  </r>
  <r>
    <x v="2"/>
    <x v="1"/>
    <n v="2195"/>
  </r>
  <r>
    <x v="2"/>
    <x v="2"/>
    <n v="3763"/>
  </r>
  <r>
    <x v="2"/>
    <x v="3"/>
    <n v="25088"/>
  </r>
  <r>
    <x v="2"/>
    <x v="4"/>
    <n v="3136"/>
  </r>
  <r>
    <x v="3"/>
    <x v="0"/>
    <n v="20688"/>
  </r>
  <r>
    <x v="3"/>
    <x v="1"/>
    <n v="2414"/>
  </r>
  <r>
    <x v="3"/>
    <x v="2"/>
    <n v="4138"/>
  </r>
  <r>
    <x v="3"/>
    <x v="3"/>
    <n v="27584"/>
  </r>
  <r>
    <x v="3"/>
    <x v="4"/>
    <n v="3448"/>
  </r>
  <r>
    <x v="4"/>
    <x v="0"/>
    <n v="15000"/>
  </r>
  <r>
    <x v="4"/>
    <x v="1"/>
    <n v="1750"/>
  </r>
  <r>
    <x v="4"/>
    <x v="2"/>
    <n v="3000"/>
  </r>
  <r>
    <x v="4"/>
    <x v="3"/>
    <n v="20000"/>
  </r>
  <r>
    <x v="4"/>
    <x v="4"/>
    <n v="2500"/>
  </r>
  <r>
    <x v="0"/>
    <x v="5"/>
    <n v="350000"/>
  </r>
  <r>
    <x v="0"/>
    <x v="6"/>
    <n v="15000000"/>
  </r>
  <r>
    <x v="1"/>
    <x v="5"/>
    <n v="392000"/>
  </r>
  <r>
    <x v="1"/>
    <x v="6"/>
    <n v="18000000"/>
  </r>
  <r>
    <x v="2"/>
    <x v="5"/>
    <n v="439040"/>
  </r>
  <r>
    <x v="2"/>
    <x v="6"/>
    <n v="21000000"/>
  </r>
  <r>
    <x v="3"/>
    <x v="5"/>
    <n v="482720"/>
  </r>
  <r>
    <x v="3"/>
    <x v="6"/>
    <n v="24000000"/>
  </r>
  <r>
    <x v="4"/>
    <x v="5"/>
    <n v="350000"/>
  </r>
  <r>
    <x v="4"/>
    <x v="6"/>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7F9AC2-4C3B-499A-9F8D-46D85E6E773B}" name="PivotTable7"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F52:G58" firstHeaderRow="1" firstDataRow="1" firstDataCol="1" rowPageCount="1" colPageCount="1"/>
  <pivotFields count="3">
    <pivotField axis="axisPage" subtotalTop="0" multipleItemSelectionAllowed="1" showAll="0">
      <items count="6">
        <item x="3"/>
        <item h="1" x="2"/>
        <item h="1" x="0"/>
        <item h="1" x="1"/>
        <item h="1" x="4"/>
        <item t="default"/>
      </items>
    </pivotField>
    <pivotField axis="axisRow" subtotalTop="0" showAll="0">
      <items count="8">
        <item x="0"/>
        <item x="1"/>
        <item x="2"/>
        <item x="3"/>
        <item h="1" x="6"/>
        <item x="4"/>
        <item h="1" x="5"/>
        <item t="default"/>
      </items>
    </pivotField>
    <pivotField dataField="1" numFmtId="164" subtotalTop="0" showAll="0"/>
  </pivotFields>
  <rowFields count="1">
    <field x="1"/>
  </rowFields>
  <rowItems count="6">
    <i>
      <x/>
    </i>
    <i>
      <x v="1"/>
    </i>
    <i>
      <x v="2"/>
    </i>
    <i>
      <x v="3"/>
    </i>
    <i>
      <x v="5"/>
    </i>
    <i t="grand">
      <x/>
    </i>
  </rowItems>
  <colItems count="1">
    <i/>
  </colItems>
  <pageFields count="1">
    <pageField fld="0" hier="-1"/>
  </pageFields>
  <dataFields count="1">
    <dataField name="Sum of Amount" fld="2" baseField="0" baseItem="0" numFmtId="164"/>
  </dataFields>
  <chartFormats count="19">
    <chartFormat chart="6" format="6" series="1">
      <pivotArea type="data" outline="0" fieldPosition="0">
        <references count="1">
          <reference field="4294967294" count="1" selected="0">
            <x v="0"/>
          </reference>
        </references>
      </pivotArea>
    </chartFormat>
    <chartFormat chart="6" format="7">
      <pivotArea type="data" outline="0" fieldPosition="0">
        <references count="3">
          <reference field="4294967294" count="1" selected="0">
            <x v="0"/>
          </reference>
          <reference field="0" count="1" selected="0">
            <x v="0"/>
          </reference>
          <reference field="1" count="1" selected="0">
            <x v="0"/>
          </reference>
        </references>
      </pivotArea>
    </chartFormat>
    <chartFormat chart="6" format="8">
      <pivotArea type="data" outline="0" fieldPosition="0">
        <references count="3">
          <reference field="4294967294" count="1" selected="0">
            <x v="0"/>
          </reference>
          <reference field="0" count="1" selected="0">
            <x v="0"/>
          </reference>
          <reference field="1" count="1" selected="0">
            <x v="1"/>
          </reference>
        </references>
      </pivotArea>
    </chartFormat>
    <chartFormat chart="6" format="9">
      <pivotArea type="data" outline="0" fieldPosition="0">
        <references count="3">
          <reference field="4294967294" count="1" selected="0">
            <x v="0"/>
          </reference>
          <reference field="0" count="1" selected="0">
            <x v="0"/>
          </reference>
          <reference field="1" count="1" selected="0">
            <x v="2"/>
          </reference>
        </references>
      </pivotArea>
    </chartFormat>
    <chartFormat chart="6" format="10">
      <pivotArea type="data" outline="0" fieldPosition="0">
        <references count="3">
          <reference field="4294967294" count="1" selected="0">
            <x v="0"/>
          </reference>
          <reference field="0" count="1" selected="0">
            <x v="0"/>
          </reference>
          <reference field="1" count="1" selected="0">
            <x v="5"/>
          </reference>
        </references>
      </pivotArea>
    </chartFormat>
    <chartFormat chart="6" format="11" series="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3">
          <reference field="4294967294" count="1" selected="0">
            <x v="0"/>
          </reference>
          <reference field="0" count="1" selected="0">
            <x v="0"/>
          </reference>
          <reference field="1" count="1" selected="0">
            <x v="3"/>
          </reference>
        </references>
      </pivotArea>
    </chartFormat>
    <chartFormat chart="6" format="13" series="1">
      <pivotArea type="data" outline="0" fieldPosition="0">
        <references count="2">
          <reference field="4294967294" count="1" selected="0">
            <x v="0"/>
          </reference>
          <reference field="0" count="1" selected="0">
            <x v="3"/>
          </reference>
        </references>
      </pivotArea>
    </chartFormat>
    <chartFormat chart="6" format="14" series="1">
      <pivotArea type="data" outline="0" fieldPosition="0">
        <references count="2">
          <reference field="4294967294" count="1" selected="0">
            <x v="0"/>
          </reference>
          <reference field="0" count="1" selected="0">
            <x v="4"/>
          </reference>
        </references>
      </pivotArea>
    </chartFormat>
    <chartFormat chart="6" format="15">
      <pivotArea type="data" outline="0" fieldPosition="0">
        <references count="3">
          <reference field="4294967294" count="1" selected="0">
            <x v="0"/>
          </reference>
          <reference field="0" count="1" selected="0">
            <x v="3"/>
          </reference>
          <reference field="1" count="1" selected="0">
            <x v="0"/>
          </reference>
        </references>
      </pivotArea>
    </chartFormat>
    <chartFormat chart="6" format="16">
      <pivotArea type="data" outline="0" fieldPosition="0">
        <references count="3">
          <reference field="4294967294" count="1" selected="0">
            <x v="0"/>
          </reference>
          <reference field="0" count="1" selected="0">
            <x v="3"/>
          </reference>
          <reference field="1" count="1" selected="0">
            <x v="1"/>
          </reference>
        </references>
      </pivotArea>
    </chartFormat>
    <chartFormat chart="6" format="17">
      <pivotArea type="data" outline="0" fieldPosition="0">
        <references count="3">
          <reference field="4294967294" count="1" selected="0">
            <x v="0"/>
          </reference>
          <reference field="0" count="1" selected="0">
            <x v="3"/>
          </reference>
          <reference field="1" count="1" selected="0">
            <x v="2"/>
          </reference>
        </references>
      </pivotArea>
    </chartFormat>
    <chartFormat chart="6" format="18">
      <pivotArea type="data" outline="0" fieldPosition="0">
        <references count="3">
          <reference field="4294967294" count="1" selected="0">
            <x v="0"/>
          </reference>
          <reference field="0" count="1" selected="0">
            <x v="3"/>
          </reference>
          <reference field="1" count="1" selected="0">
            <x v="3"/>
          </reference>
        </references>
      </pivotArea>
    </chartFormat>
    <chartFormat chart="6" format="19">
      <pivotArea type="data" outline="0" fieldPosition="0">
        <references count="3">
          <reference field="4294967294" count="1" selected="0">
            <x v="0"/>
          </reference>
          <reference field="0" count="1" selected="0">
            <x v="3"/>
          </reference>
          <reference field="1" count="1" selected="0">
            <x v="5"/>
          </reference>
        </references>
      </pivotArea>
    </chartFormat>
    <chartFormat chart="6" format="20">
      <pivotArea type="data" outline="0" fieldPosition="0">
        <references count="2">
          <reference field="4294967294" count="1" selected="0">
            <x v="0"/>
          </reference>
          <reference field="1" count="1" selected="0">
            <x v="0"/>
          </reference>
        </references>
      </pivotArea>
    </chartFormat>
    <chartFormat chart="6" format="21">
      <pivotArea type="data" outline="0" fieldPosition="0">
        <references count="2">
          <reference field="4294967294" count="1" selected="0">
            <x v="0"/>
          </reference>
          <reference field="1" count="1" selected="0">
            <x v="1"/>
          </reference>
        </references>
      </pivotArea>
    </chartFormat>
    <chartFormat chart="6" format="22">
      <pivotArea type="data" outline="0" fieldPosition="0">
        <references count="2">
          <reference field="4294967294" count="1" selected="0">
            <x v="0"/>
          </reference>
          <reference field="1" count="1" selected="0">
            <x v="2"/>
          </reference>
        </references>
      </pivotArea>
    </chartFormat>
    <chartFormat chart="6" format="23">
      <pivotArea type="data" outline="0" fieldPosition="0">
        <references count="2">
          <reference field="4294967294" count="1" selected="0">
            <x v="0"/>
          </reference>
          <reference field="1" count="1" selected="0">
            <x v="3"/>
          </reference>
        </references>
      </pivotArea>
    </chartFormat>
    <chartFormat chart="6" format="2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CC74AB-057C-44E8-B261-A5E2069FBCAB}"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T16:Y24" firstHeaderRow="0" firstDataRow="1" firstDataCol="1"/>
  <pivotFields count="6">
    <pivotField axis="axisRow" subtotalTop="0" showAll="0">
      <items count="8">
        <item x="0"/>
        <item x="1"/>
        <item x="3"/>
        <item x="2"/>
        <item x="4"/>
        <item x="6"/>
        <item x="5"/>
        <item t="default"/>
      </items>
    </pivotField>
    <pivotField dataField="1" numFmtId="164" subtotalTop="0" showAll="0"/>
    <pivotField dataField="1" numFmtId="164" subtotalTop="0" showAll="0"/>
    <pivotField dataField="1" numFmtId="164" subtotalTop="0" showAll="0"/>
    <pivotField dataField="1" numFmtId="164" subtotalTop="0" showAll="0"/>
    <pivotField dataField="1" numFmtId="164" subtotalTop="0" showAll="0"/>
  </pivotFields>
  <rowFields count="1">
    <field x="0"/>
  </rowFields>
  <rowItems count="8">
    <i>
      <x/>
    </i>
    <i>
      <x v="1"/>
    </i>
    <i>
      <x v="2"/>
    </i>
    <i>
      <x v="3"/>
    </i>
    <i>
      <x v="4"/>
    </i>
    <i>
      <x v="5"/>
    </i>
    <i>
      <x v="6"/>
    </i>
    <i t="grand">
      <x/>
    </i>
  </rowItems>
  <colFields count="1">
    <field x="-2"/>
  </colFields>
  <colItems count="5">
    <i>
      <x/>
    </i>
    <i i="1">
      <x v="1"/>
    </i>
    <i i="2">
      <x v="2"/>
    </i>
    <i i="3">
      <x v="3"/>
    </i>
    <i i="4">
      <x v="4"/>
    </i>
  </colItems>
  <dataFields count="5">
    <dataField name="Sum of Family Games Software Company" fld="1" baseField="0" baseItem="0" numFmtId="164"/>
    <dataField name="Sum of RPG Games Software Company" fld="2" baseField="0" baseItem="0" numFmtId="164"/>
    <dataField name="Sum of Craft Games Software Company" fld="3" baseField="0" baseItem="0" numFmtId="164"/>
    <dataField name="Sum of Action Games Software Company" fld="4" baseField="0" baseItem="0" numFmtId="164"/>
    <dataField name="Sum of Starting a New Game Software Company" fld="5" baseField="0" baseItem="0" numFmtId="164"/>
  </dataFields>
  <formats count="6">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CFCF84-8ED4-4EA4-B7B1-168AFDB31DD1}"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T7:W13" firstHeaderRow="0" firstDataRow="1" firstDataCol="1"/>
  <pivotFields count="17">
    <pivotField subtotalTop="0" showAll="0">
      <items count="10">
        <item x="0"/>
        <item x="1"/>
        <item x="2"/>
        <item x="3"/>
        <item x="4"/>
        <item x="5"/>
        <item x="6"/>
        <item x="7"/>
        <item x="8"/>
        <item t="default"/>
      </items>
    </pivotField>
    <pivotField axis="axisRow" subtotalTop="0" showAll="0">
      <items count="6">
        <item x="3"/>
        <item x="2"/>
        <item x="0"/>
        <item x="1"/>
        <item x="4"/>
        <item t="default"/>
      </items>
    </pivotField>
    <pivotField dataField="1" numFmtId="164" subtotalTop="0" showAll="0"/>
    <pivotField numFmtId="164" subtotalTop="0" showAll="0"/>
    <pivotField dataField="1" numFmtId="164" subtotalTop="0" showAll="0"/>
    <pivotField numFmtId="164" subtotalTop="0" showAll="0"/>
    <pivotField dataField="1"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s>
  <rowFields count="1">
    <field x="1"/>
  </rowFields>
  <rowItems count="6">
    <i>
      <x/>
    </i>
    <i>
      <x v="1"/>
    </i>
    <i>
      <x v="2"/>
    </i>
    <i>
      <x v="3"/>
    </i>
    <i>
      <x v="4"/>
    </i>
    <i t="grand">
      <x/>
    </i>
  </rowItems>
  <colFields count="1">
    <field x="-2"/>
  </colFields>
  <colItems count="3">
    <i>
      <x/>
    </i>
    <i i="1">
      <x v="1"/>
    </i>
    <i i="2">
      <x v="2"/>
    </i>
  </colItems>
  <dataFields count="3">
    <dataField name="Sales Revenue " fld="2" baseField="1" baseItem="0" numFmtId="164"/>
    <dataField name=" Gross Profits " fld="4" baseField="1" baseItem="0" numFmtId="164"/>
    <dataField name="EBIT" fld="6" baseField="1" baseItem="0" numFmtId="164"/>
  </dataFields>
  <formats count="6">
    <format dxfId="55">
      <pivotArea type="all" dataOnly="0" outline="0" fieldPosition="0"/>
    </format>
    <format dxfId="54">
      <pivotArea outline="0" collapsedLevelsAreSubtotals="1" fieldPosition="0"/>
    </format>
    <format dxfId="53">
      <pivotArea field="1" type="button" dataOnly="0" labelOnly="1" outline="0" axis="axisRow" fieldPosition="0"/>
    </format>
    <format dxfId="52">
      <pivotArea dataOnly="0" labelOnly="1" fieldPosition="0">
        <references count="1">
          <reference field="1" count="0"/>
        </references>
      </pivotArea>
    </format>
    <format dxfId="51">
      <pivotArea dataOnly="0" labelOnly="1" grandRow="1" outline="0" fieldPosition="0"/>
    </format>
    <format dxfId="50">
      <pivotArea dataOnly="0" labelOnly="1" outline="0" fieldPosition="0">
        <references count="1">
          <reference field="4294967294"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2660BA-ED07-4F8D-8149-764C02A3AC32}" name="PivotTable17"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F66:H70" firstHeaderRow="1" firstDataRow="2" firstDataCol="1"/>
  <pivotFields count="3">
    <pivotField axis="axisCol" subtotalTop="0" showAll="0">
      <items count="6">
        <item x="3"/>
        <item h="1" x="2"/>
        <item h="1" x="0"/>
        <item h="1" x="1"/>
        <item h="1" x="4"/>
        <item t="default"/>
      </items>
    </pivotField>
    <pivotField axis="axisRow" subtotalTop="0" showAll="0">
      <items count="8">
        <item h="1" x="0"/>
        <item h="1" x="1"/>
        <item h="1" x="2"/>
        <item h="1" x="3"/>
        <item x="6"/>
        <item h="1" x="4"/>
        <item x="5"/>
        <item t="default"/>
      </items>
    </pivotField>
    <pivotField dataField="1" numFmtId="164" subtotalTop="0" showAll="0"/>
  </pivotFields>
  <rowFields count="1">
    <field x="1"/>
  </rowFields>
  <rowItems count="3">
    <i>
      <x v="4"/>
    </i>
    <i>
      <x v="6"/>
    </i>
    <i t="grand">
      <x/>
    </i>
  </rowItems>
  <colFields count="1">
    <field x="0"/>
  </colFields>
  <colItems count="2">
    <i>
      <x/>
    </i>
    <i t="grand">
      <x/>
    </i>
  </colItems>
  <dataFields count="1">
    <dataField name="Sum of Amount" fld="2" baseField="0" baseItem="0" numFmtId="164"/>
  </dataFields>
  <chartFormats count="27">
    <chartFormat chart="6" format="6" series="1">
      <pivotArea type="data" outline="0" fieldPosition="0">
        <references count="1">
          <reference field="4294967294" count="1" selected="0">
            <x v="0"/>
          </reference>
        </references>
      </pivotArea>
    </chartFormat>
    <chartFormat chart="6" format="7">
      <pivotArea type="data" outline="0" fieldPosition="0">
        <references count="3">
          <reference field="4294967294" count="1" selected="0">
            <x v="0"/>
          </reference>
          <reference field="0" count="1" selected="0">
            <x v="0"/>
          </reference>
          <reference field="1" count="1" selected="0">
            <x v="0"/>
          </reference>
        </references>
      </pivotArea>
    </chartFormat>
    <chartFormat chart="6" format="8">
      <pivotArea type="data" outline="0" fieldPosition="0">
        <references count="3">
          <reference field="4294967294" count="1" selected="0">
            <x v="0"/>
          </reference>
          <reference field="0" count="1" selected="0">
            <x v="0"/>
          </reference>
          <reference field="1" count="1" selected="0">
            <x v="1"/>
          </reference>
        </references>
      </pivotArea>
    </chartFormat>
    <chartFormat chart="6" format="9">
      <pivotArea type="data" outline="0" fieldPosition="0">
        <references count="3">
          <reference field="4294967294" count="1" selected="0">
            <x v="0"/>
          </reference>
          <reference field="0" count="1" selected="0">
            <x v="0"/>
          </reference>
          <reference field="1" count="1" selected="0">
            <x v="2"/>
          </reference>
        </references>
      </pivotArea>
    </chartFormat>
    <chartFormat chart="6" format="10">
      <pivotArea type="data" outline="0" fieldPosition="0">
        <references count="3">
          <reference field="4294967294" count="1" selected="0">
            <x v="0"/>
          </reference>
          <reference field="0" count="1" selected="0">
            <x v="0"/>
          </reference>
          <reference field="1" count="1" selected="0">
            <x v="5"/>
          </reference>
        </references>
      </pivotArea>
    </chartFormat>
    <chartFormat chart="8" format="0" series="1">
      <pivotArea type="data" outline="0" fieldPosition="0">
        <references count="2">
          <reference field="4294967294" count="1" selected="0">
            <x v="0"/>
          </reference>
          <reference field="0" count="1" selected="0">
            <x v="0"/>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3">
          <reference field="4294967294" count="1" selected="0">
            <x v="0"/>
          </reference>
          <reference field="0" count="1" selected="0">
            <x v="0"/>
          </reference>
          <reference field="1" count="1" selected="0">
            <x v="4"/>
          </reference>
        </references>
      </pivotArea>
    </chartFormat>
    <chartFormat chart="10" format="3">
      <pivotArea type="data" outline="0" fieldPosition="0">
        <references count="3">
          <reference field="4294967294" count="1" selected="0">
            <x v="0"/>
          </reference>
          <reference field="0" count="1" selected="0">
            <x v="0"/>
          </reference>
          <reference field="1" count="1" selected="0">
            <x v="6"/>
          </reference>
        </references>
      </pivotArea>
    </chartFormat>
    <chartFormat chart="10" format="4"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1"/>
          </reference>
        </references>
      </pivotArea>
    </chartFormat>
    <chartFormat chart="10" format="5" series="1">
      <pivotArea type="data" outline="0" fieldPosition="0">
        <references count="2">
          <reference field="4294967294" count="1" selected="0">
            <x v="0"/>
          </reference>
          <reference field="0" count="1" selected="0">
            <x v="3"/>
          </reference>
        </references>
      </pivotArea>
    </chartFormat>
    <chartFormat chart="8" format="2" series="1">
      <pivotArea type="data" outline="0" fieldPosition="0">
        <references count="2">
          <reference field="4294967294" count="1" selected="0">
            <x v="0"/>
          </reference>
          <reference field="0" count="1" selected="0">
            <x v="3"/>
          </reference>
        </references>
      </pivotArea>
    </chartFormat>
    <chartFormat chart="10" format="6" series="1">
      <pivotArea type="data" outline="0" fieldPosition="0">
        <references count="2">
          <reference field="4294967294" count="1" selected="0">
            <x v="0"/>
          </reference>
          <reference field="0" count="1" selected="0">
            <x v="4"/>
          </reference>
        </references>
      </pivotArea>
    </chartFormat>
    <chartFormat chart="8" format="3" series="1">
      <pivotArea type="data" outline="0" fieldPosition="0">
        <references count="2">
          <reference field="4294967294" count="1" selected="0">
            <x v="0"/>
          </reference>
          <reference field="0" count="1" selected="0">
            <x v="4"/>
          </reference>
        </references>
      </pivotArea>
    </chartFormat>
    <chartFormat chart="8" format="4">
      <pivotArea type="data" outline="0" fieldPosition="0">
        <references count="3">
          <reference field="4294967294" count="1" selected="0">
            <x v="0"/>
          </reference>
          <reference field="0" count="1" selected="0">
            <x v="0"/>
          </reference>
          <reference field="1" count="1" selected="0">
            <x v="4"/>
          </reference>
        </references>
      </pivotArea>
    </chartFormat>
    <chartFormat chart="8" format="5">
      <pivotArea type="data" outline="0" fieldPosition="0">
        <references count="3">
          <reference field="4294967294" count="1" selected="0">
            <x v="0"/>
          </reference>
          <reference field="0" count="1" selected="0">
            <x v="0"/>
          </reference>
          <reference field="1" count="1" selected="0">
            <x v="6"/>
          </reference>
        </references>
      </pivotArea>
    </chartFormat>
    <chartFormat chart="8" format="6" series="1">
      <pivotArea type="data" outline="0" fieldPosition="0">
        <references count="2">
          <reference field="4294967294" count="1" selected="0">
            <x v="0"/>
          </reference>
          <reference field="0" count="1" selected="0">
            <x v="2"/>
          </reference>
        </references>
      </pivotArea>
    </chartFormat>
    <chartFormat chart="12" format="10" series="1">
      <pivotArea type="data" outline="0" fieldPosition="0">
        <references count="2">
          <reference field="4294967294" count="1" selected="0">
            <x v="0"/>
          </reference>
          <reference field="0" count="1" selected="0">
            <x v="0"/>
          </reference>
        </references>
      </pivotArea>
    </chartFormat>
    <chartFormat chart="12" format="11">
      <pivotArea type="data" outline="0" fieldPosition="0">
        <references count="3">
          <reference field="4294967294" count="1" selected="0">
            <x v="0"/>
          </reference>
          <reference field="0" count="1" selected="0">
            <x v="0"/>
          </reference>
          <reference field="1" count="1" selected="0">
            <x v="4"/>
          </reference>
        </references>
      </pivotArea>
    </chartFormat>
    <chartFormat chart="12" format="12">
      <pivotArea type="data" outline="0" fieldPosition="0">
        <references count="3">
          <reference field="4294967294" count="1" selected="0">
            <x v="0"/>
          </reference>
          <reference field="0" count="1" selected="0">
            <x v="0"/>
          </reference>
          <reference field="1" count="1" selected="0">
            <x v="6"/>
          </reference>
        </references>
      </pivotArea>
    </chartFormat>
    <chartFormat chart="12" format="13" series="1">
      <pivotArea type="data" outline="0" fieldPosition="0">
        <references count="2">
          <reference field="4294967294" count="1" selected="0">
            <x v="0"/>
          </reference>
          <reference field="0" count="1" selected="0">
            <x v="1"/>
          </reference>
        </references>
      </pivotArea>
    </chartFormat>
    <chartFormat chart="12" format="14" series="1">
      <pivotArea type="data" outline="0" fieldPosition="0">
        <references count="2">
          <reference field="4294967294" count="1" selected="0">
            <x v="0"/>
          </reference>
          <reference field="0" count="1" selected="0">
            <x v="3"/>
          </reference>
        </references>
      </pivotArea>
    </chartFormat>
    <chartFormat chart="12" format="15" series="1">
      <pivotArea type="data" outline="0" fieldPosition="0">
        <references count="2">
          <reference field="4294967294" count="1" selected="0">
            <x v="0"/>
          </reference>
          <reference field="0" count="1" selected="0">
            <x v="4"/>
          </reference>
        </references>
      </pivotArea>
    </chartFormat>
    <chartFormat chart="12" format="16" series="1">
      <pivotArea type="data" outline="0" fieldPosition="0">
        <references count="2">
          <reference field="4294967294" count="1" selected="0">
            <x v="0"/>
          </reference>
          <reference field="0" count="1" selected="0">
            <x v="2"/>
          </reference>
        </references>
      </pivotArea>
    </chartFormat>
    <chartFormat chart="12" format="17">
      <pivotArea type="data" outline="0" fieldPosition="0">
        <references count="3">
          <reference field="4294967294" count="1" selected="0">
            <x v="0"/>
          </reference>
          <reference field="0" count="1" selected="0">
            <x v="3"/>
          </reference>
          <reference field="1" count="1" selected="0">
            <x v="4"/>
          </reference>
        </references>
      </pivotArea>
    </chartFormat>
    <chartFormat chart="12" format="18">
      <pivotArea type="data" outline="0" fieldPosition="0">
        <references count="3">
          <reference field="4294967294" count="1" selected="0">
            <x v="0"/>
          </reference>
          <reference field="0" count="1" selected="0">
            <x v="3"/>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96CB45-857E-4F5E-953C-4D9FEF0F8C17}"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J52:K62" firstHeaderRow="1" firstDataRow="1" firstDataCol="1" rowPageCount="1" colPageCount="1"/>
  <pivotFields count="17">
    <pivotField axis="axisRow" subtotalTop="0" showAll="0">
      <items count="10">
        <item x="0"/>
        <item x="1"/>
        <item x="2"/>
        <item x="3"/>
        <item x="4"/>
        <item x="5"/>
        <item x="6"/>
        <item x="7"/>
        <item x="8"/>
        <item t="default"/>
      </items>
    </pivotField>
    <pivotField axis="axisPage" subtotalTop="0" showAll="0">
      <items count="6">
        <item x="3"/>
        <item x="2"/>
        <item x="0"/>
        <item x="1"/>
        <item x="4"/>
        <item t="default"/>
      </items>
    </pivotField>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dataField="1"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s>
  <rowFields count="1">
    <field x="0"/>
  </rowFields>
  <rowItems count="10">
    <i>
      <x/>
    </i>
    <i>
      <x v="1"/>
    </i>
    <i>
      <x v="2"/>
    </i>
    <i>
      <x v="3"/>
    </i>
    <i>
      <x v="4"/>
    </i>
    <i>
      <x v="5"/>
    </i>
    <i>
      <x v="6"/>
    </i>
    <i>
      <x v="7"/>
    </i>
    <i>
      <x v="8"/>
    </i>
    <i t="grand">
      <x/>
    </i>
  </rowItems>
  <colItems count="1">
    <i/>
  </colItems>
  <pageFields count="1">
    <pageField fld="1" item="0" hier="-1"/>
  </pageFields>
  <dataFields count="1">
    <dataField name="Sum of DCF"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2B6838-564D-4BEE-903C-FC08A449D135}" name="PivotTable8"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A1:G12" firstHeaderRow="1" firstDataRow="3" firstDataCol="1"/>
  <pivotFields count="17">
    <pivotField axis="axisRow" subtotalTop="0" showAll="0">
      <items count="10">
        <item h="1" x="0"/>
        <item x="1"/>
        <item x="2"/>
        <item x="3"/>
        <item x="4"/>
        <item x="5"/>
        <item x="6"/>
        <item x="7"/>
        <item x="8"/>
        <item t="default"/>
      </items>
    </pivotField>
    <pivotField axis="axisCol" subtotalTop="0" showAll="0">
      <items count="6">
        <item x="3"/>
        <item h="1" x="2"/>
        <item h="1" x="0"/>
        <item h="1" x="1"/>
        <item h="1" x="4"/>
        <item t="default"/>
      </items>
    </pivotField>
    <pivotField dataField="1" numFmtId="164" subtotalTop="0" showAll="0"/>
    <pivotField numFmtId="164" subtotalTop="0" showAll="0"/>
    <pivotField numFmtId="164" subtotalTop="0" showAll="0"/>
    <pivotField numFmtId="164" subtotalTop="0" showAll="0"/>
    <pivotField dataField="1"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 numFmtId="164" subtotalTop="0" showAll="0"/>
  </pivotFields>
  <rowFields count="1">
    <field x="0"/>
  </rowFields>
  <rowItems count="9">
    <i>
      <x v="1"/>
    </i>
    <i>
      <x v="2"/>
    </i>
    <i>
      <x v="3"/>
    </i>
    <i>
      <x v="4"/>
    </i>
    <i>
      <x v="5"/>
    </i>
    <i>
      <x v="6"/>
    </i>
    <i>
      <x v="7"/>
    </i>
    <i>
      <x v="8"/>
    </i>
    <i t="grand">
      <x/>
    </i>
  </rowItems>
  <colFields count="2">
    <field x="-2"/>
    <field x="1"/>
  </colFields>
  <colItems count="6">
    <i>
      <x/>
      <x/>
    </i>
    <i i="1">
      <x v="1"/>
      <x/>
    </i>
    <i i="2">
      <x v="2"/>
      <x/>
    </i>
    <i t="grand">
      <x/>
    </i>
    <i t="grand" i="1">
      <x/>
    </i>
    <i t="grand" i="2">
      <x/>
    </i>
  </colItems>
  <dataFields count="3">
    <dataField name="Sales Revenue " fld="2" baseField="0" baseItem="1" numFmtId="164"/>
    <dataField name="Sales Revenue2 " fld="2" baseField="0" baseItem="1" numFmtId="164"/>
    <dataField name="EBIT" fld="6" baseField="0" baseItem="1" numFmtId="164"/>
  </dataFields>
  <chartFormats count="16">
    <chartFormat chart="13" format="15" series="1">
      <pivotArea type="data" outline="0" fieldPosition="0">
        <references count="2">
          <reference field="4294967294" count="1" selected="0">
            <x v="1"/>
          </reference>
          <reference field="1" count="1" selected="0">
            <x v="0"/>
          </reference>
        </references>
      </pivotArea>
    </chartFormat>
    <chartFormat chart="13" format="16" series="1">
      <pivotArea type="data" outline="0" fieldPosition="0">
        <references count="2">
          <reference field="4294967294" count="1" selected="0">
            <x v="2"/>
          </reference>
          <reference field="1" count="1" selected="0">
            <x v="0"/>
          </reference>
        </references>
      </pivotArea>
    </chartFormat>
    <chartFormat chart="13" format="17" series="1">
      <pivotArea type="data" outline="0" fieldPosition="0">
        <references count="2">
          <reference field="4294967294" count="1" selected="0">
            <x v="0"/>
          </reference>
          <reference field="1" count="1" selected="0">
            <x v="0"/>
          </reference>
        </references>
      </pivotArea>
    </chartFormat>
    <chartFormat chart="13" format="18" series="1">
      <pivotArea type="data" outline="0" fieldPosition="0">
        <references count="2">
          <reference field="4294967294" count="1" selected="0">
            <x v="0"/>
          </reference>
          <reference field="1" count="1" selected="0">
            <x v="1"/>
          </reference>
        </references>
      </pivotArea>
    </chartFormat>
    <chartFormat chart="13" format="19" series="1">
      <pivotArea type="data" outline="0" fieldPosition="0">
        <references count="2">
          <reference field="4294967294" count="1" selected="0">
            <x v="1"/>
          </reference>
          <reference field="1" count="1" selected="0">
            <x v="1"/>
          </reference>
        </references>
      </pivotArea>
    </chartFormat>
    <chartFormat chart="13" format="20" series="1">
      <pivotArea type="data" outline="0" fieldPosition="0">
        <references count="2">
          <reference field="4294967294" count="1" selected="0">
            <x v="2"/>
          </reference>
          <reference field="1" count="1" selected="0">
            <x v="1"/>
          </reference>
        </references>
      </pivotArea>
    </chartFormat>
    <chartFormat chart="13" format="21" series="1">
      <pivotArea type="data" outline="0" fieldPosition="0">
        <references count="2">
          <reference field="4294967294" count="1" selected="0">
            <x v="0"/>
          </reference>
          <reference field="1" count="1" selected="0">
            <x v="2"/>
          </reference>
        </references>
      </pivotArea>
    </chartFormat>
    <chartFormat chart="13" format="22" series="1">
      <pivotArea type="data" outline="0" fieldPosition="0">
        <references count="2">
          <reference field="4294967294" count="1" selected="0">
            <x v="1"/>
          </reference>
          <reference field="1" count="1" selected="0">
            <x v="2"/>
          </reference>
        </references>
      </pivotArea>
    </chartFormat>
    <chartFormat chart="13" format="23" series="1">
      <pivotArea type="data" outline="0" fieldPosition="0">
        <references count="2">
          <reference field="4294967294" count="1" selected="0">
            <x v="2"/>
          </reference>
          <reference field="1" count="1" selected="0">
            <x v="2"/>
          </reference>
        </references>
      </pivotArea>
    </chartFormat>
    <chartFormat chart="13" format="24" series="1">
      <pivotArea type="data" outline="0" fieldPosition="0">
        <references count="2">
          <reference field="4294967294" count="1" selected="0">
            <x v="0"/>
          </reference>
          <reference field="1" count="1" selected="0">
            <x v="3"/>
          </reference>
        </references>
      </pivotArea>
    </chartFormat>
    <chartFormat chart="13" format="25" series="1">
      <pivotArea type="data" outline="0" fieldPosition="0">
        <references count="2">
          <reference field="4294967294" count="1" selected="0">
            <x v="1"/>
          </reference>
          <reference field="1" count="1" selected="0">
            <x v="3"/>
          </reference>
        </references>
      </pivotArea>
    </chartFormat>
    <chartFormat chart="13" format="26" series="1">
      <pivotArea type="data" outline="0" fieldPosition="0">
        <references count="2">
          <reference field="4294967294" count="1" selected="0">
            <x v="2"/>
          </reference>
          <reference field="1" count="1" selected="0">
            <x v="3"/>
          </reference>
        </references>
      </pivotArea>
    </chartFormat>
    <chartFormat chart="13" format="27" series="1">
      <pivotArea type="data" outline="0" fieldPosition="0">
        <references count="2">
          <reference field="4294967294" count="1" selected="0">
            <x v="0"/>
          </reference>
          <reference field="1" count="1" selected="0">
            <x v="4"/>
          </reference>
        </references>
      </pivotArea>
    </chartFormat>
    <chartFormat chart="13" format="28" series="1">
      <pivotArea type="data" outline="0" fieldPosition="0">
        <references count="2">
          <reference field="4294967294" count="1" selected="0">
            <x v="1"/>
          </reference>
          <reference field="1" count="1" selected="0">
            <x v="4"/>
          </reference>
        </references>
      </pivotArea>
    </chartFormat>
    <chartFormat chart="13" format="29" series="1">
      <pivotArea type="data" outline="0" fieldPosition="0">
        <references count="2">
          <reference field="4294967294" count="1" selected="0">
            <x v="2"/>
          </reference>
          <reference field="1" count="1" selected="0">
            <x v="4"/>
          </reference>
        </references>
      </pivotArea>
    </chartFormat>
    <chartFormat chart="13" format="30">
      <pivotArea type="data" outline="0" fieldPosition="0">
        <references count="3">
          <reference field="4294967294" count="1" selected="0">
            <x v="0"/>
          </reference>
          <reference field="0" count="1" selected="0">
            <x v="8"/>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2E41E1-FC58-49C7-A9C9-75DB87F7349F}" sourceName="Year">
  <pivotTables>
    <pivotTable tabId="20" name="PivotTable1"/>
  </pivotTables>
  <data>
    <tabular pivotCacheId="499507641">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1" xr10:uid="{94599254-3D3F-4E52-9ADC-BA2A7EBACDF9}" sourceName="Company">
  <pivotTables>
    <pivotTable tabId="20" name="PivotTable7"/>
    <pivotTable tabId="20" name="PivotTable17"/>
  </pivotTables>
  <data>
    <tabular pivotCacheId="1423201255">
      <items count="5">
        <i x="3" s="1"/>
        <i x="2"/>
        <i x="0"/>
        <i x="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3" xr10:uid="{2CE51E8F-1CB7-427F-B167-68F8EB83E259}" sourceName="Company">
  <pivotTables>
    <pivotTable tabId="20" name="PivotTable2"/>
    <pivotTable tabId="22" name="PivotTable8"/>
  </pivotTables>
  <data>
    <tabular pivotCacheId="499507641">
      <items count="5">
        <i x="3" s="1"/>
        <i x="2"/>
        <i x="0"/>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BE85BE8-17F8-40F9-9E29-BC6586A99D58}" cache="Slicer_Year" caption="Figure 4" columnCount="3" style="SlicerStyleLight1 2" rowHeight="365760"/>
  <slicer name="Company 2" xr10:uid="{C1278999-A855-4DA0-B36F-08A3F5058B40}" cache="Slicer_Company1" caption="Company" showCaption="0" style="SlicerStyleLight1 2" rowHeight="457200"/>
  <slicer name="Company 1" xr10:uid="{A39385DE-04ED-43FE-B7C1-626388EAFACF}" cache="Slicer_Company3" caption="Company" showCaption="0" style="SlicerStyleLight1 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3" xr10:uid="{9AADC62A-DA4C-4138-B06A-9594DE5D6CBF}" cache="Slicer_Company3" caption="Compan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9AE2A2-0B04-476A-80E8-00C5D30974D2}" name="Table1" displayName="Table1" ref="B2:R47" totalsRowShown="0" headerRowDxfId="43" dataDxfId="42">
  <autoFilter ref="B2:R47" xr:uid="{DA9AE2A2-0B04-476A-80E8-00C5D30974D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2D2DCD4D-6327-4999-BEA6-C9BA434B14BF}" name="Year" dataDxfId="41"/>
    <tableColumn id="2" xr3:uid="{96030488-A3CB-4CE7-9D49-D24B5DE8DBDE}" name="Company" dataDxfId="40"/>
    <tableColumn id="3" xr3:uid="{7AEF6F0F-3251-4A6D-B745-B2573E07E41C}" name="Sales Revenue" dataDxfId="39"/>
    <tableColumn id="4" xr3:uid="{9C8ED8B0-B916-4C40-B97E-BEC1FDABA94E}" name="Costs of Goods Sold" dataDxfId="38"/>
    <tableColumn id="5" xr3:uid="{AA8B741F-B03D-4386-AB27-6E2CDF6C1A87}" name="Gross Profits" dataDxfId="37"/>
    <tableColumn id="6" xr3:uid="{2706815B-2087-4725-AC40-C5C03002BE41}" name="Fixed operating costs" dataDxfId="36"/>
    <tableColumn id="7" xr3:uid="{B012CC7D-1D0A-4412-A77D-ABCF0C8A17EA}" name="EBIT " dataDxfId="35"/>
    <tableColumn id="8" xr3:uid="{4EB7FF86-8216-45C9-AFCA-15813B5422F3}" name="Net Operating Profit " dataDxfId="34"/>
    <tableColumn id="9" xr3:uid="{516334FE-2D63-4FD9-81D7-AEA8F1E9E2DF}" name="Net Cash Flow " dataDxfId="33"/>
    <tableColumn id="10" xr3:uid="{08A790D9-6A5C-4B4C-B0F8-737C7185BDE8}" name="DCF" dataDxfId="32"/>
    <tableColumn id="11" xr3:uid="{80CD933D-151E-43E0-A9D6-A3D9AE472B95}" name="Maintenance &amp; Cleaning" dataDxfId="31"/>
    <tableColumn id="12" xr3:uid="{B00FE803-01F8-4316-9169-281700C51A5E}" name="Electric" dataDxfId="30"/>
    <tableColumn id="14" xr3:uid="{C0A310FC-762F-4CA7-8202-051AD92D556C}" name="Garbage" dataDxfId="29"/>
    <tableColumn id="13" xr3:uid="{FCBB1519-2EAE-45AE-9882-DF5FE0D78F55}" name="Gas" dataDxfId="28"/>
    <tableColumn id="15" xr3:uid="{6C4F5DA3-E6B8-4067-A27D-B3BAF58F7C0D}" name="Insurance" dataDxfId="27"/>
    <tableColumn id="16" xr3:uid="{A5B0816F-7E4F-4234-BD64-C06B7CEDDD87}" name="Labor" dataDxfId="26"/>
    <tableColumn id="17" xr3:uid="{EB601A93-0230-4608-AF6E-EDBC93C1A10C}" name="Telephone"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A5F2C8-ADB6-489C-8930-2541234A300D}" name="Table6" displayName="Table6" ref="B50:D85" totalsRowShown="0" headerRowDxfId="24" dataDxfId="23" tableBorderDxfId="22">
  <autoFilter ref="B50:D85" xr:uid="{A4A5F2C8-ADB6-489C-8930-2541234A300D}"/>
  <tableColumns count="3">
    <tableColumn id="1" xr3:uid="{F36664F9-DCDB-40CB-8FD2-BC86D0B3D1A7}" name="Company" dataDxfId="21"/>
    <tableColumn id="2" xr3:uid="{885C2A6B-5CC1-47D2-AA65-0FD1C438333A}" name="Category" dataDxfId="20"/>
    <tableColumn id="3" xr3:uid="{3A4BF91B-6581-46A7-802B-5BC81712B9E8}" name="Amount" dataDxfId="1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B7A49F-36BC-46FE-A312-62F588F101EF}" name="Table2" displayName="Table2" ref="J69:O78" totalsRowShown="0" headerRowDxfId="18" dataDxfId="17" tableBorderDxfId="16">
  <autoFilter ref="J69:O78" xr:uid="{3DB7A49F-36BC-46FE-A312-62F588F101EF}"/>
  <tableColumns count="6">
    <tableColumn id="1" xr3:uid="{435D7968-8D1C-487B-89B5-1A2C0D212B05}" name="Year"/>
    <tableColumn id="2" xr3:uid="{DA0CD1BA-F1BF-44C3-947A-B94ECADF53D8}" name="Action" dataDxfId="15">
      <calculatedColumnFormula>GETPIVOTDATA("DCF",$J$52,"Year",J70,"Company",K$69)</calculatedColumnFormula>
    </tableColumn>
    <tableColumn id="3" xr3:uid="{92D4ED45-4BDF-492E-BB3B-A54AED386326}" name="Craft" dataDxfId="14">
      <calculatedColumnFormula>GETPIVOTDATA("DCF",$J$52,"Year",J70,"Company",L$69)</calculatedColumnFormula>
    </tableColumn>
    <tableColumn id="4" xr3:uid="{F831C4A0-28D4-478C-8A08-2EC051CC16EB}" name="Family" dataDxfId="13">
      <calculatedColumnFormula>GETPIVOTDATA("DCF",$J$52,"Year",J70,"Company",M$69)</calculatedColumnFormula>
    </tableColumn>
    <tableColumn id="5" xr3:uid="{E301B5B9-6924-490C-9CAB-21468922D0E6}" name="RPG" dataDxfId="12">
      <calculatedColumnFormula>GETPIVOTDATA("DCF",$J$52,"Year",J70,"Company",N$69)</calculatedColumnFormula>
    </tableColumn>
    <tableColumn id="6" xr3:uid="{5B8A1869-194C-43F6-A6AB-C56943EEF21F}" name="Starting New" dataDxfId="11">
      <calculatedColumnFormula>GETPIVOTDATA("DCF",$J$52,"Year",J70,"Company",O$69)</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DCC82F-ECD1-4500-98AD-59791E08375A}" name="Table5" displayName="Table5" ref="J80:S85" totalsRowShown="0" headerRowDxfId="10" tableBorderDxfId="9">
  <autoFilter ref="J80:S85" xr:uid="{2FDCC82F-ECD1-4500-98AD-59791E08375A}"/>
  <tableColumns count="10">
    <tableColumn id="1" xr3:uid="{703AC2A4-09AA-4234-8C8D-B9391CFB0795}" name="Company"/>
    <tableColumn id="2" xr3:uid="{1133D9E5-A179-4B77-945A-DE33EDAD2C3A}" name="0" dataDxfId="8">
      <calculatedColumnFormula>GETPIVOTDATA("DCF",$J$52,"Year",Table5[[#Headers],[0]],"Company",$J81)</calculatedColumnFormula>
    </tableColumn>
    <tableColumn id="3" xr3:uid="{A1CF2941-FC94-4F86-ACFF-2AD554DCDEA0}" name="1" dataDxfId="7">
      <calculatedColumnFormula>GETPIVOTDATA("DCF",$J$52,"Year",Table5[[#Headers],[1]],"Company",$J81)</calculatedColumnFormula>
    </tableColumn>
    <tableColumn id="4" xr3:uid="{008008AB-36E0-4895-982C-4EEED6823BE7}" name="2" dataDxfId="6">
      <calculatedColumnFormula>GETPIVOTDATA("DCF",$J$52,"Year",Table5[[#Headers],[2]],"Company",$J81)</calculatedColumnFormula>
    </tableColumn>
    <tableColumn id="5" xr3:uid="{8E550024-3ACA-49F3-8FBC-46C42ADCB39E}" name="3" dataDxfId="5">
      <calculatedColumnFormula>GETPIVOTDATA("DCF",$J$52,"Year",Table5[[#Headers],[3]],"Company",$J81)</calculatedColumnFormula>
    </tableColumn>
    <tableColumn id="6" xr3:uid="{C01FF268-AD03-4CC5-B340-E08EDD191456}" name="4" dataDxfId="4">
      <calculatedColumnFormula>GETPIVOTDATA("DCF",$J$52,"Year",Table5[[#Headers],[4]],"Company",$J81)</calculatedColumnFormula>
    </tableColumn>
    <tableColumn id="7" xr3:uid="{8A59C3E4-592C-4B01-BD85-86F0C0928B8B}" name="5" dataDxfId="3">
      <calculatedColumnFormula>GETPIVOTDATA("DCF",$J$52,"Year",Table5[[#Headers],[5]],"Company",$J81)</calculatedColumnFormula>
    </tableColumn>
    <tableColumn id="8" xr3:uid="{32D3217B-C9EA-4503-82AB-54BA76CB4C42}" name="6" dataDxfId="2">
      <calculatedColumnFormula>GETPIVOTDATA("DCF",$J$52,"Year",Table5[[#Headers],[6]],"Company",$J81)</calculatedColumnFormula>
    </tableColumn>
    <tableColumn id="9" xr3:uid="{080D3CF3-59BA-4AC7-AB3E-CD05160C1844}" name="7" dataDxfId="1">
      <calculatedColumnFormula>GETPIVOTDATA("DCF",$J$52,"Year",Table5[[#Headers],[7]],"Company",$J81)</calculatedColumnFormula>
    </tableColumn>
    <tableColumn id="10" xr3:uid="{0EBA83AD-0DD4-456B-A192-6972ADBEFD1E}" name="8" dataDxfId="0">
      <calculatedColumnFormula>GETPIVOTDATA("DCF",$J$52,"Year",Table5[[#Headers],[8]],"Company",$J81)</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4.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9.bin"/><Relationship Id="rId11" Type="http://schemas.openxmlformats.org/officeDocument/2006/relationships/table" Target="../tables/table4.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9D05-B85A-46B7-8D4E-CBE61F59EE8F}">
  <sheetPr codeName="Sheet1">
    <pageSetUpPr fitToPage="1"/>
  </sheetPr>
  <dimension ref="M2:BA80"/>
  <sheetViews>
    <sheetView tabSelected="1" topLeftCell="D1" zoomScale="36" zoomScaleNormal="40" zoomScaleSheetLayoutView="25" workbookViewId="0">
      <selection activeCell="BC77" sqref="BC77"/>
    </sheetView>
  </sheetViews>
  <sheetFormatPr defaultColWidth="10.6640625" defaultRowHeight="13.8" x14ac:dyDescent="0.25"/>
  <cols>
    <col min="1" max="18" width="10.6640625" style="44"/>
    <col min="19" max="19" width="10.6640625" style="44" customWidth="1"/>
    <col min="20" max="16384" width="10.6640625" style="44"/>
  </cols>
  <sheetData>
    <row r="2" spans="13:53" ht="14.4" thickBot="1" x14ac:dyDescent="0.3"/>
    <row r="3" spans="13:53" ht="35.4" x14ac:dyDescent="0.6">
      <c r="M3" s="45" t="s">
        <v>39</v>
      </c>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7"/>
    </row>
    <row r="4" spans="13:53" x14ac:dyDescent="0.25">
      <c r="M4" s="48"/>
      <c r="N4" s="172"/>
      <c r="O4" s="172"/>
      <c r="P4" s="172"/>
      <c r="Q4" s="172"/>
      <c r="R4" s="172"/>
      <c r="S4" s="172"/>
      <c r="T4" s="172"/>
      <c r="U4" s="172"/>
      <c r="V4" s="172"/>
      <c r="W4" s="172"/>
      <c r="X4" s="172"/>
      <c r="Y4" s="172"/>
      <c r="Z4" s="172"/>
      <c r="AA4" s="172"/>
      <c r="AB4" s="172"/>
      <c r="AC4" s="172"/>
      <c r="AD4" s="172"/>
      <c r="AE4" s="172"/>
      <c r="AF4" s="172"/>
      <c r="AG4" s="172"/>
      <c r="AH4" s="172"/>
      <c r="AI4" s="172"/>
      <c r="AJ4" s="172"/>
      <c r="AK4" s="172"/>
      <c r="AL4" s="172"/>
      <c r="AM4" s="172"/>
      <c r="AN4" s="172"/>
      <c r="AO4" s="172"/>
      <c r="AP4" s="172"/>
      <c r="AQ4" s="172"/>
      <c r="AR4" s="172"/>
      <c r="AS4" s="172"/>
      <c r="AT4" s="172"/>
      <c r="AU4" s="172"/>
      <c r="AV4" s="172"/>
      <c r="AW4" s="172"/>
      <c r="AX4" s="172"/>
      <c r="AY4" s="172"/>
      <c r="AZ4" s="172"/>
      <c r="BA4" s="49"/>
    </row>
    <row r="5" spans="13:53" x14ac:dyDescent="0.25">
      <c r="M5" s="48"/>
      <c r="N5" s="172"/>
      <c r="O5" s="172"/>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49"/>
    </row>
    <row r="6" spans="13:53" x14ac:dyDescent="0.25">
      <c r="M6" s="48"/>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c r="AO6" s="172"/>
      <c r="AP6" s="172"/>
      <c r="AQ6" s="172"/>
      <c r="AR6" s="172"/>
      <c r="AS6" s="172"/>
      <c r="AT6" s="172"/>
      <c r="AU6" s="172"/>
      <c r="AV6" s="172"/>
      <c r="AW6" s="172"/>
      <c r="AX6" s="172"/>
      <c r="AY6" s="172"/>
      <c r="AZ6" s="172"/>
      <c r="BA6" s="49"/>
    </row>
    <row r="7" spans="13:53" x14ac:dyDescent="0.25">
      <c r="M7" s="48"/>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49"/>
    </row>
    <row r="8" spans="13:53" x14ac:dyDescent="0.25">
      <c r="M8" s="48"/>
      <c r="N8" s="172"/>
      <c r="O8" s="172"/>
      <c r="P8" s="172"/>
      <c r="Q8" s="172"/>
      <c r="R8" s="172"/>
      <c r="S8" s="172"/>
      <c r="T8" s="172"/>
      <c r="U8" s="172"/>
      <c r="V8" s="172"/>
      <c r="W8" s="172"/>
      <c r="X8" s="172"/>
      <c r="Y8" s="172"/>
      <c r="Z8" s="172"/>
      <c r="AA8" s="172"/>
      <c r="AB8" s="172"/>
      <c r="AC8" s="172"/>
      <c r="AD8" s="172"/>
      <c r="AE8" s="172"/>
      <c r="AF8" s="172"/>
      <c r="AG8" s="172"/>
      <c r="AH8" s="172"/>
      <c r="AI8" s="172"/>
      <c r="AJ8" s="172"/>
      <c r="AK8" s="172"/>
      <c r="AL8" s="172"/>
      <c r="AM8" s="172"/>
      <c r="AN8" s="172"/>
      <c r="AO8" s="172"/>
      <c r="AP8" s="172"/>
      <c r="AQ8" s="172"/>
      <c r="AR8" s="172"/>
      <c r="AS8" s="172"/>
      <c r="AT8" s="172"/>
      <c r="AU8" s="172"/>
      <c r="AV8" s="172"/>
      <c r="AW8" s="172"/>
      <c r="AX8" s="172"/>
      <c r="AY8" s="172"/>
      <c r="AZ8" s="172"/>
      <c r="BA8" s="49"/>
    </row>
    <row r="9" spans="13:53" x14ac:dyDescent="0.25">
      <c r="M9" s="48"/>
      <c r="N9" s="172"/>
      <c r="O9" s="172"/>
      <c r="P9" s="172"/>
      <c r="Q9" s="172"/>
      <c r="R9" s="172"/>
      <c r="S9" s="172"/>
      <c r="T9" s="172"/>
      <c r="U9" s="172"/>
      <c r="V9" s="172"/>
      <c r="W9" s="172"/>
      <c r="X9" s="172"/>
      <c r="Y9" s="172"/>
      <c r="Z9" s="172"/>
      <c r="AA9" s="172"/>
      <c r="AB9" s="172"/>
      <c r="AC9" s="172"/>
      <c r="AD9" s="172"/>
      <c r="AE9" s="172"/>
      <c r="AF9" s="172"/>
      <c r="AG9" s="172"/>
      <c r="AH9" s="172"/>
      <c r="AI9" s="172"/>
      <c r="AJ9" s="172"/>
      <c r="AK9" s="172"/>
      <c r="AL9" s="172"/>
      <c r="AM9" s="172"/>
      <c r="AN9" s="172"/>
      <c r="AO9" s="172"/>
      <c r="AP9" s="172"/>
      <c r="AQ9" s="172"/>
      <c r="AR9" s="172"/>
      <c r="AS9" s="172"/>
      <c r="AT9" s="172"/>
      <c r="AU9" s="172"/>
      <c r="AV9" s="172"/>
      <c r="AW9" s="172"/>
      <c r="AX9" s="172"/>
      <c r="AY9" s="172"/>
      <c r="AZ9" s="172"/>
      <c r="BA9" s="49"/>
    </row>
    <row r="10" spans="13:53" x14ac:dyDescent="0.25">
      <c r="M10" s="48"/>
      <c r="N10" s="172"/>
      <c r="O10" s="172"/>
      <c r="P10" s="172"/>
      <c r="Q10" s="172"/>
      <c r="R10" s="172"/>
      <c r="S10" s="172"/>
      <c r="T10" s="172"/>
      <c r="U10" s="172"/>
      <c r="V10" s="172"/>
      <c r="W10" s="172"/>
      <c r="X10" s="172"/>
      <c r="Y10" s="172"/>
      <c r="Z10" s="172"/>
      <c r="AA10" s="172"/>
      <c r="AB10" s="172"/>
      <c r="AC10" s="172"/>
      <c r="AD10" s="172"/>
      <c r="AE10" s="172"/>
      <c r="AF10" s="172"/>
      <c r="AG10" s="172"/>
      <c r="AH10" s="172"/>
      <c r="AI10" s="172"/>
      <c r="AJ10" s="172"/>
      <c r="AK10" s="172"/>
      <c r="AL10" s="172"/>
      <c r="AM10" s="172"/>
      <c r="AN10" s="172"/>
      <c r="AO10" s="172"/>
      <c r="AP10" s="172"/>
      <c r="AQ10" s="172"/>
      <c r="AR10" s="172"/>
      <c r="AS10" s="172"/>
      <c r="AT10" s="172"/>
      <c r="AU10" s="172"/>
      <c r="AV10" s="172"/>
      <c r="AW10" s="172"/>
      <c r="AX10" s="172"/>
      <c r="AY10" s="172"/>
      <c r="AZ10" s="172"/>
      <c r="BA10" s="49"/>
    </row>
    <row r="11" spans="13:53" x14ac:dyDescent="0.25">
      <c r="M11" s="48"/>
      <c r="N11" s="172"/>
      <c r="O11" s="172"/>
      <c r="P11" s="172"/>
      <c r="Q11" s="172"/>
      <c r="R11" s="172"/>
      <c r="S11" s="172"/>
      <c r="T11" s="172"/>
      <c r="U11" s="172"/>
      <c r="V11" s="172"/>
      <c r="W11" s="172"/>
      <c r="X11" s="172"/>
      <c r="Y11" s="172"/>
      <c r="Z11" s="172"/>
      <c r="AA11" s="172"/>
      <c r="AB11" s="172"/>
      <c r="AC11" s="172"/>
      <c r="AD11" s="172"/>
      <c r="AE11" s="172"/>
      <c r="AF11" s="172"/>
      <c r="AG11" s="172"/>
      <c r="AH11" s="172"/>
      <c r="AI11" s="172"/>
      <c r="AJ11" s="172"/>
      <c r="AK11" s="172"/>
      <c r="AL11" s="172"/>
      <c r="AM11" s="172"/>
      <c r="AN11" s="172"/>
      <c r="AO11" s="172"/>
      <c r="AP11" s="172"/>
      <c r="AQ11" s="172"/>
      <c r="AR11" s="172"/>
      <c r="AS11" s="172"/>
      <c r="AT11" s="172"/>
      <c r="AU11" s="172"/>
      <c r="AV11" s="172"/>
      <c r="AW11" s="172"/>
      <c r="AX11" s="172"/>
      <c r="AY11" s="172"/>
      <c r="AZ11" s="172"/>
      <c r="BA11" s="49"/>
    </row>
    <row r="12" spans="13:53" x14ac:dyDescent="0.25">
      <c r="M12" s="48"/>
      <c r="N12" s="172"/>
      <c r="O12" s="172"/>
      <c r="P12" s="172"/>
      <c r="Q12" s="172"/>
      <c r="R12" s="172"/>
      <c r="S12" s="172"/>
      <c r="T12" s="172"/>
      <c r="U12" s="172"/>
      <c r="V12" s="172"/>
      <c r="W12" s="172"/>
      <c r="X12" s="172"/>
      <c r="Y12" s="172"/>
      <c r="Z12" s="172"/>
      <c r="AA12" s="172"/>
      <c r="AB12" s="172"/>
      <c r="AC12" s="172"/>
      <c r="AD12" s="172"/>
      <c r="AE12" s="172"/>
      <c r="AF12" s="172"/>
      <c r="AG12" s="172"/>
      <c r="AH12" s="172"/>
      <c r="AI12" s="172"/>
      <c r="AJ12" s="172"/>
      <c r="AK12" s="172"/>
      <c r="AL12" s="172"/>
      <c r="AM12" s="172"/>
      <c r="AN12" s="172"/>
      <c r="AO12" s="172"/>
      <c r="AP12" s="172"/>
      <c r="AQ12" s="172"/>
      <c r="AR12" s="172"/>
      <c r="AS12" s="172"/>
      <c r="AT12" s="172"/>
      <c r="AU12" s="172"/>
      <c r="AV12" s="172"/>
      <c r="AW12" s="172"/>
      <c r="AX12" s="172"/>
      <c r="AY12" s="172"/>
      <c r="AZ12" s="172"/>
      <c r="BA12" s="49"/>
    </row>
    <row r="13" spans="13:53" x14ac:dyDescent="0.25">
      <c r="M13" s="48"/>
      <c r="N13" s="172"/>
      <c r="O13" s="172"/>
      <c r="P13" s="172"/>
      <c r="Q13" s="172"/>
      <c r="R13" s="172"/>
      <c r="S13" s="172"/>
      <c r="T13" s="172"/>
      <c r="U13" s="172"/>
      <c r="V13" s="172"/>
      <c r="W13" s="172"/>
      <c r="X13" s="172"/>
      <c r="Y13" s="172"/>
      <c r="Z13" s="172"/>
      <c r="AA13" s="172"/>
      <c r="AB13" s="172"/>
      <c r="AC13" s="172"/>
      <c r="AD13" s="172"/>
      <c r="AE13" s="172"/>
      <c r="AF13" s="172"/>
      <c r="AG13" s="172"/>
      <c r="AH13" s="172"/>
      <c r="AI13" s="172"/>
      <c r="AJ13" s="172"/>
      <c r="AK13" s="172"/>
      <c r="AL13" s="172"/>
      <c r="AM13" s="172"/>
      <c r="AN13" s="172"/>
      <c r="AO13" s="172"/>
      <c r="AP13" s="172"/>
      <c r="AQ13" s="172"/>
      <c r="AR13" s="172"/>
      <c r="AS13" s="172"/>
      <c r="AT13" s="172"/>
      <c r="AU13" s="172"/>
      <c r="AV13" s="172"/>
      <c r="AW13" s="172"/>
      <c r="AX13" s="172"/>
      <c r="AY13" s="172"/>
      <c r="AZ13" s="172"/>
      <c r="BA13" s="49"/>
    </row>
    <row r="14" spans="13:53" x14ac:dyDescent="0.25">
      <c r="M14" s="48"/>
      <c r="N14" s="172"/>
      <c r="O14" s="172"/>
      <c r="P14" s="172"/>
      <c r="Q14" s="172"/>
      <c r="R14" s="172"/>
      <c r="S14" s="172"/>
      <c r="T14" s="172"/>
      <c r="U14" s="172"/>
      <c r="V14" s="172"/>
      <c r="W14" s="172"/>
      <c r="X14" s="172"/>
      <c r="Y14" s="172"/>
      <c r="Z14" s="172"/>
      <c r="AA14" s="172"/>
      <c r="AB14" s="172"/>
      <c r="AC14" s="172"/>
      <c r="AD14" s="172"/>
      <c r="AE14" s="172"/>
      <c r="AF14" s="172"/>
      <c r="AG14" s="172"/>
      <c r="AH14" s="172"/>
      <c r="AI14" s="172"/>
      <c r="AJ14" s="172"/>
      <c r="AK14" s="172"/>
      <c r="AL14" s="172"/>
      <c r="AM14" s="172"/>
      <c r="AN14" s="172"/>
      <c r="AO14" s="172"/>
      <c r="AP14" s="172"/>
      <c r="AQ14" s="172"/>
      <c r="AR14" s="172"/>
      <c r="AS14" s="172"/>
      <c r="AT14" s="172"/>
      <c r="AU14" s="172"/>
      <c r="AV14" s="172"/>
      <c r="AW14" s="172"/>
      <c r="AX14" s="172"/>
      <c r="AY14" s="172"/>
      <c r="AZ14" s="172"/>
      <c r="BA14" s="49"/>
    </row>
    <row r="15" spans="13:53" x14ac:dyDescent="0.25">
      <c r="M15" s="48"/>
      <c r="N15" s="172"/>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72"/>
      <c r="AV15" s="172"/>
      <c r="AW15" s="172"/>
      <c r="AX15" s="172"/>
      <c r="AY15" s="172"/>
      <c r="AZ15" s="172"/>
      <c r="BA15" s="49"/>
    </row>
    <row r="16" spans="13:53" x14ac:dyDescent="0.25">
      <c r="M16" s="48"/>
      <c r="N16" s="172"/>
      <c r="O16" s="172"/>
      <c r="P16" s="172"/>
      <c r="Q16" s="172"/>
      <c r="R16" s="172"/>
      <c r="S16" s="172"/>
      <c r="T16" s="172"/>
      <c r="U16" s="172"/>
      <c r="V16" s="172"/>
      <c r="W16" s="172"/>
      <c r="X16" s="172"/>
      <c r="Y16" s="172"/>
      <c r="Z16" s="172"/>
      <c r="AA16" s="172"/>
      <c r="AB16" s="172"/>
      <c r="AC16" s="172"/>
      <c r="AD16" s="172"/>
      <c r="AE16" s="172"/>
      <c r="AF16" s="172"/>
      <c r="AG16" s="172"/>
      <c r="AH16" s="172"/>
      <c r="AI16" s="172"/>
      <c r="AJ16" s="172"/>
      <c r="AK16" s="172"/>
      <c r="AL16" s="172"/>
      <c r="AM16" s="172"/>
      <c r="AN16" s="172"/>
      <c r="AO16" s="172"/>
      <c r="AP16" s="172"/>
      <c r="AQ16" s="172"/>
      <c r="AR16" s="172"/>
      <c r="AS16" s="172"/>
      <c r="AT16" s="172"/>
      <c r="AU16" s="172"/>
      <c r="AV16" s="172"/>
      <c r="AW16" s="172"/>
      <c r="AX16" s="172"/>
      <c r="AY16" s="172"/>
      <c r="AZ16" s="172"/>
      <c r="BA16" s="49"/>
    </row>
    <row r="17" spans="13:53" x14ac:dyDescent="0.25">
      <c r="M17" s="48"/>
      <c r="N17" s="172"/>
      <c r="O17" s="172"/>
      <c r="P17" s="172"/>
      <c r="Q17" s="172"/>
      <c r="R17" s="172"/>
      <c r="S17" s="172"/>
      <c r="T17" s="172"/>
      <c r="U17" s="172"/>
      <c r="V17" s="172"/>
      <c r="W17" s="172"/>
      <c r="X17" s="172"/>
      <c r="Y17" s="172"/>
      <c r="Z17" s="172"/>
      <c r="AA17" s="172"/>
      <c r="AB17" s="172"/>
      <c r="AC17" s="172"/>
      <c r="AD17" s="172"/>
      <c r="AE17" s="172"/>
      <c r="AF17" s="172"/>
      <c r="AG17" s="172"/>
      <c r="AH17" s="172"/>
      <c r="AI17" s="172"/>
      <c r="AJ17" s="172"/>
      <c r="AK17" s="172"/>
      <c r="AL17" s="172"/>
      <c r="AM17" s="172"/>
      <c r="AN17" s="172"/>
      <c r="AO17" s="172"/>
      <c r="AP17" s="172"/>
      <c r="AQ17" s="172"/>
      <c r="AR17" s="172"/>
      <c r="AS17" s="172"/>
      <c r="AT17" s="172"/>
      <c r="AU17" s="172"/>
      <c r="AV17" s="172"/>
      <c r="AW17" s="172"/>
      <c r="AX17" s="172"/>
      <c r="AY17" s="172"/>
      <c r="AZ17" s="172"/>
      <c r="BA17" s="49"/>
    </row>
    <row r="18" spans="13:53" x14ac:dyDescent="0.25">
      <c r="M18" s="48"/>
      <c r="N18" s="172"/>
      <c r="O18" s="172"/>
      <c r="P18" s="172"/>
      <c r="Q18" s="172"/>
      <c r="R18" s="172"/>
      <c r="S18" s="172"/>
      <c r="T18" s="172"/>
      <c r="U18" s="172"/>
      <c r="V18" s="172"/>
      <c r="W18" s="172"/>
      <c r="X18" s="172"/>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c r="AX18" s="172"/>
      <c r="AY18" s="172"/>
      <c r="AZ18" s="172"/>
      <c r="BA18" s="49"/>
    </row>
    <row r="19" spans="13:53" x14ac:dyDescent="0.25">
      <c r="M19" s="48"/>
      <c r="N19" s="172"/>
      <c r="O19" s="172"/>
      <c r="P19" s="172"/>
      <c r="Q19" s="172"/>
      <c r="R19" s="172"/>
      <c r="S19" s="172"/>
      <c r="T19" s="172"/>
      <c r="U19" s="172"/>
      <c r="V19" s="172"/>
      <c r="W19" s="172"/>
      <c r="X19" s="172"/>
      <c r="Y19" s="172"/>
      <c r="Z19" s="172"/>
      <c r="AA19" s="172"/>
      <c r="AB19" s="172"/>
      <c r="AC19" s="172"/>
      <c r="AD19" s="172"/>
      <c r="AE19" s="172"/>
      <c r="AF19" s="172"/>
      <c r="AG19" s="172"/>
      <c r="AH19" s="172"/>
      <c r="AI19" s="172"/>
      <c r="AJ19" s="172"/>
      <c r="AK19" s="172"/>
      <c r="AL19" s="172"/>
      <c r="AM19" s="172"/>
      <c r="AN19" s="172"/>
      <c r="AO19" s="172"/>
      <c r="AP19" s="172"/>
      <c r="AQ19" s="172"/>
      <c r="AR19" s="172"/>
      <c r="AS19" s="172"/>
      <c r="AT19" s="172"/>
      <c r="AU19" s="172"/>
      <c r="AV19" s="172"/>
      <c r="AW19" s="172"/>
      <c r="AX19" s="172"/>
      <c r="AY19" s="172"/>
      <c r="AZ19" s="172"/>
      <c r="BA19" s="49"/>
    </row>
    <row r="20" spans="13:53" x14ac:dyDescent="0.25">
      <c r="M20" s="48"/>
      <c r="N20" s="172"/>
      <c r="O20" s="172"/>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c r="AT20" s="172"/>
      <c r="AU20" s="172"/>
      <c r="AV20" s="172"/>
      <c r="AW20" s="172"/>
      <c r="AX20" s="172"/>
      <c r="AY20" s="172"/>
      <c r="AZ20" s="172"/>
      <c r="BA20" s="49"/>
    </row>
    <row r="21" spans="13:53" x14ac:dyDescent="0.25">
      <c r="M21" s="48"/>
      <c r="N21" s="172"/>
      <c r="O21" s="172"/>
      <c r="P21" s="172"/>
      <c r="Q21" s="172"/>
      <c r="R21" s="172"/>
      <c r="S21" s="172"/>
      <c r="T21" s="172"/>
      <c r="U21" s="172"/>
      <c r="V21" s="172"/>
      <c r="W21" s="172"/>
      <c r="X21" s="172"/>
      <c r="Y21" s="172"/>
      <c r="Z21" s="172"/>
      <c r="AA21" s="172"/>
      <c r="AB21" s="172"/>
      <c r="AC21" s="172"/>
      <c r="AD21" s="172"/>
      <c r="AE21" s="172"/>
      <c r="AF21" s="172"/>
      <c r="AG21" s="172"/>
      <c r="AH21" s="172"/>
      <c r="AI21" s="172"/>
      <c r="AJ21" s="172"/>
      <c r="AK21" s="172"/>
      <c r="AL21" s="172"/>
      <c r="AM21" s="172"/>
      <c r="AN21" s="172"/>
      <c r="AO21" s="172"/>
      <c r="AP21" s="172"/>
      <c r="AQ21" s="172"/>
      <c r="AR21" s="172"/>
      <c r="AS21" s="172"/>
      <c r="AT21" s="172"/>
      <c r="AU21" s="172"/>
      <c r="AV21" s="172"/>
      <c r="AW21" s="172"/>
      <c r="AX21" s="172"/>
      <c r="AY21" s="172"/>
      <c r="AZ21" s="172"/>
      <c r="BA21" s="49"/>
    </row>
    <row r="22" spans="13:53" x14ac:dyDescent="0.25">
      <c r="M22" s="48"/>
      <c r="N22" s="172"/>
      <c r="O22" s="172"/>
      <c r="P22" s="172"/>
      <c r="Q22" s="172"/>
      <c r="R22" s="172"/>
      <c r="S22" s="172"/>
      <c r="T22" s="172"/>
      <c r="U22" s="172"/>
      <c r="V22" s="172"/>
      <c r="W22" s="172"/>
      <c r="X22" s="172"/>
      <c r="Y22" s="172"/>
      <c r="Z22" s="172"/>
      <c r="AA22" s="172"/>
      <c r="AB22" s="172"/>
      <c r="AC22" s="172"/>
      <c r="AD22" s="172"/>
      <c r="AE22" s="172"/>
      <c r="AF22" s="172"/>
      <c r="AG22" s="172"/>
      <c r="AH22" s="172"/>
      <c r="AI22" s="172"/>
      <c r="AJ22" s="172"/>
      <c r="AK22" s="172"/>
      <c r="AL22" s="172"/>
      <c r="AM22" s="172"/>
      <c r="AN22" s="172"/>
      <c r="AO22" s="172"/>
      <c r="AP22" s="172"/>
      <c r="AQ22" s="172"/>
      <c r="AR22" s="172"/>
      <c r="AS22" s="172"/>
      <c r="AT22" s="172"/>
      <c r="AU22" s="172"/>
      <c r="AV22" s="172"/>
      <c r="AW22" s="172"/>
      <c r="AX22" s="172"/>
      <c r="AY22" s="172"/>
      <c r="AZ22" s="172"/>
      <c r="BA22" s="49"/>
    </row>
    <row r="23" spans="13:53" x14ac:dyDescent="0.25">
      <c r="M23" s="48"/>
      <c r="N23" s="172"/>
      <c r="O23" s="172"/>
      <c r="P23" s="172"/>
      <c r="Q23" s="172"/>
      <c r="R23" s="172"/>
      <c r="S23" s="172"/>
      <c r="T23" s="172"/>
      <c r="U23" s="172"/>
      <c r="V23" s="172"/>
      <c r="W23" s="172"/>
      <c r="X23" s="172"/>
      <c r="Y23" s="172"/>
      <c r="Z23" s="172"/>
      <c r="AA23" s="172"/>
      <c r="AB23" s="172"/>
      <c r="AC23" s="172"/>
      <c r="AD23" s="172"/>
      <c r="AE23" s="172"/>
      <c r="AF23" s="172"/>
      <c r="AG23" s="172"/>
      <c r="AH23" s="172"/>
      <c r="AI23" s="172"/>
      <c r="AJ23" s="172"/>
      <c r="AK23" s="172"/>
      <c r="AL23" s="172"/>
      <c r="AM23" s="172"/>
      <c r="AN23" s="172"/>
      <c r="AO23" s="172"/>
      <c r="AP23" s="172"/>
      <c r="AQ23" s="172"/>
      <c r="AR23" s="172"/>
      <c r="AS23" s="172"/>
      <c r="AT23" s="172"/>
      <c r="AU23" s="172"/>
      <c r="AV23" s="172"/>
      <c r="AW23" s="172"/>
      <c r="AX23" s="172"/>
      <c r="AY23" s="172"/>
      <c r="AZ23" s="172"/>
      <c r="BA23" s="49"/>
    </row>
    <row r="24" spans="13:53" x14ac:dyDescent="0.25">
      <c r="M24" s="48"/>
      <c r="N24" s="172"/>
      <c r="O24" s="172"/>
      <c r="P24" s="172"/>
      <c r="Q24" s="172"/>
      <c r="R24" s="172"/>
      <c r="S24" s="172"/>
      <c r="T24" s="172"/>
      <c r="U24" s="172"/>
      <c r="V24" s="172"/>
      <c r="W24" s="172"/>
      <c r="X24" s="172"/>
      <c r="Y24" s="172"/>
      <c r="Z24" s="172"/>
      <c r="AA24" s="172"/>
      <c r="AB24" s="172"/>
      <c r="AC24" s="172"/>
      <c r="AD24" s="172"/>
      <c r="AE24" s="172"/>
      <c r="AF24" s="172"/>
      <c r="AG24" s="172"/>
      <c r="AH24" s="172"/>
      <c r="AI24" s="172"/>
      <c r="AJ24" s="172"/>
      <c r="AK24" s="172"/>
      <c r="AL24" s="172"/>
      <c r="AM24" s="172"/>
      <c r="AN24" s="172"/>
      <c r="AO24" s="172"/>
      <c r="AP24" s="172"/>
      <c r="AQ24" s="172"/>
      <c r="AR24" s="172"/>
      <c r="AS24" s="172"/>
      <c r="AT24" s="172"/>
      <c r="AU24" s="172"/>
      <c r="AV24" s="172"/>
      <c r="AW24" s="172"/>
      <c r="AX24" s="172"/>
      <c r="AY24" s="172"/>
      <c r="AZ24" s="172"/>
      <c r="BA24" s="49"/>
    </row>
    <row r="25" spans="13:53" x14ac:dyDescent="0.25">
      <c r="M25" s="48"/>
      <c r="N25" s="172"/>
      <c r="O25" s="172"/>
      <c r="P25" s="172"/>
      <c r="Q25" s="172"/>
      <c r="R25" s="172"/>
      <c r="S25" s="172"/>
      <c r="T25" s="172"/>
      <c r="U25" s="172"/>
      <c r="V25" s="172"/>
      <c r="W25" s="172"/>
      <c r="X25" s="172"/>
      <c r="Y25" s="172"/>
      <c r="Z25" s="172"/>
      <c r="AA25" s="172"/>
      <c r="AB25" s="172"/>
      <c r="AC25" s="172"/>
      <c r="AD25" s="172"/>
      <c r="AE25" s="172"/>
      <c r="AF25" s="172"/>
      <c r="AG25" s="172"/>
      <c r="AH25" s="172"/>
      <c r="AI25" s="172"/>
      <c r="AJ25" s="172"/>
      <c r="AK25" s="172"/>
      <c r="AL25" s="172"/>
      <c r="AM25" s="172"/>
      <c r="AN25" s="172"/>
      <c r="AO25" s="172"/>
      <c r="AP25" s="172"/>
      <c r="AQ25" s="172"/>
      <c r="AR25" s="172"/>
      <c r="AS25" s="172"/>
      <c r="AT25" s="172"/>
      <c r="AU25" s="172"/>
      <c r="AV25" s="172"/>
      <c r="AW25" s="172"/>
      <c r="AX25" s="172"/>
      <c r="AY25" s="172"/>
      <c r="AZ25" s="172"/>
      <c r="BA25" s="49"/>
    </row>
    <row r="26" spans="13:53" x14ac:dyDescent="0.25">
      <c r="M26" s="48"/>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2"/>
      <c r="AZ26" s="172"/>
      <c r="BA26" s="49"/>
    </row>
    <row r="27" spans="13:53" x14ac:dyDescent="0.25">
      <c r="M27" s="48"/>
      <c r="N27" s="172"/>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172"/>
      <c r="AR27" s="172"/>
      <c r="AS27" s="172"/>
      <c r="AT27" s="172"/>
      <c r="AU27" s="172"/>
      <c r="AV27" s="172"/>
      <c r="AW27" s="172"/>
      <c r="AX27" s="172"/>
      <c r="AY27" s="172"/>
      <c r="AZ27" s="172"/>
      <c r="BA27" s="49"/>
    </row>
    <row r="28" spans="13:53" x14ac:dyDescent="0.25">
      <c r="M28" s="48"/>
      <c r="N28" s="172"/>
      <c r="O28" s="172"/>
      <c r="P28" s="172"/>
      <c r="Q28" s="172"/>
      <c r="R28" s="172"/>
      <c r="S28" s="172"/>
      <c r="T28" s="172"/>
      <c r="U28" s="172"/>
      <c r="V28" s="172"/>
      <c r="W28" s="172"/>
      <c r="X28" s="172"/>
      <c r="Y28" s="172"/>
      <c r="Z28" s="172"/>
      <c r="AA28" s="172"/>
      <c r="AB28" s="172"/>
      <c r="AC28" s="172"/>
      <c r="AD28" s="172"/>
      <c r="AE28" s="172"/>
      <c r="AF28" s="172"/>
      <c r="AG28" s="172"/>
      <c r="AH28" s="172"/>
      <c r="AI28" s="172"/>
      <c r="AJ28" s="172"/>
      <c r="AK28" s="172"/>
      <c r="AL28" s="172"/>
      <c r="AM28" s="172"/>
      <c r="AN28" s="172"/>
      <c r="AO28" s="172"/>
      <c r="AP28" s="172"/>
      <c r="AQ28" s="172"/>
      <c r="AR28" s="172"/>
      <c r="AS28" s="172"/>
      <c r="AT28" s="172"/>
      <c r="AU28" s="172"/>
      <c r="AV28" s="172"/>
      <c r="AW28" s="172"/>
      <c r="AX28" s="172"/>
      <c r="AY28" s="172"/>
      <c r="AZ28" s="172"/>
      <c r="BA28" s="49"/>
    </row>
    <row r="29" spans="13:53" x14ac:dyDescent="0.25">
      <c r="M29" s="48"/>
      <c r="N29" s="172"/>
      <c r="O29" s="172"/>
      <c r="P29" s="172"/>
      <c r="Q29" s="172"/>
      <c r="R29" s="172"/>
      <c r="S29" s="172"/>
      <c r="T29" s="172"/>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72"/>
      <c r="AV29" s="172"/>
      <c r="AW29" s="172"/>
      <c r="AX29" s="172"/>
      <c r="AY29" s="172"/>
      <c r="AZ29" s="172"/>
      <c r="BA29" s="49"/>
    </row>
    <row r="30" spans="13:53" x14ac:dyDescent="0.25">
      <c r="M30" s="48"/>
      <c r="N30" s="172"/>
      <c r="O30" s="172"/>
      <c r="P30" s="172"/>
      <c r="Q30" s="172"/>
      <c r="R30" s="172"/>
      <c r="S30" s="172"/>
      <c r="T30" s="172"/>
      <c r="U30" s="172"/>
      <c r="V30" s="172"/>
      <c r="W30" s="172"/>
      <c r="X30" s="172"/>
      <c r="Y30" s="172"/>
      <c r="Z30" s="172"/>
      <c r="AA30" s="172"/>
      <c r="AB30" s="172"/>
      <c r="AC30" s="172"/>
      <c r="AD30" s="172"/>
      <c r="AE30" s="172"/>
      <c r="AF30" s="172"/>
      <c r="AG30" s="172"/>
      <c r="AH30" s="172"/>
      <c r="AI30" s="172"/>
      <c r="AJ30" s="172"/>
      <c r="AK30" s="172"/>
      <c r="AL30" s="172"/>
      <c r="AM30" s="172"/>
      <c r="AN30" s="172"/>
      <c r="AO30" s="172"/>
      <c r="AP30" s="172"/>
      <c r="AQ30" s="172"/>
      <c r="AR30" s="172"/>
      <c r="AS30" s="172"/>
      <c r="AT30" s="172"/>
      <c r="AU30" s="172"/>
      <c r="AV30" s="172"/>
      <c r="AW30" s="172"/>
      <c r="AX30" s="172"/>
      <c r="AY30" s="172"/>
      <c r="AZ30" s="172"/>
      <c r="BA30" s="49"/>
    </row>
    <row r="31" spans="13:53" x14ac:dyDescent="0.25">
      <c r="M31" s="48"/>
      <c r="N31" s="172"/>
      <c r="O31" s="172"/>
      <c r="P31" s="172"/>
      <c r="Q31" s="172"/>
      <c r="R31" s="172"/>
      <c r="S31" s="172"/>
      <c r="T31" s="172"/>
      <c r="U31" s="172"/>
      <c r="V31" s="172"/>
      <c r="W31" s="172"/>
      <c r="X31" s="172"/>
      <c r="Y31" s="172"/>
      <c r="Z31" s="172"/>
      <c r="AA31" s="172"/>
      <c r="AB31" s="172"/>
      <c r="AC31" s="172"/>
      <c r="AD31" s="172"/>
      <c r="AE31" s="172"/>
      <c r="AF31" s="172"/>
      <c r="AG31" s="172"/>
      <c r="AH31" s="172"/>
      <c r="AI31" s="172"/>
      <c r="AJ31" s="172"/>
      <c r="AK31" s="172"/>
      <c r="AL31" s="172"/>
      <c r="AM31" s="172"/>
      <c r="AN31" s="172"/>
      <c r="AO31" s="172"/>
      <c r="AP31" s="172"/>
      <c r="AQ31" s="172"/>
      <c r="AR31" s="172"/>
      <c r="AS31" s="172"/>
      <c r="AT31" s="172"/>
      <c r="AU31" s="172"/>
      <c r="AV31" s="172"/>
      <c r="AW31" s="172"/>
      <c r="AX31" s="172"/>
      <c r="AY31" s="172"/>
      <c r="AZ31" s="172"/>
      <c r="BA31" s="49"/>
    </row>
    <row r="32" spans="13:53" x14ac:dyDescent="0.25">
      <c r="M32" s="48"/>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2"/>
      <c r="AY32" s="172"/>
      <c r="AZ32" s="172"/>
      <c r="BA32" s="49"/>
    </row>
    <row r="33" spans="13:53" x14ac:dyDescent="0.25">
      <c r="M33" s="48"/>
      <c r="N33" s="172"/>
      <c r="O33" s="172"/>
      <c r="P33" s="172"/>
      <c r="Q33" s="172"/>
      <c r="R33" s="172"/>
      <c r="S33" s="172"/>
      <c r="T33" s="172"/>
      <c r="U33" s="172"/>
      <c r="V33" s="172"/>
      <c r="W33" s="172"/>
      <c r="X33" s="172"/>
      <c r="Y33" s="172"/>
      <c r="Z33" s="172"/>
      <c r="AA33" s="172"/>
      <c r="AB33" s="172"/>
      <c r="AC33" s="172"/>
      <c r="AD33" s="172"/>
      <c r="AE33" s="172"/>
      <c r="AF33" s="172"/>
      <c r="AG33" s="172"/>
      <c r="AH33" s="172"/>
      <c r="AI33" s="172"/>
      <c r="AJ33" s="172"/>
      <c r="AK33" s="172"/>
      <c r="AL33" s="172"/>
      <c r="AM33" s="172"/>
      <c r="AN33" s="172"/>
      <c r="AO33" s="172"/>
      <c r="AP33" s="172"/>
      <c r="AQ33" s="172"/>
      <c r="AR33" s="172"/>
      <c r="AS33" s="172"/>
      <c r="AT33" s="172"/>
      <c r="AU33" s="172"/>
      <c r="AV33" s="172"/>
      <c r="AW33" s="172"/>
      <c r="AX33" s="172"/>
      <c r="AY33" s="172"/>
      <c r="AZ33" s="172"/>
      <c r="BA33" s="49"/>
    </row>
    <row r="34" spans="13:53" x14ac:dyDescent="0.25">
      <c r="M34" s="48"/>
      <c r="N34" s="172"/>
      <c r="O34" s="172"/>
      <c r="P34" s="172"/>
      <c r="Q34" s="172"/>
      <c r="R34" s="172"/>
      <c r="S34" s="172"/>
      <c r="T34" s="172"/>
      <c r="U34" s="172"/>
      <c r="V34" s="172"/>
      <c r="W34" s="172"/>
      <c r="X34" s="172"/>
      <c r="Y34" s="172"/>
      <c r="Z34" s="172"/>
      <c r="AA34" s="172"/>
      <c r="AB34" s="172"/>
      <c r="AC34" s="172"/>
      <c r="AD34" s="172"/>
      <c r="AE34" s="172"/>
      <c r="AF34" s="172"/>
      <c r="AG34" s="172"/>
      <c r="AH34" s="172"/>
      <c r="AI34" s="172"/>
      <c r="AJ34" s="172"/>
      <c r="AK34" s="172"/>
      <c r="AL34" s="172"/>
      <c r="AM34" s="172"/>
      <c r="AN34" s="172"/>
      <c r="AO34" s="172"/>
      <c r="AP34" s="172"/>
      <c r="AQ34" s="172"/>
      <c r="AR34" s="172"/>
      <c r="AS34" s="172"/>
      <c r="AT34" s="172"/>
      <c r="AU34" s="172"/>
      <c r="AV34" s="172"/>
      <c r="AW34" s="172"/>
      <c r="AX34" s="172"/>
      <c r="AY34" s="172"/>
      <c r="AZ34" s="172"/>
      <c r="BA34" s="49"/>
    </row>
    <row r="35" spans="13:53" x14ac:dyDescent="0.25">
      <c r="M35" s="48"/>
      <c r="N35" s="172"/>
      <c r="O35" s="172"/>
      <c r="P35" s="172"/>
      <c r="Q35" s="172"/>
      <c r="R35" s="172"/>
      <c r="S35" s="172"/>
      <c r="T35" s="172"/>
      <c r="U35" s="172"/>
      <c r="V35" s="172"/>
      <c r="W35" s="172"/>
      <c r="X35" s="172"/>
      <c r="Y35" s="172"/>
      <c r="Z35" s="172"/>
      <c r="AA35" s="172"/>
      <c r="AB35" s="172"/>
      <c r="AC35" s="172"/>
      <c r="AD35" s="172"/>
      <c r="AE35" s="172"/>
      <c r="AF35" s="172"/>
      <c r="AG35" s="172"/>
      <c r="AH35" s="172"/>
      <c r="AI35" s="172"/>
      <c r="AJ35" s="172"/>
      <c r="AK35" s="172"/>
      <c r="AL35" s="172"/>
      <c r="AM35" s="172"/>
      <c r="AN35" s="172"/>
      <c r="AO35" s="172"/>
      <c r="AP35" s="172"/>
      <c r="AQ35" s="172"/>
      <c r="AR35" s="172"/>
      <c r="AS35" s="172"/>
      <c r="AT35" s="172"/>
      <c r="AU35" s="172"/>
      <c r="AV35" s="172"/>
      <c r="AW35" s="172"/>
      <c r="AX35" s="172"/>
      <c r="AY35" s="172"/>
      <c r="AZ35" s="172"/>
      <c r="BA35" s="49"/>
    </row>
    <row r="36" spans="13:53" x14ac:dyDescent="0.25">
      <c r="M36" s="48"/>
      <c r="N36" s="172"/>
      <c r="O36" s="172"/>
      <c r="P36" s="172"/>
      <c r="Q36" s="172"/>
      <c r="R36" s="172"/>
      <c r="S36" s="172"/>
      <c r="T36" s="172"/>
      <c r="U36" s="172"/>
      <c r="V36" s="172"/>
      <c r="W36" s="172"/>
      <c r="X36" s="172"/>
      <c r="Y36" s="172"/>
      <c r="Z36" s="172"/>
      <c r="AA36" s="172"/>
      <c r="AB36" s="172"/>
      <c r="AC36" s="172"/>
      <c r="AD36" s="172"/>
      <c r="AE36" s="172"/>
      <c r="AF36" s="172"/>
      <c r="AG36" s="172"/>
      <c r="AH36" s="172"/>
      <c r="AI36" s="172"/>
      <c r="AJ36" s="172"/>
      <c r="AK36" s="172"/>
      <c r="AL36" s="172"/>
      <c r="AM36" s="172"/>
      <c r="AN36" s="172"/>
      <c r="AO36" s="172"/>
      <c r="AP36" s="172"/>
      <c r="AQ36" s="172"/>
      <c r="AR36" s="172"/>
      <c r="AS36" s="172"/>
      <c r="AT36" s="172"/>
      <c r="AU36" s="172"/>
      <c r="AV36" s="172"/>
      <c r="AW36" s="172"/>
      <c r="AX36" s="172"/>
      <c r="AY36" s="172"/>
      <c r="AZ36" s="172"/>
      <c r="BA36" s="49"/>
    </row>
    <row r="37" spans="13:53" x14ac:dyDescent="0.25">
      <c r="M37" s="48"/>
      <c r="N37" s="172"/>
      <c r="O37" s="172"/>
      <c r="P37" s="172"/>
      <c r="Q37" s="172"/>
      <c r="R37" s="172"/>
      <c r="S37" s="172"/>
      <c r="T37" s="172"/>
      <c r="U37" s="172"/>
      <c r="V37" s="172"/>
      <c r="W37" s="172"/>
      <c r="X37" s="172"/>
      <c r="Y37" s="172"/>
      <c r="Z37" s="172"/>
      <c r="AA37" s="172"/>
      <c r="AB37" s="172"/>
      <c r="AC37" s="172"/>
      <c r="AD37" s="172"/>
      <c r="AE37" s="172"/>
      <c r="AF37" s="172"/>
      <c r="AG37" s="172"/>
      <c r="AH37" s="172"/>
      <c r="AI37" s="172"/>
      <c r="AJ37" s="172"/>
      <c r="AK37" s="172"/>
      <c r="AL37" s="172"/>
      <c r="AM37" s="172"/>
      <c r="AN37" s="172"/>
      <c r="AO37" s="172"/>
      <c r="AP37" s="172"/>
      <c r="AQ37" s="172"/>
      <c r="AR37" s="172"/>
      <c r="AS37" s="172"/>
      <c r="AT37" s="172"/>
      <c r="AU37" s="172"/>
      <c r="AV37" s="172"/>
      <c r="AW37" s="172"/>
      <c r="AX37" s="172"/>
      <c r="AY37" s="172"/>
      <c r="AZ37" s="172"/>
      <c r="BA37" s="49"/>
    </row>
    <row r="38" spans="13:53" x14ac:dyDescent="0.25">
      <c r="M38" s="48"/>
      <c r="N38" s="172"/>
      <c r="O38" s="172"/>
      <c r="P38" s="172"/>
      <c r="Q38" s="172"/>
      <c r="R38" s="172"/>
      <c r="S38" s="172"/>
      <c r="T38" s="172"/>
      <c r="U38" s="172"/>
      <c r="V38" s="172"/>
      <c r="W38" s="172"/>
      <c r="X38" s="172"/>
      <c r="Y38" s="172"/>
      <c r="Z38" s="172"/>
      <c r="AA38" s="172"/>
      <c r="AB38" s="172"/>
      <c r="AC38" s="172"/>
      <c r="AD38" s="172"/>
      <c r="AE38" s="172"/>
      <c r="AF38" s="172"/>
      <c r="AG38" s="172"/>
      <c r="AH38" s="172"/>
      <c r="AI38" s="172"/>
      <c r="AJ38" s="172"/>
      <c r="AK38" s="172"/>
      <c r="AL38" s="172"/>
      <c r="AM38" s="172"/>
      <c r="AN38" s="172"/>
      <c r="AO38" s="172"/>
      <c r="AP38" s="172"/>
      <c r="AQ38" s="172"/>
      <c r="AR38" s="172"/>
      <c r="AS38" s="172"/>
      <c r="AT38" s="172"/>
      <c r="AU38" s="172"/>
      <c r="AV38" s="172"/>
      <c r="AW38" s="172"/>
      <c r="AX38" s="172"/>
      <c r="AY38" s="172"/>
      <c r="AZ38" s="172"/>
      <c r="BA38" s="49"/>
    </row>
    <row r="39" spans="13:53" x14ac:dyDescent="0.25">
      <c r="M39" s="48"/>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c r="AK39" s="172"/>
      <c r="AL39" s="172"/>
      <c r="AM39" s="172"/>
      <c r="AN39" s="172"/>
      <c r="AO39" s="172"/>
      <c r="AP39" s="172"/>
      <c r="AQ39" s="172"/>
      <c r="AR39" s="172"/>
      <c r="AS39" s="172"/>
      <c r="AT39" s="172"/>
      <c r="AU39" s="172"/>
      <c r="AV39" s="172"/>
      <c r="AW39" s="172"/>
      <c r="AX39" s="172"/>
      <c r="AY39" s="172"/>
      <c r="AZ39" s="172"/>
      <c r="BA39" s="49"/>
    </row>
    <row r="40" spans="13:53" x14ac:dyDescent="0.25">
      <c r="M40" s="48"/>
      <c r="N40" s="172"/>
      <c r="O40" s="172"/>
      <c r="P40" s="172"/>
      <c r="Q40" s="172"/>
      <c r="R40" s="172"/>
      <c r="S40" s="172"/>
      <c r="T40" s="172"/>
      <c r="U40" s="172"/>
      <c r="V40" s="172"/>
      <c r="W40" s="172"/>
      <c r="X40" s="172"/>
      <c r="Y40" s="172"/>
      <c r="Z40" s="172"/>
      <c r="AA40" s="172"/>
      <c r="AB40" s="172"/>
      <c r="AC40" s="172"/>
      <c r="AD40" s="172"/>
      <c r="AE40" s="172"/>
      <c r="AF40" s="172"/>
      <c r="AG40" s="172"/>
      <c r="AH40" s="172"/>
      <c r="AI40" s="172"/>
      <c r="AJ40" s="172"/>
      <c r="AK40" s="172"/>
      <c r="AL40" s="172"/>
      <c r="AM40" s="172"/>
      <c r="AN40" s="172"/>
      <c r="AO40" s="172"/>
      <c r="AP40" s="172"/>
      <c r="AQ40" s="172"/>
      <c r="AR40" s="172"/>
      <c r="AS40" s="172"/>
      <c r="AT40" s="172"/>
      <c r="AU40" s="172"/>
      <c r="AV40" s="172"/>
      <c r="AW40" s="172"/>
      <c r="AX40" s="172"/>
      <c r="AY40" s="172"/>
      <c r="AZ40" s="172"/>
      <c r="BA40" s="49"/>
    </row>
    <row r="41" spans="13:53" x14ac:dyDescent="0.25">
      <c r="M41" s="48"/>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49"/>
    </row>
    <row r="42" spans="13:53" x14ac:dyDescent="0.25">
      <c r="M42" s="48"/>
      <c r="N42" s="172"/>
      <c r="O42" s="172"/>
      <c r="P42" s="172"/>
      <c r="Q42" s="172"/>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49"/>
    </row>
    <row r="43" spans="13:53" x14ac:dyDescent="0.25">
      <c r="M43" s="48"/>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49"/>
    </row>
    <row r="44" spans="13:53" x14ac:dyDescent="0.25">
      <c r="M44" s="48"/>
      <c r="N44" s="172"/>
      <c r="O44" s="172"/>
      <c r="P44" s="172"/>
      <c r="Q44" s="172"/>
      <c r="R44" s="172"/>
      <c r="S44" s="172"/>
      <c r="T44" s="172"/>
      <c r="U44" s="172"/>
      <c r="V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49"/>
    </row>
    <row r="45" spans="13:53" x14ac:dyDescent="0.25">
      <c r="M45" s="48"/>
      <c r="N45" s="172"/>
      <c r="O45" s="172"/>
      <c r="P45" s="172"/>
      <c r="Q45" s="172"/>
      <c r="R45" s="172"/>
      <c r="S45" s="172"/>
      <c r="T45" s="172"/>
      <c r="U45" s="172"/>
      <c r="V45" s="172"/>
      <c r="W45" s="172"/>
      <c r="X45" s="172"/>
      <c r="Y45" s="172"/>
      <c r="Z45" s="172"/>
      <c r="AA45" s="172"/>
      <c r="AB45" s="172"/>
      <c r="AC45" s="172"/>
      <c r="AD45" s="172"/>
      <c r="AE45" s="172"/>
      <c r="AF45" s="172"/>
      <c r="AG45" s="172"/>
      <c r="AH45" s="172"/>
      <c r="AI45" s="172"/>
      <c r="AJ45" s="172"/>
      <c r="AK45" s="172"/>
      <c r="AL45" s="172"/>
      <c r="AM45" s="172"/>
      <c r="AN45" s="172"/>
      <c r="AO45" s="172"/>
      <c r="AP45" s="172"/>
      <c r="AQ45" s="172"/>
      <c r="AR45" s="172"/>
      <c r="AS45" s="172"/>
      <c r="AT45" s="172"/>
      <c r="AU45" s="172"/>
      <c r="AV45" s="172"/>
      <c r="AW45" s="172"/>
      <c r="AX45" s="172"/>
      <c r="AY45" s="172"/>
      <c r="AZ45" s="172"/>
      <c r="BA45" s="49"/>
    </row>
    <row r="46" spans="13:53" x14ac:dyDescent="0.25">
      <c r="M46" s="48"/>
      <c r="N46" s="172"/>
      <c r="O46" s="172"/>
      <c r="P46" s="172"/>
      <c r="Q46" s="172"/>
      <c r="R46" s="172"/>
      <c r="S46" s="172"/>
      <c r="T46" s="172"/>
      <c r="U46" s="172"/>
      <c r="V46" s="172"/>
      <c r="W46" s="172"/>
      <c r="X46" s="172"/>
      <c r="Y46" s="172"/>
      <c r="Z46" s="172"/>
      <c r="AA46" s="172"/>
      <c r="AB46" s="172"/>
      <c r="AC46" s="172"/>
      <c r="AD46" s="172"/>
      <c r="AE46" s="172"/>
      <c r="AF46" s="172"/>
      <c r="AG46" s="172"/>
      <c r="AH46" s="172"/>
      <c r="AI46" s="172"/>
      <c r="AJ46" s="172"/>
      <c r="AK46" s="172"/>
      <c r="AL46" s="172"/>
      <c r="AM46" s="172"/>
      <c r="AN46" s="172"/>
      <c r="AO46" s="172"/>
      <c r="AP46" s="172"/>
      <c r="AQ46" s="172"/>
      <c r="AR46" s="172"/>
      <c r="AS46" s="172"/>
      <c r="AT46" s="172"/>
      <c r="AU46" s="172"/>
      <c r="AV46" s="172"/>
      <c r="AW46" s="172"/>
      <c r="AX46" s="172"/>
      <c r="AY46" s="172"/>
      <c r="AZ46" s="172"/>
      <c r="BA46" s="49"/>
    </row>
    <row r="47" spans="13:53" x14ac:dyDescent="0.25">
      <c r="M47" s="48"/>
      <c r="N47" s="172"/>
      <c r="O47" s="172"/>
      <c r="P47" s="172"/>
      <c r="Q47" s="172"/>
      <c r="R47" s="172"/>
      <c r="S47" s="172"/>
      <c r="T47" s="172"/>
      <c r="U47" s="172"/>
      <c r="V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49"/>
    </row>
    <row r="48" spans="13:53" x14ac:dyDescent="0.25">
      <c r="M48" s="48"/>
      <c r="N48" s="172"/>
      <c r="O48" s="172"/>
      <c r="P48" s="172"/>
      <c r="Q48" s="172"/>
      <c r="R48" s="172"/>
      <c r="S48" s="172"/>
      <c r="T48" s="172"/>
      <c r="U48" s="172"/>
      <c r="V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49"/>
    </row>
    <row r="49" spans="13:53" x14ac:dyDescent="0.25">
      <c r="M49" s="48"/>
      <c r="N49" s="172"/>
      <c r="O49" s="172"/>
      <c r="P49" s="172"/>
      <c r="Q49" s="172"/>
      <c r="R49" s="172"/>
      <c r="S49" s="172"/>
      <c r="T49" s="172"/>
      <c r="U49" s="172"/>
      <c r="V49" s="172"/>
      <c r="W49" s="172"/>
      <c r="X49" s="172"/>
      <c r="Y49" s="172"/>
      <c r="Z49" s="172"/>
      <c r="AA49" s="172"/>
      <c r="AB49" s="172"/>
      <c r="AC49" s="172"/>
      <c r="AD49" s="172"/>
      <c r="AE49" s="172"/>
      <c r="AF49" s="172"/>
      <c r="AG49" s="172"/>
      <c r="AH49" s="172"/>
      <c r="AI49" s="172"/>
      <c r="AJ49" s="172"/>
      <c r="AK49" s="172"/>
      <c r="AL49" s="172"/>
      <c r="AM49" s="172"/>
      <c r="AN49" s="172"/>
      <c r="AO49" s="172"/>
      <c r="AP49" s="172"/>
      <c r="AQ49" s="172"/>
      <c r="AR49" s="172"/>
      <c r="AS49" s="172"/>
      <c r="AT49" s="172"/>
      <c r="AU49" s="172"/>
      <c r="AV49" s="172"/>
      <c r="AW49" s="172"/>
      <c r="AX49" s="172"/>
      <c r="AY49" s="172"/>
      <c r="AZ49" s="172"/>
      <c r="BA49" s="49"/>
    </row>
    <row r="50" spans="13:53" x14ac:dyDescent="0.25">
      <c r="M50" s="48"/>
      <c r="N50" s="172"/>
      <c r="O50" s="172"/>
      <c r="P50" s="172"/>
      <c r="Q50" s="172"/>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49"/>
    </row>
    <row r="51" spans="13:53" x14ac:dyDescent="0.25">
      <c r="M51" s="48"/>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49"/>
    </row>
    <row r="52" spans="13:53" x14ac:dyDescent="0.25">
      <c r="M52" s="48"/>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2"/>
      <c r="AZ52" s="172"/>
      <c r="BA52" s="49"/>
    </row>
    <row r="53" spans="13:53" x14ac:dyDescent="0.25">
      <c r="M53" s="48"/>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49"/>
    </row>
    <row r="54" spans="13:53" x14ac:dyDescent="0.25">
      <c r="M54" s="48"/>
      <c r="N54" s="172"/>
      <c r="O54" s="172"/>
      <c r="P54" s="172"/>
      <c r="Q54" s="172"/>
      <c r="R54" s="172"/>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2"/>
      <c r="AZ54" s="172"/>
      <c r="BA54" s="49"/>
    </row>
    <row r="55" spans="13:53" x14ac:dyDescent="0.25">
      <c r="M55" s="48"/>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49"/>
    </row>
    <row r="56" spans="13:53" x14ac:dyDescent="0.25">
      <c r="M56" s="48"/>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2"/>
      <c r="AZ56" s="172"/>
      <c r="BA56" s="49"/>
    </row>
    <row r="57" spans="13:53" x14ac:dyDescent="0.25">
      <c r="M57" s="48"/>
      <c r="N57" s="172"/>
      <c r="O57" s="172"/>
      <c r="P57" s="172"/>
      <c r="Q57" s="172"/>
      <c r="R57" s="172"/>
      <c r="S57" s="172"/>
      <c r="T57" s="172"/>
      <c r="U57" s="172"/>
      <c r="V57" s="172"/>
      <c r="W57" s="172"/>
      <c r="X57" s="172"/>
      <c r="Y57" s="172"/>
      <c r="Z57" s="172"/>
      <c r="AA57" s="172"/>
      <c r="AB57" s="172"/>
      <c r="AC57" s="172"/>
      <c r="AD57" s="172"/>
      <c r="AE57" s="172"/>
      <c r="AF57" s="172"/>
      <c r="AG57" s="172"/>
      <c r="AH57" s="172"/>
      <c r="AI57" s="172"/>
      <c r="AJ57" s="172"/>
      <c r="AK57" s="172"/>
      <c r="AL57" s="172"/>
      <c r="AM57" s="172"/>
      <c r="AN57" s="172"/>
      <c r="AO57" s="172"/>
      <c r="AP57" s="172"/>
      <c r="AQ57" s="172"/>
      <c r="AR57" s="172"/>
      <c r="AS57" s="172"/>
      <c r="AT57" s="172"/>
      <c r="AU57" s="172"/>
      <c r="AV57" s="172"/>
      <c r="AW57" s="172"/>
      <c r="AX57" s="172"/>
      <c r="AY57" s="172"/>
      <c r="AZ57" s="172"/>
      <c r="BA57" s="49"/>
    </row>
    <row r="58" spans="13:53" x14ac:dyDescent="0.25">
      <c r="M58" s="48"/>
      <c r="N58" s="172"/>
      <c r="O58" s="172"/>
      <c r="P58" s="172"/>
      <c r="Q58" s="172"/>
      <c r="R58" s="172"/>
      <c r="S58" s="172"/>
      <c r="T58" s="172"/>
      <c r="U58" s="172"/>
      <c r="V58" s="172"/>
      <c r="W58" s="172"/>
      <c r="X58" s="172"/>
      <c r="Y58" s="172"/>
      <c r="Z58" s="172"/>
      <c r="AA58" s="172"/>
      <c r="AB58" s="172"/>
      <c r="AC58" s="172"/>
      <c r="AD58" s="172"/>
      <c r="AE58" s="172"/>
      <c r="AF58" s="172"/>
      <c r="AG58" s="172"/>
      <c r="AH58" s="172"/>
      <c r="AI58" s="172"/>
      <c r="AJ58" s="172"/>
      <c r="AK58" s="172"/>
      <c r="AL58" s="172"/>
      <c r="AM58" s="172"/>
      <c r="AN58" s="172"/>
      <c r="AO58" s="172"/>
      <c r="AP58" s="172"/>
      <c r="AQ58" s="172"/>
      <c r="AR58" s="172"/>
      <c r="AS58" s="172"/>
      <c r="AT58" s="172"/>
      <c r="AU58" s="172"/>
      <c r="AV58" s="172"/>
      <c r="AW58" s="172"/>
      <c r="AX58" s="172"/>
      <c r="AY58" s="172"/>
      <c r="AZ58" s="172"/>
      <c r="BA58" s="49"/>
    </row>
    <row r="59" spans="13:53" x14ac:dyDescent="0.25">
      <c r="M59" s="48"/>
      <c r="N59" s="172"/>
      <c r="O59" s="172"/>
      <c r="P59" s="172"/>
      <c r="Q59" s="172"/>
      <c r="R59" s="172"/>
      <c r="S59" s="172"/>
      <c r="T59" s="172"/>
      <c r="U59" s="172"/>
      <c r="V59" s="172"/>
      <c r="W59" s="172"/>
      <c r="X59" s="172"/>
      <c r="Y59" s="172"/>
      <c r="Z59" s="172"/>
      <c r="AA59" s="172"/>
      <c r="AB59" s="172"/>
      <c r="AC59" s="172"/>
      <c r="AD59" s="172"/>
      <c r="AE59" s="172"/>
      <c r="AF59" s="172"/>
      <c r="AG59" s="172"/>
      <c r="AH59" s="172"/>
      <c r="AI59" s="172"/>
      <c r="AJ59" s="172"/>
      <c r="AK59" s="172"/>
      <c r="AL59" s="172"/>
      <c r="AM59" s="172"/>
      <c r="AN59" s="172"/>
      <c r="AO59" s="172"/>
      <c r="AP59" s="172"/>
      <c r="AQ59" s="172"/>
      <c r="AR59" s="172"/>
      <c r="AS59" s="172"/>
      <c r="AT59" s="172"/>
      <c r="AU59" s="172"/>
      <c r="AV59" s="172"/>
      <c r="AW59" s="172"/>
      <c r="AX59" s="172"/>
      <c r="AY59" s="172"/>
      <c r="AZ59" s="172"/>
      <c r="BA59" s="49"/>
    </row>
    <row r="60" spans="13:53" x14ac:dyDescent="0.25">
      <c r="M60" s="48"/>
      <c r="N60" s="172"/>
      <c r="O60" s="172"/>
      <c r="P60" s="172"/>
      <c r="Q60" s="172"/>
      <c r="R60" s="172"/>
      <c r="S60" s="172"/>
      <c r="T60" s="172"/>
      <c r="U60" s="172"/>
      <c r="V60" s="172"/>
      <c r="W60" s="172"/>
      <c r="X60" s="172"/>
      <c r="Y60" s="172"/>
      <c r="Z60" s="172"/>
      <c r="AA60" s="172"/>
      <c r="AB60" s="172"/>
      <c r="AC60" s="172"/>
      <c r="AD60" s="172"/>
      <c r="AE60" s="172"/>
      <c r="AF60" s="172"/>
      <c r="AG60" s="172"/>
      <c r="AH60" s="172"/>
      <c r="AI60" s="172"/>
      <c r="AJ60" s="172"/>
      <c r="AK60" s="172"/>
      <c r="AL60" s="172"/>
      <c r="AM60" s="172"/>
      <c r="AN60" s="172"/>
      <c r="AO60" s="172"/>
      <c r="AP60" s="172"/>
      <c r="AQ60" s="172"/>
      <c r="AR60" s="172"/>
      <c r="AS60" s="172"/>
      <c r="AT60" s="172"/>
      <c r="AU60" s="172"/>
      <c r="AV60" s="172"/>
      <c r="AW60" s="172"/>
      <c r="AX60" s="172"/>
      <c r="AY60" s="172"/>
      <c r="AZ60" s="172"/>
      <c r="BA60" s="49"/>
    </row>
    <row r="61" spans="13:53" x14ac:dyDescent="0.25">
      <c r="M61" s="48"/>
      <c r="N61" s="172"/>
      <c r="O61" s="172"/>
      <c r="P61" s="172"/>
      <c r="Q61" s="172"/>
      <c r="R61" s="172"/>
      <c r="S61" s="172"/>
      <c r="T61" s="172"/>
      <c r="U61" s="172"/>
      <c r="V61" s="172"/>
      <c r="W61" s="172"/>
      <c r="X61" s="172"/>
      <c r="Y61" s="172"/>
      <c r="Z61" s="172"/>
      <c r="AA61" s="172"/>
      <c r="AB61" s="172"/>
      <c r="AC61" s="172"/>
      <c r="AD61" s="172"/>
      <c r="AE61" s="172"/>
      <c r="AF61" s="172"/>
      <c r="AG61" s="172"/>
      <c r="AH61" s="172"/>
      <c r="AI61" s="172"/>
      <c r="AJ61" s="172"/>
      <c r="AK61" s="172"/>
      <c r="AL61" s="172"/>
      <c r="AM61" s="172"/>
      <c r="AN61" s="172"/>
      <c r="AO61" s="172"/>
      <c r="AP61" s="172"/>
      <c r="AQ61" s="172"/>
      <c r="AR61" s="172"/>
      <c r="AS61" s="172"/>
      <c r="AT61" s="172"/>
      <c r="AU61" s="172"/>
      <c r="AV61" s="172"/>
      <c r="AW61" s="172"/>
      <c r="AX61" s="172"/>
      <c r="AY61" s="172"/>
      <c r="AZ61" s="172"/>
      <c r="BA61" s="49"/>
    </row>
    <row r="62" spans="13:53" x14ac:dyDescent="0.25">
      <c r="M62" s="48"/>
      <c r="N62" s="172"/>
      <c r="O62" s="172"/>
      <c r="P62" s="172"/>
      <c r="Q62" s="172"/>
      <c r="R62" s="172"/>
      <c r="S62" s="172"/>
      <c r="T62" s="172"/>
      <c r="U62" s="172"/>
      <c r="V62" s="172"/>
      <c r="W62" s="172"/>
      <c r="X62" s="172"/>
      <c r="Y62" s="172"/>
      <c r="Z62" s="172"/>
      <c r="AA62" s="172"/>
      <c r="AB62" s="172"/>
      <c r="AC62" s="172"/>
      <c r="AD62" s="172"/>
      <c r="AE62" s="172"/>
      <c r="AF62" s="172"/>
      <c r="AG62" s="172"/>
      <c r="AH62" s="172"/>
      <c r="AI62" s="172"/>
      <c r="AJ62" s="172"/>
      <c r="AK62" s="172"/>
      <c r="AL62" s="172"/>
      <c r="AM62" s="172"/>
      <c r="AN62" s="172"/>
      <c r="AO62" s="172"/>
      <c r="AP62" s="172"/>
      <c r="AQ62" s="172"/>
      <c r="AR62" s="172"/>
      <c r="AS62" s="172"/>
      <c r="AT62" s="172"/>
      <c r="AU62" s="172"/>
      <c r="AV62" s="172"/>
      <c r="AW62" s="172"/>
      <c r="AX62" s="172"/>
      <c r="AY62" s="172"/>
      <c r="AZ62" s="172"/>
      <c r="BA62" s="49"/>
    </row>
    <row r="63" spans="13:53" x14ac:dyDescent="0.25">
      <c r="M63" s="48"/>
      <c r="N63" s="172"/>
      <c r="O63" s="172"/>
      <c r="P63" s="172"/>
      <c r="Q63" s="172"/>
      <c r="R63" s="172"/>
      <c r="S63" s="172"/>
      <c r="T63" s="172"/>
      <c r="U63" s="172"/>
      <c r="V63" s="172"/>
      <c r="W63" s="172"/>
      <c r="X63" s="172"/>
      <c r="Y63" s="172"/>
      <c r="Z63" s="172"/>
      <c r="AA63" s="172"/>
      <c r="AB63" s="172"/>
      <c r="AC63" s="172"/>
      <c r="AD63" s="172"/>
      <c r="AE63" s="172"/>
      <c r="AF63" s="172"/>
      <c r="AG63" s="172"/>
      <c r="AH63" s="172"/>
      <c r="AI63" s="172"/>
      <c r="AJ63" s="172"/>
      <c r="AK63" s="172"/>
      <c r="AL63" s="172"/>
      <c r="AM63" s="172"/>
      <c r="AN63" s="172"/>
      <c r="AO63" s="172"/>
      <c r="AP63" s="172"/>
      <c r="AQ63" s="172"/>
      <c r="AR63" s="172"/>
      <c r="AS63" s="172"/>
      <c r="AT63" s="172"/>
      <c r="AU63" s="172"/>
      <c r="AV63" s="172"/>
      <c r="AW63" s="172"/>
      <c r="AX63" s="172"/>
      <c r="AY63" s="172"/>
      <c r="AZ63" s="172"/>
      <c r="BA63" s="49"/>
    </row>
    <row r="64" spans="13:53" x14ac:dyDescent="0.25">
      <c r="M64" s="48"/>
      <c r="N64" s="172"/>
      <c r="O64" s="172"/>
      <c r="P64" s="172"/>
      <c r="Q64" s="172"/>
      <c r="R64" s="172"/>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72"/>
      <c r="AV64" s="172"/>
      <c r="AW64" s="172"/>
      <c r="AX64" s="172"/>
      <c r="AY64" s="172"/>
      <c r="AZ64" s="172"/>
      <c r="BA64" s="49"/>
    </row>
    <row r="65" spans="13:53" x14ac:dyDescent="0.25">
      <c r="M65" s="48"/>
      <c r="N65" s="172"/>
      <c r="O65" s="172"/>
      <c r="P65" s="172"/>
      <c r="Q65" s="172"/>
      <c r="R65" s="172"/>
      <c r="S65" s="172"/>
      <c r="T65" s="172"/>
      <c r="U65" s="172"/>
      <c r="V65" s="172"/>
      <c r="W65" s="172"/>
      <c r="X65" s="172"/>
      <c r="Y65" s="172"/>
      <c r="Z65" s="172"/>
      <c r="AA65" s="172"/>
      <c r="AB65" s="172"/>
      <c r="AC65" s="172"/>
      <c r="AD65" s="172"/>
      <c r="AE65" s="172"/>
      <c r="AF65" s="172"/>
      <c r="AG65" s="172"/>
      <c r="AH65" s="172"/>
      <c r="AI65" s="172"/>
      <c r="AJ65" s="172"/>
      <c r="AK65" s="172"/>
      <c r="AL65" s="172"/>
      <c r="AM65" s="172"/>
      <c r="AN65" s="172"/>
      <c r="AO65" s="172"/>
      <c r="AP65" s="172"/>
      <c r="AQ65" s="172"/>
      <c r="AR65" s="172"/>
      <c r="AS65" s="172"/>
      <c r="AT65" s="172"/>
      <c r="AU65" s="172"/>
      <c r="AV65" s="172"/>
      <c r="AW65" s="172"/>
      <c r="AX65" s="172"/>
      <c r="AY65" s="172"/>
      <c r="AZ65" s="172"/>
      <c r="BA65" s="49"/>
    </row>
    <row r="66" spans="13:53" x14ac:dyDescent="0.25">
      <c r="M66" s="48"/>
      <c r="N66" s="172"/>
      <c r="O66" s="172"/>
      <c r="P66" s="172"/>
      <c r="Q66" s="172"/>
      <c r="R66" s="172"/>
      <c r="S66" s="172"/>
      <c r="T66" s="172"/>
      <c r="U66" s="172"/>
      <c r="V66" s="172"/>
      <c r="W66" s="172"/>
      <c r="X66" s="172"/>
      <c r="Y66" s="172"/>
      <c r="Z66" s="172"/>
      <c r="AA66" s="172"/>
      <c r="AB66" s="172"/>
      <c r="AC66" s="172"/>
      <c r="AD66" s="172"/>
      <c r="AE66" s="172"/>
      <c r="AF66" s="172"/>
      <c r="AG66" s="172"/>
      <c r="AH66" s="172"/>
      <c r="AI66" s="172"/>
      <c r="AJ66" s="172"/>
      <c r="AK66" s="172"/>
      <c r="AL66" s="172"/>
      <c r="AM66" s="172"/>
      <c r="AN66" s="172"/>
      <c r="AO66" s="172"/>
      <c r="AP66" s="172"/>
      <c r="AQ66" s="172"/>
      <c r="AR66" s="172"/>
      <c r="AS66" s="172"/>
      <c r="AT66" s="172"/>
      <c r="AU66" s="172"/>
      <c r="AV66" s="172"/>
      <c r="AW66" s="172"/>
      <c r="AX66" s="172"/>
      <c r="AY66" s="172"/>
      <c r="AZ66" s="172"/>
      <c r="BA66" s="49"/>
    </row>
    <row r="67" spans="13:53" x14ac:dyDescent="0.25">
      <c r="M67" s="48"/>
      <c r="N67" s="172"/>
      <c r="O67" s="172"/>
      <c r="P67" s="172"/>
      <c r="Q67" s="172"/>
      <c r="R67" s="172"/>
      <c r="S67" s="172"/>
      <c r="T67" s="172"/>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72"/>
      <c r="AV67" s="172"/>
      <c r="AW67" s="172"/>
      <c r="AX67" s="172"/>
      <c r="AY67" s="172"/>
      <c r="AZ67" s="172"/>
      <c r="BA67" s="49"/>
    </row>
    <row r="68" spans="13:53" x14ac:dyDescent="0.25">
      <c r="M68" s="48"/>
      <c r="N68" s="172"/>
      <c r="O68" s="172"/>
      <c r="P68" s="172"/>
      <c r="Q68" s="172"/>
      <c r="R68" s="172"/>
      <c r="S68" s="172"/>
      <c r="T68" s="172"/>
      <c r="U68" s="172"/>
      <c r="V68" s="172"/>
      <c r="W68" s="172"/>
      <c r="X68" s="172"/>
      <c r="Y68" s="172"/>
      <c r="Z68" s="172"/>
      <c r="AA68" s="172"/>
      <c r="AB68" s="172"/>
      <c r="AC68" s="172"/>
      <c r="AD68" s="172"/>
      <c r="AE68" s="172"/>
      <c r="AF68" s="172"/>
      <c r="AG68" s="172"/>
      <c r="AH68" s="172"/>
      <c r="AI68" s="172"/>
      <c r="AJ68" s="172"/>
      <c r="AK68" s="172"/>
      <c r="AL68" s="172"/>
      <c r="AM68" s="172"/>
      <c r="AN68" s="172"/>
      <c r="AO68" s="172"/>
      <c r="AP68" s="172"/>
      <c r="AQ68" s="172"/>
      <c r="AR68" s="172"/>
      <c r="AS68" s="172"/>
      <c r="AT68" s="172"/>
      <c r="AU68" s="172"/>
      <c r="AV68" s="172"/>
      <c r="AW68" s="172"/>
      <c r="AX68" s="172"/>
      <c r="AY68" s="172"/>
      <c r="AZ68" s="172"/>
      <c r="BA68" s="49"/>
    </row>
    <row r="69" spans="13:53" x14ac:dyDescent="0.25">
      <c r="M69" s="48"/>
      <c r="N69" s="172"/>
      <c r="O69" s="172"/>
      <c r="P69" s="172"/>
      <c r="Q69" s="172"/>
      <c r="R69" s="172"/>
      <c r="S69" s="172"/>
      <c r="T69" s="172"/>
      <c r="U69" s="172"/>
      <c r="V69" s="172"/>
      <c r="W69" s="172"/>
      <c r="X69" s="172"/>
      <c r="Y69" s="172"/>
      <c r="Z69" s="172"/>
      <c r="AA69" s="172"/>
      <c r="AB69" s="172"/>
      <c r="AC69" s="172"/>
      <c r="AD69" s="172"/>
      <c r="AE69" s="172"/>
      <c r="AF69" s="172"/>
      <c r="AG69" s="172"/>
      <c r="AH69" s="172"/>
      <c r="AI69" s="172"/>
      <c r="AJ69" s="172"/>
      <c r="AK69" s="172"/>
      <c r="AL69" s="172"/>
      <c r="AM69" s="172"/>
      <c r="AN69" s="172"/>
      <c r="AO69" s="172"/>
      <c r="AP69" s="172"/>
      <c r="AQ69" s="172"/>
      <c r="AR69" s="172"/>
      <c r="AS69" s="172"/>
      <c r="AT69" s="172"/>
      <c r="AU69" s="172"/>
      <c r="AV69" s="172"/>
      <c r="AW69" s="172"/>
      <c r="AX69" s="172"/>
      <c r="AY69" s="172"/>
      <c r="AZ69" s="172"/>
      <c r="BA69" s="49"/>
    </row>
    <row r="70" spans="13:53" x14ac:dyDescent="0.25">
      <c r="M70" s="48"/>
      <c r="N70" s="172"/>
      <c r="O70" s="172"/>
      <c r="P70" s="172"/>
      <c r="Q70" s="172"/>
      <c r="R70" s="172"/>
      <c r="S70" s="172"/>
      <c r="T70" s="172"/>
      <c r="U70" s="172"/>
      <c r="V70" s="172"/>
      <c r="W70" s="172"/>
      <c r="X70" s="172"/>
      <c r="Y70" s="172"/>
      <c r="Z70" s="172"/>
      <c r="AA70" s="172"/>
      <c r="AB70" s="172"/>
      <c r="AC70" s="172"/>
      <c r="AD70" s="172"/>
      <c r="AE70" s="172"/>
      <c r="AF70" s="172"/>
      <c r="AG70" s="172"/>
      <c r="AH70" s="172"/>
      <c r="AI70" s="172"/>
      <c r="AJ70" s="172"/>
      <c r="AK70" s="172"/>
      <c r="AL70" s="172"/>
      <c r="AM70" s="172"/>
      <c r="AN70" s="172"/>
      <c r="AO70" s="172"/>
      <c r="AP70" s="172"/>
      <c r="AQ70" s="172"/>
      <c r="AR70" s="172"/>
      <c r="AS70" s="172"/>
      <c r="AT70" s="172"/>
      <c r="AU70" s="172"/>
      <c r="AV70" s="172"/>
      <c r="AW70" s="172"/>
      <c r="AX70" s="172"/>
      <c r="AY70" s="172"/>
      <c r="AZ70" s="172"/>
      <c r="BA70" s="49"/>
    </row>
    <row r="71" spans="13:53" x14ac:dyDescent="0.25">
      <c r="M71" s="48"/>
      <c r="N71" s="172"/>
      <c r="O71" s="172"/>
      <c r="P71" s="172"/>
      <c r="Q71" s="172"/>
      <c r="R71" s="172"/>
      <c r="S71" s="172"/>
      <c r="T71" s="172"/>
      <c r="U71" s="172"/>
      <c r="V71" s="172"/>
      <c r="W71" s="172"/>
      <c r="X71" s="172"/>
      <c r="Y71" s="172"/>
      <c r="Z71" s="172"/>
      <c r="AA71" s="172"/>
      <c r="AB71" s="172"/>
      <c r="AC71" s="172"/>
      <c r="AD71" s="172"/>
      <c r="AE71" s="172"/>
      <c r="AF71" s="172"/>
      <c r="AG71" s="172"/>
      <c r="AH71" s="172"/>
      <c r="AI71" s="172"/>
      <c r="AJ71" s="172"/>
      <c r="AK71" s="172"/>
      <c r="AL71" s="172"/>
      <c r="AM71" s="172"/>
      <c r="AN71" s="172"/>
      <c r="AO71" s="172"/>
      <c r="AP71" s="172"/>
      <c r="AQ71" s="172"/>
      <c r="AR71" s="172"/>
      <c r="AS71" s="172"/>
      <c r="AT71" s="172"/>
      <c r="AU71" s="172"/>
      <c r="AV71" s="172"/>
      <c r="AW71" s="172"/>
      <c r="AX71" s="172"/>
      <c r="AY71" s="172"/>
      <c r="AZ71" s="172"/>
      <c r="BA71" s="49"/>
    </row>
    <row r="72" spans="13:53" x14ac:dyDescent="0.25">
      <c r="M72" s="48"/>
      <c r="N72" s="172"/>
      <c r="O72" s="172"/>
      <c r="P72" s="172"/>
      <c r="Q72" s="172"/>
      <c r="R72" s="172"/>
      <c r="S72" s="172"/>
      <c r="T72" s="172"/>
      <c r="U72" s="172"/>
      <c r="V72" s="172"/>
      <c r="W72" s="172"/>
      <c r="X72" s="172"/>
      <c r="Y72" s="172"/>
      <c r="Z72" s="172"/>
      <c r="AA72" s="172"/>
      <c r="AB72" s="172"/>
      <c r="AC72" s="172"/>
      <c r="AD72" s="172"/>
      <c r="AE72" s="172"/>
      <c r="AF72" s="172"/>
      <c r="AG72" s="172"/>
      <c r="AH72" s="172"/>
      <c r="AI72" s="172"/>
      <c r="AJ72" s="172"/>
      <c r="AK72" s="172"/>
      <c r="AL72" s="172"/>
      <c r="AM72" s="172"/>
      <c r="AN72" s="172"/>
      <c r="AO72" s="172"/>
      <c r="AP72" s="172"/>
      <c r="AQ72" s="172"/>
      <c r="AR72" s="172"/>
      <c r="AS72" s="172"/>
      <c r="AT72" s="172"/>
      <c r="AU72" s="172"/>
      <c r="AV72" s="172"/>
      <c r="AW72" s="172"/>
      <c r="AX72" s="172"/>
      <c r="AY72" s="172"/>
      <c r="AZ72" s="172"/>
      <c r="BA72" s="49"/>
    </row>
    <row r="73" spans="13:53" x14ac:dyDescent="0.25">
      <c r="M73" s="48"/>
      <c r="N73" s="172"/>
      <c r="O73" s="172"/>
      <c r="P73" s="172"/>
      <c r="Q73" s="172"/>
      <c r="R73" s="172"/>
      <c r="S73" s="172"/>
      <c r="T73" s="172"/>
      <c r="U73" s="172"/>
      <c r="V73" s="172"/>
      <c r="W73" s="172"/>
      <c r="X73" s="172"/>
      <c r="Y73" s="172"/>
      <c r="Z73" s="172"/>
      <c r="AA73" s="172"/>
      <c r="AB73" s="172"/>
      <c r="AC73" s="172"/>
      <c r="AD73" s="172"/>
      <c r="AE73" s="172"/>
      <c r="AF73" s="172"/>
      <c r="AG73" s="172"/>
      <c r="AH73" s="172"/>
      <c r="AI73" s="172"/>
      <c r="AJ73" s="172"/>
      <c r="AK73" s="172"/>
      <c r="AL73" s="172"/>
      <c r="AM73" s="172"/>
      <c r="AN73" s="172"/>
      <c r="AO73" s="172"/>
      <c r="AP73" s="172"/>
      <c r="AQ73" s="172"/>
      <c r="AR73" s="172"/>
      <c r="AS73" s="172"/>
      <c r="AT73" s="172"/>
      <c r="AU73" s="172"/>
      <c r="AV73" s="172"/>
      <c r="AW73" s="172"/>
      <c r="AX73" s="172"/>
      <c r="AY73" s="172"/>
      <c r="AZ73" s="172"/>
      <c r="BA73" s="49"/>
    </row>
    <row r="74" spans="13:53" x14ac:dyDescent="0.25">
      <c r="M74" s="48"/>
      <c r="N74" s="172"/>
      <c r="O74" s="172"/>
      <c r="P74" s="172"/>
      <c r="Q74" s="172"/>
      <c r="R74" s="172"/>
      <c r="S74" s="172"/>
      <c r="T74" s="172"/>
      <c r="U74" s="172"/>
      <c r="V74" s="172"/>
      <c r="W74" s="172"/>
      <c r="X74" s="172"/>
      <c r="Y74" s="172"/>
      <c r="Z74" s="172"/>
      <c r="AA74" s="172"/>
      <c r="AB74" s="172"/>
      <c r="AC74" s="172"/>
      <c r="AD74" s="172"/>
      <c r="AE74" s="172"/>
      <c r="AF74" s="172"/>
      <c r="AG74" s="172"/>
      <c r="AH74" s="172"/>
      <c r="AI74" s="172"/>
      <c r="AJ74" s="172"/>
      <c r="AK74" s="172"/>
      <c r="AL74" s="172"/>
      <c r="AM74" s="172"/>
      <c r="AN74" s="172"/>
      <c r="AO74" s="172"/>
      <c r="AP74" s="172"/>
      <c r="AQ74" s="172"/>
      <c r="AR74" s="172"/>
      <c r="AS74" s="172"/>
      <c r="AT74" s="172"/>
      <c r="AU74" s="172"/>
      <c r="AV74" s="172"/>
      <c r="AW74" s="172"/>
      <c r="AX74" s="172"/>
      <c r="AY74" s="172"/>
      <c r="AZ74" s="172"/>
      <c r="BA74" s="49"/>
    </row>
    <row r="75" spans="13:53" x14ac:dyDescent="0.25">
      <c r="M75" s="48"/>
      <c r="N75" s="172"/>
      <c r="O75" s="172"/>
      <c r="P75" s="172"/>
      <c r="Q75" s="172"/>
      <c r="R75" s="172"/>
      <c r="S75" s="172"/>
      <c r="T75" s="172"/>
      <c r="U75" s="172"/>
      <c r="V75" s="172"/>
      <c r="W75" s="172"/>
      <c r="X75" s="172"/>
      <c r="Y75" s="172"/>
      <c r="Z75" s="172"/>
      <c r="AA75" s="172"/>
      <c r="AB75" s="172"/>
      <c r="AC75" s="172"/>
      <c r="AD75" s="172"/>
      <c r="AE75" s="172"/>
      <c r="AF75" s="172"/>
      <c r="AG75" s="172"/>
      <c r="AH75" s="172"/>
      <c r="AI75" s="172"/>
      <c r="AJ75" s="172"/>
      <c r="AK75" s="172"/>
      <c r="AL75" s="172"/>
      <c r="AM75" s="172"/>
      <c r="AN75" s="172"/>
      <c r="AO75" s="172"/>
      <c r="AP75" s="172"/>
      <c r="AQ75" s="172"/>
      <c r="AR75" s="172"/>
      <c r="AS75" s="172"/>
      <c r="AT75" s="172"/>
      <c r="AU75" s="172"/>
      <c r="AV75" s="172"/>
      <c r="AW75" s="172"/>
      <c r="AX75" s="172"/>
      <c r="AY75" s="172"/>
      <c r="AZ75" s="172"/>
      <c r="BA75" s="49"/>
    </row>
    <row r="76" spans="13:53" x14ac:dyDescent="0.25">
      <c r="M76" s="48"/>
      <c r="N76" s="172"/>
      <c r="O76" s="172"/>
      <c r="P76" s="172"/>
      <c r="Q76" s="172"/>
      <c r="R76" s="172"/>
      <c r="S76" s="172"/>
      <c r="T76" s="172"/>
      <c r="U76" s="172"/>
      <c r="V76" s="172"/>
      <c r="W76" s="172"/>
      <c r="X76" s="172"/>
      <c r="Y76" s="172"/>
      <c r="Z76" s="172"/>
      <c r="AA76" s="172"/>
      <c r="AB76" s="172"/>
      <c r="AC76" s="172"/>
      <c r="AD76" s="172"/>
      <c r="AE76" s="172"/>
      <c r="AF76" s="172"/>
      <c r="AG76" s="172"/>
      <c r="AH76" s="172"/>
      <c r="AI76" s="172"/>
      <c r="AJ76" s="172"/>
      <c r="AK76" s="172"/>
      <c r="AL76" s="172"/>
      <c r="AM76" s="172"/>
      <c r="AN76" s="172"/>
      <c r="AO76" s="172"/>
      <c r="AP76" s="172"/>
      <c r="AQ76" s="172"/>
      <c r="AR76" s="172"/>
      <c r="AS76" s="172"/>
      <c r="AT76" s="172"/>
      <c r="AU76" s="172"/>
      <c r="AV76" s="172"/>
      <c r="AW76" s="172"/>
      <c r="AX76" s="172"/>
      <c r="AY76" s="172"/>
      <c r="AZ76" s="172"/>
      <c r="BA76" s="49"/>
    </row>
    <row r="77" spans="13:53" x14ac:dyDescent="0.25">
      <c r="M77" s="48"/>
      <c r="N77" s="172"/>
      <c r="O77" s="172"/>
      <c r="P77" s="172"/>
      <c r="Q77" s="172"/>
      <c r="R77" s="172"/>
      <c r="S77" s="172"/>
      <c r="T77" s="172"/>
      <c r="U77" s="172"/>
      <c r="V77" s="172"/>
      <c r="W77" s="172"/>
      <c r="X77" s="172"/>
      <c r="Y77" s="172"/>
      <c r="Z77" s="172"/>
      <c r="AA77" s="172"/>
      <c r="AB77" s="172"/>
      <c r="AC77" s="172"/>
      <c r="AD77" s="172"/>
      <c r="AE77" s="172"/>
      <c r="AF77" s="172"/>
      <c r="AG77" s="172"/>
      <c r="AH77" s="172"/>
      <c r="AI77" s="172"/>
      <c r="AJ77" s="172"/>
      <c r="AK77" s="172"/>
      <c r="AL77" s="172"/>
      <c r="AM77" s="172"/>
      <c r="AN77" s="172"/>
      <c r="AO77" s="172"/>
      <c r="AP77" s="172"/>
      <c r="AQ77" s="172"/>
      <c r="AR77" s="172"/>
      <c r="AS77" s="172"/>
      <c r="AT77" s="172"/>
      <c r="AU77" s="172"/>
      <c r="AV77" s="172"/>
      <c r="AW77" s="172"/>
      <c r="AX77" s="172"/>
      <c r="AY77" s="172"/>
      <c r="AZ77" s="172"/>
      <c r="BA77" s="49"/>
    </row>
    <row r="78" spans="13:53" x14ac:dyDescent="0.25">
      <c r="M78" s="48"/>
      <c r="N78" s="172"/>
      <c r="O78" s="172"/>
      <c r="P78" s="172"/>
      <c r="Q78" s="172"/>
      <c r="R78" s="172"/>
      <c r="S78" s="172"/>
      <c r="T78" s="172"/>
      <c r="U78" s="172"/>
      <c r="V78" s="172"/>
      <c r="W78" s="172"/>
      <c r="X78" s="172"/>
      <c r="Y78" s="172"/>
      <c r="Z78" s="172"/>
      <c r="AA78" s="172"/>
      <c r="AB78" s="172"/>
      <c r="AC78" s="172"/>
      <c r="AD78" s="172"/>
      <c r="AE78" s="172"/>
      <c r="AF78" s="172"/>
      <c r="AG78" s="172"/>
      <c r="AH78" s="172"/>
      <c r="AI78" s="172"/>
      <c r="AJ78" s="172"/>
      <c r="AK78" s="172"/>
      <c r="AL78" s="172"/>
      <c r="AM78" s="172"/>
      <c r="AN78" s="172"/>
      <c r="AO78" s="172"/>
      <c r="AP78" s="172"/>
      <c r="AQ78" s="172"/>
      <c r="AR78" s="172"/>
      <c r="AS78" s="172"/>
      <c r="AT78" s="172"/>
      <c r="AU78" s="172"/>
      <c r="AV78" s="172"/>
      <c r="AW78" s="172"/>
      <c r="AX78" s="172"/>
      <c r="AY78" s="172"/>
      <c r="AZ78" s="172"/>
      <c r="BA78" s="49"/>
    </row>
    <row r="79" spans="13:53" x14ac:dyDescent="0.25">
      <c r="M79" s="48"/>
      <c r="N79" s="172"/>
      <c r="O79" s="172"/>
      <c r="P79" s="172"/>
      <c r="Q79" s="172"/>
      <c r="R79" s="172"/>
      <c r="S79" s="172"/>
      <c r="T79" s="172"/>
      <c r="U79" s="172"/>
      <c r="V79" s="172"/>
      <c r="W79" s="172"/>
      <c r="X79" s="172"/>
      <c r="Y79" s="172"/>
      <c r="Z79" s="172"/>
      <c r="AA79" s="172"/>
      <c r="AB79" s="172"/>
      <c r="AC79" s="172"/>
      <c r="AD79" s="172"/>
      <c r="AE79" s="172"/>
      <c r="AF79" s="172"/>
      <c r="AG79" s="172"/>
      <c r="AH79" s="172"/>
      <c r="AI79" s="172"/>
      <c r="AJ79" s="172"/>
      <c r="AK79" s="172"/>
      <c r="AL79" s="172"/>
      <c r="AM79" s="172"/>
      <c r="AN79" s="172"/>
      <c r="AO79" s="172"/>
      <c r="AP79" s="172"/>
      <c r="AQ79" s="172"/>
      <c r="AR79" s="172"/>
      <c r="AS79" s="172"/>
      <c r="AT79" s="172"/>
      <c r="AU79" s="172"/>
      <c r="AV79" s="172"/>
      <c r="AW79" s="172"/>
      <c r="AX79" s="172"/>
      <c r="AY79" s="172"/>
      <c r="AZ79" s="172"/>
      <c r="BA79" s="49"/>
    </row>
    <row r="80" spans="13:53" ht="14.4" thickBot="1" x14ac:dyDescent="0.3">
      <c r="M80" s="50"/>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2"/>
    </row>
  </sheetData>
  <pageMargins left="0.7" right="0.7" top="0.75" bottom="0.75" header="0.3" footer="0.3"/>
  <pageSetup scale="25" orientation="landscape" horizontalDpi="300" verticalDpi="300" r:id="rId1"/>
  <headerFooter>
    <oddHeader>&amp;C&amp;"-,Bold"&amp;28&amp;A&amp;R&amp;"-,Bold"&amp;28&amp;P</oddHeader>
  </headerFooter>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
  <sheetViews>
    <sheetView zoomScale="120" zoomScaleNormal="120" workbookViewId="0">
      <selection activeCell="A3" sqref="A3:M51"/>
    </sheetView>
  </sheetViews>
  <sheetFormatPr defaultColWidth="9.109375" defaultRowHeight="13.2" x14ac:dyDescent="0.25"/>
  <cols>
    <col min="1" max="16384" width="9.109375" style="39"/>
  </cols>
  <sheetData/>
  <pageMargins left="0.7" right="0.7" top="0.75" bottom="0.75" header="0.3" footer="0.3"/>
  <pageSetup orientation="portrait" horizontalDpi="300" verticalDpi="300" r:id="rId1"/>
  <headerFooter>
    <oddHeader>&amp;C&amp;"-,Bold"&amp;28&amp;A&amp;R&amp;"-,Bold"&amp;28&amp;P</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J45"/>
  <sheetViews>
    <sheetView topLeftCell="A26" zoomScaleNormal="100" workbookViewId="0">
      <selection activeCell="D48" sqref="D48"/>
    </sheetView>
  </sheetViews>
  <sheetFormatPr defaultColWidth="25.6640625" defaultRowHeight="13.2" x14ac:dyDescent="0.25"/>
  <cols>
    <col min="1" max="1" width="40.44140625" bestFit="1" customWidth="1"/>
    <col min="2" max="2" width="21.6640625" bestFit="1" customWidth="1"/>
    <col min="3" max="3" width="20.109375" bestFit="1" customWidth="1"/>
    <col min="4" max="4" width="20.44140625" bestFit="1" customWidth="1"/>
    <col min="5" max="5" width="21.6640625" bestFit="1" customWidth="1"/>
    <col min="6" max="6" width="19.6640625" bestFit="1" customWidth="1"/>
  </cols>
  <sheetData>
    <row r="1" spans="1:10" ht="33.75" customHeight="1" thickBot="1" x14ac:dyDescent="0.35">
      <c r="A1" s="55" t="s">
        <v>67</v>
      </c>
      <c r="B1" s="56"/>
      <c r="C1" s="56"/>
      <c r="D1" s="56"/>
      <c r="E1" s="56"/>
      <c r="F1" s="56"/>
      <c r="H1" s="16"/>
      <c r="I1" s="16"/>
      <c r="J1" s="16"/>
    </row>
    <row r="2" spans="1:10" s="57" customFormat="1" ht="28.5" customHeight="1" thickBot="1" x14ac:dyDescent="0.35">
      <c r="A2" s="22" t="s">
        <v>30</v>
      </c>
      <c r="B2" s="42" t="s">
        <v>41</v>
      </c>
      <c r="C2" s="42" t="s">
        <v>42</v>
      </c>
      <c r="D2" s="42" t="s">
        <v>43</v>
      </c>
      <c r="E2" s="42" t="s">
        <v>40</v>
      </c>
      <c r="F2" s="42" t="s">
        <v>44</v>
      </c>
    </row>
    <row r="3" spans="1:10" ht="15.75" customHeight="1" x14ac:dyDescent="0.25">
      <c r="A3" s="71" t="s">
        <v>54</v>
      </c>
      <c r="B3" s="20">
        <v>50000000</v>
      </c>
      <c r="C3" s="20">
        <v>65000000</v>
      </c>
      <c r="D3" s="20">
        <v>85000000</v>
      </c>
      <c r="E3" s="20">
        <v>101666666.666667</v>
      </c>
      <c r="F3" s="24">
        <v>15000000</v>
      </c>
    </row>
    <row r="4" spans="1:10" ht="15.75" customHeight="1" x14ac:dyDescent="0.25">
      <c r="A4" s="23" t="s">
        <v>36</v>
      </c>
      <c r="B4" s="20">
        <v>2000000</v>
      </c>
      <c r="C4" s="20">
        <v>3000000</v>
      </c>
      <c r="D4" s="20">
        <v>4000000</v>
      </c>
      <c r="E4" s="20">
        <v>5000000</v>
      </c>
      <c r="F4" s="24">
        <v>4000000</v>
      </c>
    </row>
    <row r="5" spans="1:10" ht="14.25" customHeight="1" x14ac:dyDescent="0.25">
      <c r="A5" s="23" t="s">
        <v>24</v>
      </c>
      <c r="B5" s="20">
        <v>200000</v>
      </c>
      <c r="C5" s="20">
        <v>220000</v>
      </c>
      <c r="D5" s="20">
        <v>242000</v>
      </c>
      <c r="E5" s="20">
        <v>262666.66666666698</v>
      </c>
      <c r="F5" s="24">
        <v>242000</v>
      </c>
    </row>
    <row r="6" spans="1:10" ht="15.75" customHeight="1" x14ac:dyDescent="0.25">
      <c r="A6" s="23" t="s">
        <v>13</v>
      </c>
      <c r="B6" s="20">
        <v>1250000</v>
      </c>
      <c r="C6" s="20">
        <v>1375000</v>
      </c>
      <c r="D6" s="20">
        <v>1512500</v>
      </c>
      <c r="E6" s="20">
        <v>1641666.66666667</v>
      </c>
      <c r="F6" s="24">
        <v>600000</v>
      </c>
    </row>
    <row r="7" spans="1:10" ht="15.75" customHeight="1" x14ac:dyDescent="0.25">
      <c r="A7" s="23" t="s">
        <v>15</v>
      </c>
      <c r="B7" s="20">
        <v>1500000</v>
      </c>
      <c r="C7" s="20">
        <v>1650000</v>
      </c>
      <c r="D7" s="20">
        <v>1815000</v>
      </c>
      <c r="E7" s="20">
        <v>1970000</v>
      </c>
      <c r="F7" s="24">
        <v>750000</v>
      </c>
    </row>
    <row r="8" spans="1:10" ht="15.75" customHeight="1" x14ac:dyDescent="0.25">
      <c r="A8" s="23" t="s">
        <v>16</v>
      </c>
      <c r="B8" s="20">
        <v>500000</v>
      </c>
      <c r="C8" s="20">
        <v>550000</v>
      </c>
      <c r="D8" s="20">
        <v>605000</v>
      </c>
      <c r="E8" s="20">
        <v>656666.66666666698</v>
      </c>
      <c r="F8" s="24">
        <v>605000</v>
      </c>
    </row>
    <row r="9" spans="1:10" ht="15.75" customHeight="1" thickBot="1" x14ac:dyDescent="0.3">
      <c r="A9" s="72" t="s">
        <v>53</v>
      </c>
      <c r="B9" s="17">
        <f>SUM(B3:B8)</f>
        <v>55450000</v>
      </c>
      <c r="C9" s="17">
        <f>SUM(C3:C8)</f>
        <v>71795000</v>
      </c>
      <c r="D9" s="17">
        <f>SUM(D3:D8)</f>
        <v>93174500</v>
      </c>
      <c r="E9" s="17">
        <f>SUM(E3:E8)</f>
        <v>111197666.66666701</v>
      </c>
      <c r="F9" s="25">
        <f>SUM(F3:F8)</f>
        <v>21197000</v>
      </c>
    </row>
    <row r="10" spans="1:10" ht="15.75" customHeight="1" thickTop="1" thickBot="1" x14ac:dyDescent="0.3">
      <c r="A10" s="26"/>
      <c r="B10" s="27"/>
      <c r="C10" s="27"/>
      <c r="D10" s="27"/>
      <c r="E10" s="27"/>
      <c r="F10" s="28"/>
    </row>
    <row r="11" spans="1:10" s="83" customFormat="1" ht="15.75" customHeight="1" thickBot="1" x14ac:dyDescent="0.3">
      <c r="B11" s="84"/>
      <c r="C11" s="84"/>
      <c r="D11" s="84"/>
      <c r="E11" s="84"/>
      <c r="F11" s="84"/>
    </row>
    <row r="12" spans="1:10" s="54" customFormat="1" ht="27" customHeight="1" thickBot="1" x14ac:dyDescent="0.3">
      <c r="A12" s="53" t="s">
        <v>25</v>
      </c>
      <c r="B12" s="42" t="s">
        <v>41</v>
      </c>
      <c r="C12" s="42" t="s">
        <v>42</v>
      </c>
      <c r="D12" s="42" t="s">
        <v>43</v>
      </c>
      <c r="E12" s="42" t="s">
        <v>40</v>
      </c>
      <c r="F12" s="42" t="s">
        <v>44</v>
      </c>
    </row>
    <row r="13" spans="1:10" ht="12.75" customHeight="1" x14ac:dyDescent="0.25">
      <c r="A13" s="29" t="s">
        <v>23</v>
      </c>
      <c r="B13" s="21">
        <v>350000</v>
      </c>
      <c r="C13" s="21">
        <v>392000</v>
      </c>
      <c r="D13" s="21">
        <v>439040</v>
      </c>
      <c r="E13" s="21">
        <v>482720</v>
      </c>
      <c r="F13" s="30">
        <v>350000</v>
      </c>
    </row>
    <row r="14" spans="1:10" ht="12.75" customHeight="1" x14ac:dyDescent="0.25">
      <c r="A14" s="29" t="s">
        <v>0</v>
      </c>
      <c r="B14" s="21">
        <v>15000</v>
      </c>
      <c r="C14" s="21">
        <v>16800</v>
      </c>
      <c r="D14" s="21">
        <v>18816</v>
      </c>
      <c r="E14" s="21">
        <v>20688</v>
      </c>
      <c r="F14" s="30">
        <v>15000</v>
      </c>
    </row>
    <row r="15" spans="1:10" ht="12.75" customHeight="1" x14ac:dyDescent="0.25">
      <c r="A15" s="29" t="s">
        <v>1</v>
      </c>
      <c r="B15" s="21">
        <v>3000</v>
      </c>
      <c r="C15" s="21">
        <v>3360</v>
      </c>
      <c r="D15" s="21">
        <v>3763.2</v>
      </c>
      <c r="E15" s="21">
        <v>4137.6000000000004</v>
      </c>
      <c r="F15" s="30">
        <v>3000</v>
      </c>
    </row>
    <row r="16" spans="1:10" ht="12.75" customHeight="1" x14ac:dyDescent="0.25">
      <c r="A16" s="29" t="s">
        <v>2</v>
      </c>
      <c r="B16" s="21">
        <v>1750</v>
      </c>
      <c r="C16" s="21">
        <v>1960</v>
      </c>
      <c r="D16" s="21">
        <v>2195.1999999999998</v>
      </c>
      <c r="E16" s="21">
        <v>2413.6</v>
      </c>
      <c r="F16" s="30">
        <v>1750</v>
      </c>
    </row>
    <row r="17" spans="1:6" ht="12.75" customHeight="1" x14ac:dyDescent="0.25">
      <c r="A17" s="29" t="s">
        <v>14</v>
      </c>
      <c r="B17" s="21">
        <v>20000</v>
      </c>
      <c r="C17" s="21">
        <v>22400</v>
      </c>
      <c r="D17" s="21">
        <v>25088</v>
      </c>
      <c r="E17" s="21">
        <v>27584</v>
      </c>
      <c r="F17" s="30">
        <v>20000</v>
      </c>
    </row>
    <row r="18" spans="1:6" ht="12.75" customHeight="1" x14ac:dyDescent="0.25">
      <c r="A18" s="29" t="s">
        <v>3</v>
      </c>
      <c r="B18" s="21">
        <v>2500</v>
      </c>
      <c r="C18" s="21">
        <v>2800</v>
      </c>
      <c r="D18" s="21">
        <v>3136</v>
      </c>
      <c r="E18" s="21">
        <v>3448</v>
      </c>
      <c r="F18" s="30">
        <v>2500</v>
      </c>
    </row>
    <row r="19" spans="1:6" ht="12.75" customHeight="1" x14ac:dyDescent="0.25">
      <c r="A19" s="29" t="s">
        <v>22</v>
      </c>
      <c r="B19" s="21">
        <v>15000000</v>
      </c>
      <c r="C19" s="21">
        <v>18000000</v>
      </c>
      <c r="D19" s="21">
        <v>21000000</v>
      </c>
      <c r="E19" s="21">
        <v>24000000</v>
      </c>
      <c r="F19" s="30">
        <v>11000000</v>
      </c>
    </row>
    <row r="20" spans="1:6" ht="13.5" customHeight="1" thickBot="1" x14ac:dyDescent="0.3">
      <c r="A20" s="73" t="s">
        <v>26</v>
      </c>
      <c r="B20" s="18">
        <f>SUM(B13:B19)</f>
        <v>15392250</v>
      </c>
      <c r="C20" s="18">
        <f>SUM(C13:C19)</f>
        <v>18439320</v>
      </c>
      <c r="D20" s="18">
        <f>SUM(D13:D19)</f>
        <v>21492038.399999999</v>
      </c>
      <c r="E20" s="18">
        <f>SUM(E13:E19)</f>
        <v>24540991.199999999</v>
      </c>
      <c r="F20" s="31">
        <f>SUM(F13:F19)</f>
        <v>11392250</v>
      </c>
    </row>
    <row r="21" spans="1:6" ht="14.25" customHeight="1" thickTop="1" thickBot="1" x14ac:dyDescent="0.3">
      <c r="A21" s="26"/>
      <c r="B21" s="32"/>
      <c r="C21" s="32"/>
      <c r="D21" s="32"/>
      <c r="E21" s="32"/>
      <c r="F21" s="33"/>
    </row>
    <row r="22" spans="1:6" s="83" customFormat="1" ht="13.5" customHeight="1" thickBot="1" x14ac:dyDescent="0.3">
      <c r="B22" s="85"/>
      <c r="C22" s="85"/>
      <c r="D22" s="85"/>
      <c r="E22" s="85"/>
      <c r="F22" s="85"/>
    </row>
    <row r="23" spans="1:6" ht="18.75" customHeight="1" thickBot="1" x14ac:dyDescent="0.35">
      <c r="A23" s="22" t="s">
        <v>35</v>
      </c>
      <c r="B23" s="74">
        <v>5000000</v>
      </c>
      <c r="C23" s="74">
        <v>7000000</v>
      </c>
      <c r="D23" s="74">
        <v>10000000</v>
      </c>
      <c r="E23" s="74">
        <v>12333333.3333333</v>
      </c>
      <c r="F23" s="75">
        <v>2000000</v>
      </c>
    </row>
    <row r="24" spans="1:6" s="83" customFormat="1" ht="13.5" customHeight="1" thickBot="1" x14ac:dyDescent="0.3">
      <c r="B24" s="85"/>
      <c r="C24" s="85"/>
      <c r="D24" s="85"/>
      <c r="E24" s="85"/>
      <c r="F24" s="85"/>
    </row>
    <row r="25" spans="1:6" s="54" customFormat="1" ht="27" customHeight="1" thickBot="1" x14ac:dyDescent="0.3">
      <c r="A25" s="53" t="s">
        <v>56</v>
      </c>
      <c r="B25" s="42" t="s">
        <v>41</v>
      </c>
      <c r="C25" s="42" t="s">
        <v>42</v>
      </c>
      <c r="D25" s="42" t="s">
        <v>43</v>
      </c>
      <c r="E25" s="42" t="s">
        <v>40</v>
      </c>
      <c r="F25" s="42" t="s">
        <v>44</v>
      </c>
    </row>
    <row r="26" spans="1:6" ht="12.75" customHeight="1" x14ac:dyDescent="0.25">
      <c r="A26" s="37" t="s">
        <v>17</v>
      </c>
      <c r="B26" s="65">
        <v>40000000</v>
      </c>
      <c r="C26" s="66">
        <v>54000000</v>
      </c>
      <c r="D26" s="66">
        <v>68000000</v>
      </c>
      <c r="E26" s="67">
        <v>82000000</v>
      </c>
      <c r="F26" s="34">
        <v>1850000</v>
      </c>
    </row>
    <row r="27" spans="1:6" ht="12.75" customHeight="1" x14ac:dyDescent="0.25">
      <c r="A27" s="37" t="s">
        <v>18</v>
      </c>
      <c r="B27" s="68">
        <v>48110000</v>
      </c>
      <c r="C27" s="69">
        <v>64948500.000000007</v>
      </c>
      <c r="D27" s="69">
        <v>81787000</v>
      </c>
      <c r="E27" s="34">
        <v>98625500</v>
      </c>
      <c r="F27" s="34">
        <v>4912500</v>
      </c>
    </row>
    <row r="28" spans="1:6" ht="12.75" customHeight="1" x14ac:dyDescent="0.25">
      <c r="A28" s="37" t="s">
        <v>19</v>
      </c>
      <c r="B28" s="68">
        <v>49253300</v>
      </c>
      <c r="C28" s="69">
        <v>66491955.000000007</v>
      </c>
      <c r="D28" s="69">
        <v>83730610</v>
      </c>
      <c r="E28" s="34">
        <v>100969265</v>
      </c>
      <c r="F28" s="34">
        <v>8303125</v>
      </c>
    </row>
    <row r="29" spans="1:6" ht="12.75" customHeight="1" x14ac:dyDescent="0.25">
      <c r="A29" s="37" t="s">
        <v>20</v>
      </c>
      <c r="B29" s="68">
        <v>50430899</v>
      </c>
      <c r="C29" s="69">
        <v>68081713.650000006</v>
      </c>
      <c r="D29" s="69">
        <v>85732528.299999997</v>
      </c>
      <c r="E29" s="34">
        <v>103383342.95</v>
      </c>
      <c r="F29" s="34">
        <v>29682031.25</v>
      </c>
    </row>
    <row r="30" spans="1:6" ht="12.75" customHeight="1" x14ac:dyDescent="0.25">
      <c r="A30" s="37" t="s">
        <v>21</v>
      </c>
      <c r="B30" s="68">
        <v>51643825.969999999</v>
      </c>
      <c r="C30" s="69">
        <v>69719165.059500009</v>
      </c>
      <c r="D30" s="69">
        <v>87794504.149000004</v>
      </c>
      <c r="E30" s="34">
        <v>105869843.2385</v>
      </c>
      <c r="F30" s="34">
        <v>41784570.3125</v>
      </c>
    </row>
    <row r="31" spans="1:6" ht="12.75" customHeight="1" x14ac:dyDescent="0.25">
      <c r="A31" s="37" t="s">
        <v>27</v>
      </c>
      <c r="B31" s="68">
        <v>52893140.7491</v>
      </c>
      <c r="C31" s="69">
        <v>71405740.011285007</v>
      </c>
      <c r="D31" s="69">
        <v>89918339.273469999</v>
      </c>
      <c r="E31" s="34">
        <v>108430938.53565501</v>
      </c>
      <c r="F31" s="34">
        <v>69015283.203125</v>
      </c>
    </row>
    <row r="32" spans="1:6" ht="12.75" customHeight="1" x14ac:dyDescent="0.25">
      <c r="A32" s="37" t="s">
        <v>28</v>
      </c>
      <c r="B32" s="68">
        <v>54179934.971573003</v>
      </c>
      <c r="C32" s="69">
        <v>73142912.211623564</v>
      </c>
      <c r="D32" s="69">
        <v>92105889.451674104</v>
      </c>
      <c r="E32" s="34">
        <v>111068866.691725</v>
      </c>
      <c r="F32" s="34">
        <v>93522924.8046875</v>
      </c>
    </row>
    <row r="33" spans="1:6" ht="13.5" customHeight="1" thickBot="1" x14ac:dyDescent="0.3">
      <c r="A33" s="38" t="s">
        <v>29</v>
      </c>
      <c r="B33" s="70">
        <v>58252361</v>
      </c>
      <c r="C33" s="35">
        <v>78640687.350000009</v>
      </c>
      <c r="D33" s="35">
        <v>99029013.700000003</v>
      </c>
      <c r="E33" s="36">
        <v>119417340.05</v>
      </c>
      <c r="F33" s="36">
        <v>108227509.765625</v>
      </c>
    </row>
    <row r="34" spans="1:6" s="83" customFormat="1" ht="13.5" customHeight="1" thickBot="1" x14ac:dyDescent="0.3"/>
    <row r="35" spans="1:6" ht="18.75" customHeight="1" thickBot="1" x14ac:dyDescent="0.35">
      <c r="A35" s="22" t="s">
        <v>58</v>
      </c>
      <c r="B35" s="76" t="s">
        <v>59</v>
      </c>
      <c r="C35" s="76" t="s">
        <v>60</v>
      </c>
      <c r="D35" s="76" t="s">
        <v>61</v>
      </c>
      <c r="E35" s="76" t="s">
        <v>62</v>
      </c>
      <c r="F35" s="77" t="s">
        <v>63</v>
      </c>
    </row>
    <row r="36" spans="1:6" s="83" customFormat="1" ht="13.5" customHeight="1" thickBot="1" x14ac:dyDescent="0.3"/>
    <row r="37" spans="1:6" ht="12.75" customHeight="1" x14ac:dyDescent="0.25">
      <c r="A37" s="79" t="s">
        <v>68</v>
      </c>
      <c r="B37" s="81">
        <v>0.21</v>
      </c>
    </row>
    <row r="38" spans="1:6" ht="13.5" customHeight="1" thickBot="1" x14ac:dyDescent="0.3">
      <c r="A38" s="80" t="s">
        <v>77</v>
      </c>
      <c r="B38" s="82">
        <v>7.2499999999999995E-2</v>
      </c>
    </row>
    <row r="39" spans="1:6" s="83" customFormat="1" ht="13.8" thickBot="1" x14ac:dyDescent="0.3"/>
    <row r="40" spans="1:6" ht="20.25" customHeight="1" thickBot="1" x14ac:dyDescent="0.45">
      <c r="A40" s="175" t="s">
        <v>37</v>
      </c>
      <c r="B40" s="176"/>
      <c r="C40" s="177"/>
      <c r="D40" s="96" t="s">
        <v>78</v>
      </c>
    </row>
    <row r="41" spans="1:6" ht="15.75" customHeight="1" x14ac:dyDescent="0.3">
      <c r="A41" s="62" t="s">
        <v>41</v>
      </c>
      <c r="B41" s="60" t="s">
        <v>55</v>
      </c>
      <c r="C41" s="92">
        <v>0.01</v>
      </c>
      <c r="D41" s="95">
        <f>+$B$38+C41</f>
        <v>8.249999999999999E-2</v>
      </c>
    </row>
    <row r="42" spans="1:6" ht="15.75" customHeight="1" x14ac:dyDescent="0.3">
      <c r="A42" s="63" t="s">
        <v>42</v>
      </c>
      <c r="B42" s="58" t="s">
        <v>45</v>
      </c>
      <c r="C42" s="93">
        <v>1.2500000000000001E-2</v>
      </c>
      <c r="D42" s="95">
        <f>+$B$38+C42</f>
        <v>8.4999999999999992E-2</v>
      </c>
    </row>
    <row r="43" spans="1:6" ht="15.75" customHeight="1" x14ac:dyDescent="0.3">
      <c r="A43" s="63" t="s">
        <v>43</v>
      </c>
      <c r="B43" s="58" t="s">
        <v>46</v>
      </c>
      <c r="C43" s="93">
        <v>1.4999999999999999E-2</v>
      </c>
      <c r="D43" s="95">
        <f>+$B$38+C43</f>
        <v>8.7499999999999994E-2</v>
      </c>
    </row>
    <row r="44" spans="1:6" ht="15.75" customHeight="1" x14ac:dyDescent="0.25">
      <c r="A44" s="63" t="s">
        <v>40</v>
      </c>
      <c r="B44" s="59" t="s">
        <v>47</v>
      </c>
      <c r="C44" s="93">
        <v>1.7500000000000002E-2</v>
      </c>
      <c r="D44" s="95">
        <f>+$B$38+C44</f>
        <v>0.09</v>
      </c>
    </row>
    <row r="45" spans="1:6" ht="16.5" customHeight="1" thickBot="1" x14ac:dyDescent="0.35">
      <c r="A45" s="64" t="s">
        <v>44</v>
      </c>
      <c r="B45" s="61" t="s">
        <v>48</v>
      </c>
      <c r="C45" s="94">
        <v>0.02</v>
      </c>
      <c r="D45" s="95">
        <f>+$B$38+C45</f>
        <v>9.2499999999999999E-2</v>
      </c>
    </row>
  </sheetData>
  <mergeCells count="1">
    <mergeCell ref="A40:C40"/>
  </mergeCells>
  <phoneticPr fontId="0" type="noConversion"/>
  <pageMargins left="0.75" right="0.75" top="1" bottom="1" header="0.5" footer="0.5"/>
  <pageSetup scale="85" fitToHeight="0" orientation="landscape" r:id="rId1"/>
  <headerFooter alignWithMargins="0">
    <oddHeader>&amp;C&amp;"-,Bold"&amp;28&amp;A&amp;R&amp;"-,Bold"&amp;28&amp;P</oddHeader>
  </headerFooter>
  <rowBreaks count="1" manualBreakCount="1">
    <brk id="35" max="5"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M38"/>
  <sheetViews>
    <sheetView zoomScale="96" zoomScaleNormal="96" workbookViewId="0">
      <selection activeCell="N11" sqref="N11"/>
    </sheetView>
  </sheetViews>
  <sheetFormatPr defaultColWidth="8.6640625" defaultRowHeight="13.2" x14ac:dyDescent="0.25"/>
  <cols>
    <col min="1" max="1" width="9.6640625" customWidth="1"/>
    <col min="2" max="2" width="16.33203125" bestFit="1" customWidth="1"/>
    <col min="3" max="3" width="9.6640625" customWidth="1"/>
    <col min="4" max="4" width="15.6640625" bestFit="1" customWidth="1"/>
    <col min="5" max="5" width="16.44140625" bestFit="1" customWidth="1"/>
    <col min="6" max="6" width="15.6640625" bestFit="1" customWidth="1"/>
    <col min="7" max="8" width="11.33203125" customWidth="1"/>
    <col min="9" max="9" width="15.6640625" bestFit="1" customWidth="1"/>
    <col min="10" max="10" width="11.6640625" customWidth="1"/>
    <col min="11" max="11" width="15.33203125" bestFit="1" customWidth="1"/>
    <col min="12" max="12" width="15.88671875" bestFit="1" customWidth="1"/>
    <col min="13" max="13" width="16.33203125" bestFit="1" customWidth="1"/>
  </cols>
  <sheetData>
    <row r="1" spans="1:13" ht="15.75" customHeight="1" thickBot="1" x14ac:dyDescent="0.4">
      <c r="A1" s="182" t="s">
        <v>49</v>
      </c>
      <c r="B1" s="183"/>
      <c r="C1" s="183"/>
      <c r="D1" s="183"/>
      <c r="E1" s="183"/>
      <c r="F1" s="183"/>
      <c r="G1" s="183"/>
      <c r="H1" s="183"/>
      <c r="I1" s="183"/>
      <c r="J1" s="183"/>
      <c r="K1" s="183"/>
      <c r="L1" s="183"/>
      <c r="M1" s="184"/>
    </row>
    <row r="2" spans="1:13" ht="13.8" thickBot="1" x14ac:dyDescent="0.3">
      <c r="A2" s="1"/>
      <c r="B2" s="1"/>
      <c r="C2" s="1"/>
      <c r="D2" s="1"/>
      <c r="E2" s="1"/>
      <c r="F2" s="1"/>
      <c r="G2" s="8"/>
      <c r="H2" s="8"/>
      <c r="I2" s="14"/>
      <c r="J2" s="15"/>
    </row>
    <row r="3" spans="1:13" ht="15.6" x14ac:dyDescent="0.3">
      <c r="A3" s="5" t="s">
        <v>34</v>
      </c>
      <c r="B3" s="1"/>
      <c r="C3" s="1"/>
      <c r="D3" s="1"/>
      <c r="E3" s="178" t="s">
        <v>5</v>
      </c>
      <c r="F3" s="179"/>
      <c r="G3" s="179"/>
      <c r="H3" s="179"/>
      <c r="I3" s="179"/>
      <c r="J3" s="179"/>
      <c r="K3" s="180"/>
      <c r="L3" s="180"/>
      <c r="M3" s="181"/>
    </row>
    <row r="4" spans="1:13" ht="15.6" x14ac:dyDescent="0.3">
      <c r="A4" s="5" t="s">
        <v>6</v>
      </c>
      <c r="B4" s="1"/>
      <c r="C4" s="6"/>
      <c r="D4" s="6"/>
      <c r="E4" s="19">
        <v>0</v>
      </c>
      <c r="F4" s="19">
        <v>1</v>
      </c>
      <c r="G4" s="19">
        <v>2</v>
      </c>
      <c r="H4" s="19">
        <v>3</v>
      </c>
      <c r="I4" s="19">
        <v>4</v>
      </c>
      <c r="J4" s="19">
        <v>5</v>
      </c>
      <c r="K4" s="19">
        <v>6</v>
      </c>
      <c r="L4" s="19">
        <v>7</v>
      </c>
      <c r="M4" s="19">
        <v>8</v>
      </c>
    </row>
    <row r="5" spans="1:13" ht="13.8" x14ac:dyDescent="0.3">
      <c r="A5" s="7" t="s">
        <v>7</v>
      </c>
      <c r="B5" s="8"/>
      <c r="C5" s="1"/>
      <c r="D5" s="1"/>
      <c r="E5" s="1"/>
      <c r="F5" s="1"/>
      <c r="G5" s="1"/>
      <c r="H5" s="1"/>
      <c r="I5" s="1"/>
      <c r="J5" s="1"/>
    </row>
    <row r="6" spans="1:13" x14ac:dyDescent="0.25">
      <c r="A6" s="3" t="s">
        <v>76</v>
      </c>
      <c r="B6" s="1"/>
      <c r="C6" s="1"/>
      <c r="D6" s="1"/>
      <c r="E6" s="40">
        <f>-'Capital Requirements'!B9</f>
        <v>-55450000</v>
      </c>
      <c r="F6" s="1"/>
      <c r="G6" s="1"/>
      <c r="H6" s="1"/>
      <c r="I6" s="1"/>
      <c r="J6" s="1"/>
    </row>
    <row r="7" spans="1:13" ht="14.4" thickBot="1" x14ac:dyDescent="0.35">
      <c r="A7" s="7" t="s">
        <v>8</v>
      </c>
      <c r="B7" s="1"/>
      <c r="C7" s="1"/>
      <c r="D7" s="1"/>
      <c r="E7" s="1"/>
      <c r="F7" s="1"/>
      <c r="G7" s="1"/>
      <c r="H7" s="1"/>
      <c r="I7" s="1"/>
      <c r="J7" s="1"/>
    </row>
    <row r="8" spans="1:13" ht="13.8" thickBot="1" x14ac:dyDescent="0.3">
      <c r="A8" s="3" t="s">
        <v>9</v>
      </c>
      <c r="B8" s="1"/>
      <c r="C8" s="1"/>
      <c r="D8" s="1"/>
      <c r="E8" s="1"/>
      <c r="F8" s="65">
        <v>40000000</v>
      </c>
      <c r="G8" s="68">
        <v>48110000</v>
      </c>
      <c r="H8" s="68">
        <v>49253300</v>
      </c>
      <c r="I8" s="68">
        <v>50430899</v>
      </c>
      <c r="J8" s="68">
        <v>51643825.969999999</v>
      </c>
      <c r="K8" s="68">
        <v>52893140.7491</v>
      </c>
      <c r="L8" s="68">
        <v>54179934.971573003</v>
      </c>
      <c r="M8" s="70">
        <v>58252361</v>
      </c>
    </row>
    <row r="9" spans="1:13" x14ac:dyDescent="0.25">
      <c r="A9" s="3" t="s">
        <v>57</v>
      </c>
      <c r="B9" s="1"/>
      <c r="C9" s="1"/>
      <c r="D9" s="1"/>
      <c r="E9" s="1"/>
      <c r="F9" s="78">
        <f>F8*0.1</f>
        <v>4000000</v>
      </c>
      <c r="G9" s="78">
        <f t="shared" ref="G9:M9" si="0">G8*0.1</f>
        <v>4811000</v>
      </c>
      <c r="H9" s="78">
        <f t="shared" si="0"/>
        <v>4925330</v>
      </c>
      <c r="I9" s="78">
        <f t="shared" si="0"/>
        <v>5043089.9000000004</v>
      </c>
      <c r="J9" s="78">
        <f t="shared" si="0"/>
        <v>5164382.5970000001</v>
      </c>
      <c r="K9" s="78">
        <f t="shared" si="0"/>
        <v>5289314.07491</v>
      </c>
      <c r="L9" s="78">
        <f t="shared" si="0"/>
        <v>5417993.4971573008</v>
      </c>
      <c r="M9" s="78">
        <f t="shared" si="0"/>
        <v>5825236.1000000006</v>
      </c>
    </row>
    <row r="10" spans="1:13" x14ac:dyDescent="0.25">
      <c r="A10" s="3" t="s">
        <v>64</v>
      </c>
      <c r="B10" s="1"/>
      <c r="C10" s="1"/>
      <c r="D10" s="1"/>
      <c r="E10" s="1"/>
      <c r="F10" s="13">
        <f>F8-F9</f>
        <v>36000000</v>
      </c>
      <c r="G10" s="13">
        <f t="shared" ref="G10:M10" si="1">G8-G9</f>
        <v>43299000</v>
      </c>
      <c r="H10" s="13">
        <f t="shared" si="1"/>
        <v>44327970</v>
      </c>
      <c r="I10" s="13">
        <f t="shared" si="1"/>
        <v>45387809.100000001</v>
      </c>
      <c r="J10" s="13">
        <f t="shared" si="1"/>
        <v>46479443.372999996</v>
      </c>
      <c r="K10" s="13">
        <f t="shared" si="1"/>
        <v>47603826.67419</v>
      </c>
      <c r="L10" s="13">
        <f t="shared" si="1"/>
        <v>48761941.474415705</v>
      </c>
      <c r="M10" s="13">
        <f t="shared" si="1"/>
        <v>52427124.899999999</v>
      </c>
    </row>
    <row r="11" spans="1:13" x14ac:dyDescent="0.25">
      <c r="A11" s="3" t="s">
        <v>10</v>
      </c>
      <c r="B11" s="1"/>
      <c r="C11" s="1"/>
      <c r="D11" s="1"/>
      <c r="E11" s="1"/>
      <c r="F11" s="43">
        <f>'Capital Requirements'!$B$20</f>
        <v>15392250</v>
      </c>
      <c r="G11" s="43">
        <f>'Capital Requirements'!$B$20</f>
        <v>15392250</v>
      </c>
      <c r="H11" s="43">
        <f>'Capital Requirements'!$B$20</f>
        <v>15392250</v>
      </c>
      <c r="I11" s="43">
        <f>'Capital Requirements'!$B$20</f>
        <v>15392250</v>
      </c>
      <c r="J11" s="43">
        <f>'Capital Requirements'!$B$20</f>
        <v>15392250</v>
      </c>
      <c r="K11" s="43">
        <f>'Capital Requirements'!$B$20</f>
        <v>15392250</v>
      </c>
      <c r="L11" s="43">
        <f>'Capital Requirements'!$B$20</f>
        <v>15392250</v>
      </c>
      <c r="M11" s="43">
        <f>'Capital Requirements'!$B$20</f>
        <v>15392250</v>
      </c>
    </row>
    <row r="12" spans="1:13" x14ac:dyDescent="0.25">
      <c r="A12" s="2" t="s">
        <v>31</v>
      </c>
      <c r="B12" s="1"/>
      <c r="C12" s="1"/>
      <c r="D12" s="1"/>
      <c r="E12" s="1"/>
      <c r="F12" s="41">
        <f>'Capital Requirements'!$B$23</f>
        <v>5000000</v>
      </c>
      <c r="G12" s="41">
        <f>'Capital Requirements'!$B$23</f>
        <v>5000000</v>
      </c>
      <c r="H12" s="41">
        <f>'Capital Requirements'!$B$23</f>
        <v>5000000</v>
      </c>
      <c r="I12" s="41">
        <f>'Capital Requirements'!$B$23</f>
        <v>5000000</v>
      </c>
      <c r="J12" s="41">
        <f>'Capital Requirements'!$B$23</f>
        <v>5000000</v>
      </c>
      <c r="K12" s="41">
        <f>'Capital Requirements'!$B$23</f>
        <v>5000000</v>
      </c>
      <c r="L12" s="41">
        <f>'Capital Requirements'!$B$23</f>
        <v>5000000</v>
      </c>
      <c r="M12" s="41">
        <f>'Capital Requirements'!$B$23</f>
        <v>5000000</v>
      </c>
    </row>
    <row r="13" spans="1:13" x14ac:dyDescent="0.25">
      <c r="A13" s="3" t="s">
        <v>66</v>
      </c>
      <c r="B13" s="1"/>
      <c r="C13" s="1"/>
      <c r="D13" s="1"/>
      <c r="E13" s="1"/>
      <c r="F13" s="13">
        <f>F10-F11-F12</f>
        <v>15607750</v>
      </c>
      <c r="G13" s="13">
        <f t="shared" ref="G13:M13" si="2">G10-G11-G12</f>
        <v>22906750</v>
      </c>
      <c r="H13" s="13">
        <f t="shared" si="2"/>
        <v>23935720</v>
      </c>
      <c r="I13" s="13">
        <f t="shared" si="2"/>
        <v>24995559.100000001</v>
      </c>
      <c r="J13" s="13">
        <f t="shared" si="2"/>
        <v>26087193.372999996</v>
      </c>
      <c r="K13" s="13">
        <f t="shared" si="2"/>
        <v>27211576.67419</v>
      </c>
      <c r="L13" s="13">
        <f t="shared" si="2"/>
        <v>28369691.474415705</v>
      </c>
      <c r="M13" s="13">
        <f t="shared" si="2"/>
        <v>32034874.899999999</v>
      </c>
    </row>
    <row r="14" spans="1:13" x14ac:dyDescent="0.25">
      <c r="A14" s="3" t="s">
        <v>65</v>
      </c>
      <c r="B14" s="1"/>
      <c r="C14" s="1"/>
      <c r="D14" s="1"/>
      <c r="E14" s="1"/>
      <c r="F14" s="13">
        <f>F13*0.21</f>
        <v>3277627.5</v>
      </c>
      <c r="G14" s="13">
        <f t="shared" ref="G14:M14" si="3">G13*0.21</f>
        <v>4810417.5</v>
      </c>
      <c r="H14" s="13">
        <f t="shared" si="3"/>
        <v>5026501.2</v>
      </c>
      <c r="I14" s="13">
        <f t="shared" si="3"/>
        <v>5249067.4110000003</v>
      </c>
      <c r="J14" s="13">
        <f t="shared" si="3"/>
        <v>5478310.6083299993</v>
      </c>
      <c r="K14" s="13">
        <f t="shared" si="3"/>
        <v>5714431.1015798999</v>
      </c>
      <c r="L14" s="13">
        <f t="shared" si="3"/>
        <v>5957635.2096272977</v>
      </c>
      <c r="M14" s="13">
        <f t="shared" si="3"/>
        <v>6727323.7289999994</v>
      </c>
    </row>
    <row r="15" spans="1:13" x14ac:dyDescent="0.25">
      <c r="A15" s="3" t="s">
        <v>4</v>
      </c>
      <c r="B15" s="1"/>
      <c r="C15" s="1"/>
      <c r="D15" s="1"/>
      <c r="E15" s="1"/>
      <c r="F15" s="13">
        <f>F13-F14</f>
        <v>12330122.5</v>
      </c>
      <c r="G15" s="13">
        <f t="shared" ref="G15:M15" si="4">G13-G14</f>
        <v>18096332.5</v>
      </c>
      <c r="H15" s="13">
        <f t="shared" si="4"/>
        <v>18909218.800000001</v>
      </c>
      <c r="I15" s="13">
        <f t="shared" si="4"/>
        <v>19746491.689000003</v>
      </c>
      <c r="J15" s="13">
        <f t="shared" si="4"/>
        <v>20608882.764669996</v>
      </c>
      <c r="K15" s="13">
        <f t="shared" si="4"/>
        <v>21497145.572610099</v>
      </c>
      <c r="L15" s="13">
        <f t="shared" si="4"/>
        <v>22412056.264788408</v>
      </c>
      <c r="M15" s="13">
        <f t="shared" si="4"/>
        <v>25307551.171</v>
      </c>
    </row>
    <row r="16" spans="1:13" x14ac:dyDescent="0.25">
      <c r="A16" s="3" t="s">
        <v>11</v>
      </c>
      <c r="B16" s="1"/>
      <c r="C16" s="1"/>
      <c r="D16" s="1"/>
      <c r="E16" s="1"/>
      <c r="F16" s="13">
        <f>F12</f>
        <v>5000000</v>
      </c>
      <c r="G16" s="13">
        <f t="shared" ref="G16:M16" si="5">G12</f>
        <v>5000000</v>
      </c>
      <c r="H16" s="13">
        <f t="shared" si="5"/>
        <v>5000000</v>
      </c>
      <c r="I16" s="13">
        <f t="shared" si="5"/>
        <v>5000000</v>
      </c>
      <c r="J16" s="13">
        <f t="shared" si="5"/>
        <v>5000000</v>
      </c>
      <c r="K16" s="13">
        <f t="shared" si="5"/>
        <v>5000000</v>
      </c>
      <c r="L16" s="13">
        <f t="shared" si="5"/>
        <v>5000000</v>
      </c>
      <c r="M16" s="13">
        <f t="shared" si="5"/>
        <v>5000000</v>
      </c>
    </row>
    <row r="17" spans="1:13" ht="13.8" thickBot="1" x14ac:dyDescent="0.3">
      <c r="A17" s="3" t="s">
        <v>32</v>
      </c>
      <c r="B17" s="1"/>
      <c r="C17" s="1"/>
      <c r="D17" s="1"/>
      <c r="E17" s="9">
        <f>+E6</f>
        <v>-55450000</v>
      </c>
      <c r="F17" s="9">
        <f t="shared" ref="F17:M17" si="6">F15+F16</f>
        <v>17330122.5</v>
      </c>
      <c r="G17" s="9">
        <f t="shared" si="6"/>
        <v>23096332.5</v>
      </c>
      <c r="H17" s="9">
        <f t="shared" si="6"/>
        <v>23909218.800000001</v>
      </c>
      <c r="I17" s="9">
        <f t="shared" si="6"/>
        <v>24746491.689000003</v>
      </c>
      <c r="J17" s="9">
        <f t="shared" si="6"/>
        <v>25608882.764669996</v>
      </c>
      <c r="K17" s="9">
        <f t="shared" si="6"/>
        <v>26497145.572610099</v>
      </c>
      <c r="L17" s="9">
        <f t="shared" si="6"/>
        <v>27412056.264788408</v>
      </c>
      <c r="M17" s="9">
        <f t="shared" si="6"/>
        <v>30307551.171</v>
      </c>
    </row>
    <row r="18" spans="1:13" ht="14.4" thickTop="1" thickBot="1" x14ac:dyDescent="0.3">
      <c r="A18" s="3" t="s">
        <v>79</v>
      </c>
      <c r="B18" s="1"/>
      <c r="C18" s="1"/>
      <c r="D18" s="1"/>
      <c r="E18" s="9"/>
      <c r="F18" s="9">
        <f>E17+F17</f>
        <v>-38119877.5</v>
      </c>
      <c r="G18" s="9">
        <f>F18+G17</f>
        <v>-15023545</v>
      </c>
      <c r="H18" s="9">
        <f t="shared" ref="H18:M18" si="7">G18+H17</f>
        <v>8885673.8000000007</v>
      </c>
      <c r="I18" s="9">
        <f t="shared" si="7"/>
        <v>33632165.489000008</v>
      </c>
      <c r="J18" s="9">
        <f t="shared" si="7"/>
        <v>59241048.253670007</v>
      </c>
      <c r="K18" s="9">
        <f t="shared" si="7"/>
        <v>85738193.826280102</v>
      </c>
      <c r="L18" s="9">
        <f t="shared" si="7"/>
        <v>113150250.09106851</v>
      </c>
      <c r="M18" s="9">
        <f t="shared" si="7"/>
        <v>143457801.26206851</v>
      </c>
    </row>
    <row r="19" spans="1:13" ht="13.8" thickTop="1" x14ac:dyDescent="0.25">
      <c r="A19" s="10"/>
      <c r="B19" s="3"/>
      <c r="C19" s="3"/>
      <c r="D19" s="3"/>
      <c r="E19" s="3"/>
      <c r="F19" s="3"/>
      <c r="G19" s="3"/>
      <c r="H19" s="3"/>
      <c r="I19" s="3"/>
      <c r="J19" s="3"/>
    </row>
    <row r="20" spans="1:13" ht="15.6" x14ac:dyDescent="0.3">
      <c r="A20" s="5" t="s">
        <v>33</v>
      </c>
      <c r="B20" s="3"/>
      <c r="C20" s="3"/>
      <c r="D20" s="3"/>
      <c r="E20" s="3"/>
      <c r="F20" s="3"/>
      <c r="G20" s="3"/>
      <c r="H20" s="3"/>
      <c r="I20" s="3"/>
      <c r="J20" s="3"/>
    </row>
    <row r="21" spans="1:13" x14ac:dyDescent="0.25">
      <c r="A21" s="4"/>
      <c r="B21" s="1"/>
      <c r="C21" s="1"/>
      <c r="D21" s="1"/>
      <c r="E21" s="1"/>
      <c r="F21" s="1"/>
      <c r="G21" s="1"/>
      <c r="H21" s="1"/>
      <c r="I21" s="1"/>
      <c r="J21" s="1"/>
    </row>
    <row r="22" spans="1:13" x14ac:dyDescent="0.25">
      <c r="A22" s="3" t="s">
        <v>38</v>
      </c>
      <c r="B22" s="1"/>
      <c r="C22" s="1"/>
      <c r="D22" s="11">
        <f>NPV('Capital Requirements'!D41,F17:M17)+E17</f>
        <v>82648361.5762676</v>
      </c>
      <c r="E22" s="1"/>
      <c r="F22" s="1"/>
      <c r="G22" s="1"/>
      <c r="H22" s="1"/>
      <c r="I22" s="1"/>
      <c r="J22" s="1"/>
    </row>
    <row r="23" spans="1:13" x14ac:dyDescent="0.25">
      <c r="A23" s="3" t="s">
        <v>12</v>
      </c>
      <c r="B23" s="1"/>
      <c r="C23" s="1"/>
      <c r="D23" s="12">
        <f>IRR(E17:M17)</f>
        <v>0.37457443652334899</v>
      </c>
      <c r="E23" s="1"/>
      <c r="F23" s="1"/>
      <c r="G23" s="1"/>
      <c r="H23" s="1"/>
      <c r="I23" s="1"/>
      <c r="J23" s="1"/>
    </row>
    <row r="24" spans="1:13" x14ac:dyDescent="0.25">
      <c r="A24" s="3" t="s">
        <v>75</v>
      </c>
      <c r="B24" s="1"/>
      <c r="C24" s="1"/>
      <c r="D24" s="99">
        <f>2+(ABS(G18)/H17)</f>
        <v>2.6283578366015039</v>
      </c>
      <c r="E24" s="1"/>
      <c r="F24" s="1"/>
      <c r="G24" s="1"/>
      <c r="H24" s="1"/>
      <c r="I24" s="1"/>
      <c r="J24" s="1"/>
    </row>
    <row r="25" spans="1:13" ht="13.8" thickBot="1" x14ac:dyDescent="0.3">
      <c r="A25" s="3"/>
      <c r="B25" s="1"/>
      <c r="C25" s="1"/>
      <c r="E25" s="1"/>
      <c r="F25" s="1"/>
      <c r="G25" s="1"/>
      <c r="H25" s="1"/>
      <c r="I25" s="1"/>
      <c r="J25" s="1"/>
    </row>
    <row r="26" spans="1:13" ht="13.8" thickBot="1" x14ac:dyDescent="0.3">
      <c r="A26" s="185" t="s">
        <v>73</v>
      </c>
      <c r="B26" s="186"/>
      <c r="C26" s="186"/>
      <c r="D26" s="187"/>
    </row>
    <row r="27" spans="1:13" ht="47.4" thickBot="1" x14ac:dyDescent="0.3">
      <c r="A27" s="86" t="s">
        <v>69</v>
      </c>
      <c r="B27" s="87" t="s">
        <v>70</v>
      </c>
      <c r="C27" s="87" t="s">
        <v>71</v>
      </c>
      <c r="D27" s="88" t="s">
        <v>72</v>
      </c>
    </row>
    <row r="28" spans="1:13" x14ac:dyDescent="0.25">
      <c r="A28" s="91">
        <v>0</v>
      </c>
      <c r="B28" s="97">
        <f>+E6</f>
        <v>-55450000</v>
      </c>
      <c r="C28" s="98">
        <f>+'Capital Requirements'!$D$41</f>
        <v>8.249999999999999E-2</v>
      </c>
      <c r="D28" s="97">
        <f>B28/(1+C28)^A28</f>
        <v>-55450000</v>
      </c>
      <c r="E28" s="106"/>
    </row>
    <row r="29" spans="1:13" x14ac:dyDescent="0.25">
      <c r="A29" s="91">
        <v>1</v>
      </c>
      <c r="B29" s="97">
        <v>17330122.5</v>
      </c>
      <c r="C29" s="98">
        <f>+'Capital Requirements'!$D$41</f>
        <v>8.249999999999999E-2</v>
      </c>
      <c r="D29" s="97">
        <f t="shared" ref="D29:D36" si="8">B29/(1+C29)^A29</f>
        <v>16009351.03926097</v>
      </c>
      <c r="E29" s="106"/>
    </row>
    <row r="30" spans="1:13" x14ac:dyDescent="0.25">
      <c r="A30" s="90">
        <v>2</v>
      </c>
      <c r="B30" s="101">
        <v>23096332.5</v>
      </c>
      <c r="C30" s="98">
        <f>+'Capital Requirements'!$D$41</f>
        <v>8.249999999999999E-2</v>
      </c>
      <c r="D30" s="97">
        <f t="shared" si="8"/>
        <v>19710026.721567668</v>
      </c>
      <c r="E30" s="106"/>
    </row>
    <row r="31" spans="1:13" x14ac:dyDescent="0.25">
      <c r="A31" s="90">
        <v>3</v>
      </c>
      <c r="B31" s="101">
        <v>23909218.800000001</v>
      </c>
      <c r="C31" s="98">
        <f>+'Capital Requirements'!$D$41</f>
        <v>8.249999999999999E-2</v>
      </c>
      <c r="D31" s="97">
        <f t="shared" si="8"/>
        <v>18848711.681154579</v>
      </c>
      <c r="E31" s="106"/>
    </row>
    <row r="32" spans="1:13" x14ac:dyDescent="0.25">
      <c r="A32" s="90">
        <v>4</v>
      </c>
      <c r="B32" s="101">
        <v>24746491.689000003</v>
      </c>
      <c r="C32" s="98">
        <f>+'Capital Requirements'!$D$41</f>
        <v>8.249999999999999E-2</v>
      </c>
      <c r="D32" s="97">
        <f t="shared" si="8"/>
        <v>18021959.840485975</v>
      </c>
      <c r="E32" s="106"/>
    </row>
    <row r="33" spans="1:5" x14ac:dyDescent="0.25">
      <c r="A33" s="90">
        <v>5</v>
      </c>
      <c r="B33" s="101">
        <v>25608882.764669996</v>
      </c>
      <c r="C33" s="98">
        <f>+'Capital Requirements'!$D$41</f>
        <v>8.249999999999999E-2</v>
      </c>
      <c r="D33" s="97">
        <f t="shared" si="8"/>
        <v>17228644.38458379</v>
      </c>
      <c r="E33" s="106"/>
    </row>
    <row r="34" spans="1:5" x14ac:dyDescent="0.25">
      <c r="A34" s="90">
        <v>6</v>
      </c>
      <c r="B34" s="101">
        <v>26497145.572610099</v>
      </c>
      <c r="C34" s="98">
        <f>+'Capital Requirements'!$D$41</f>
        <v>8.249999999999999E-2</v>
      </c>
      <c r="D34" s="97">
        <f t="shared" si="8"/>
        <v>16467651.271968145</v>
      </c>
      <c r="E34" s="106"/>
    </row>
    <row r="35" spans="1:5" x14ac:dyDescent="0.25">
      <c r="A35" s="90">
        <v>7</v>
      </c>
      <c r="B35" s="101">
        <v>27412056.264788408</v>
      </c>
      <c r="C35" s="98">
        <f>+'Capital Requirements'!$D$41</f>
        <v>8.249999999999999E-2</v>
      </c>
      <c r="D35" s="97">
        <f t="shared" si="8"/>
        <v>15737881.806610003</v>
      </c>
      <c r="E35" s="106"/>
    </row>
    <row r="36" spans="1:5" x14ac:dyDescent="0.25">
      <c r="A36" s="90">
        <v>8</v>
      </c>
      <c r="B36" s="101">
        <v>30307551.171</v>
      </c>
      <c r="C36" s="98">
        <f>+'Capital Requirements'!$D$41</f>
        <v>8.249999999999999E-2</v>
      </c>
      <c r="D36" s="97">
        <f t="shared" si="8"/>
        <v>16074134.83063652</v>
      </c>
      <c r="E36" s="106"/>
    </row>
    <row r="37" spans="1:5" ht="13.8" thickBot="1" x14ac:dyDescent="0.3">
      <c r="A37" s="89" t="s">
        <v>74</v>
      </c>
      <c r="D37" s="102">
        <f>SUM(D28:D36)</f>
        <v>82648361.576267645</v>
      </c>
      <c r="E37" s="107"/>
    </row>
    <row r="38" spans="1:5" ht="13.8" thickTop="1" x14ac:dyDescent="0.25"/>
  </sheetData>
  <mergeCells count="3">
    <mergeCell ref="E3:M3"/>
    <mergeCell ref="A1:M1"/>
    <mergeCell ref="A26:D26"/>
  </mergeCells>
  <phoneticPr fontId="0" type="noConversion"/>
  <pageMargins left="0.3" right="0.19" top="0.86" bottom="0.79" header="0.5" footer="0.5"/>
  <pageSetup scale="75" orientation="landscape" r:id="rId1"/>
  <headerFooter alignWithMargins="0">
    <oddHeader>&amp;C&amp;"-,Bold"&amp;28&amp;A&amp;R&amp;"-,Bold"&amp;28&amp;P</oddHeader>
  </headerFooter>
  <rowBreaks count="1" manualBreakCount="1">
    <brk id="2" max="12"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M38"/>
  <sheetViews>
    <sheetView zoomScaleNormal="100" workbookViewId="0">
      <selection activeCell="F7" sqref="F7"/>
    </sheetView>
  </sheetViews>
  <sheetFormatPr defaultColWidth="8.6640625" defaultRowHeight="13.2" x14ac:dyDescent="0.25"/>
  <cols>
    <col min="1" max="1" width="8.6640625" customWidth="1"/>
    <col min="2" max="2" width="15.6640625" bestFit="1" customWidth="1"/>
    <col min="3" max="3" width="9.6640625" customWidth="1"/>
    <col min="4" max="4" width="15.44140625" bestFit="1" customWidth="1"/>
    <col min="5" max="7" width="12.33203125" bestFit="1" customWidth="1"/>
    <col min="8" max="10" width="11.44140625" bestFit="1" customWidth="1"/>
    <col min="11" max="13" width="12.5546875" bestFit="1" customWidth="1"/>
  </cols>
  <sheetData>
    <row r="1" spans="1:13" ht="18.600000000000001" thickBot="1" x14ac:dyDescent="0.4">
      <c r="A1" s="182" t="s">
        <v>50</v>
      </c>
      <c r="B1" s="183"/>
      <c r="C1" s="183"/>
      <c r="D1" s="183"/>
      <c r="E1" s="183"/>
      <c r="F1" s="183"/>
      <c r="G1" s="183"/>
      <c r="H1" s="183"/>
      <c r="I1" s="183"/>
      <c r="J1" s="183"/>
      <c r="K1" s="183"/>
      <c r="L1" s="183"/>
      <c r="M1" s="184"/>
    </row>
    <row r="2" spans="1:13" ht="13.8" thickBot="1" x14ac:dyDescent="0.3">
      <c r="A2" s="1"/>
      <c r="B2" s="1"/>
      <c r="C2" s="1"/>
      <c r="D2" s="1"/>
      <c r="E2" s="1"/>
      <c r="F2" s="1"/>
      <c r="G2" s="8"/>
      <c r="H2" s="8"/>
      <c r="I2" s="14"/>
      <c r="J2" s="15"/>
    </row>
    <row r="3" spans="1:13" ht="15.6" x14ac:dyDescent="0.3">
      <c r="A3" s="5" t="s">
        <v>34</v>
      </c>
      <c r="B3" s="1"/>
      <c r="C3" s="1"/>
      <c r="D3" s="1"/>
      <c r="E3" s="178" t="s">
        <v>5</v>
      </c>
      <c r="F3" s="179"/>
      <c r="G3" s="179"/>
      <c r="H3" s="179"/>
      <c r="I3" s="179"/>
      <c r="J3" s="179"/>
      <c r="K3" s="180"/>
      <c r="L3" s="180"/>
      <c r="M3" s="181"/>
    </row>
    <row r="4" spans="1:13" ht="15.6" x14ac:dyDescent="0.3">
      <c r="A4" s="5" t="s">
        <v>6</v>
      </c>
      <c r="B4" s="1"/>
      <c r="C4" s="6"/>
      <c r="D4" s="6"/>
      <c r="E4" s="19">
        <v>0</v>
      </c>
      <c r="F4" s="19">
        <v>1</v>
      </c>
      <c r="G4" s="19">
        <v>2</v>
      </c>
      <c r="H4" s="19">
        <v>3</v>
      </c>
      <c r="I4" s="19">
        <v>4</v>
      </c>
      <c r="J4" s="19">
        <v>5</v>
      </c>
      <c r="K4" s="19">
        <v>6</v>
      </c>
      <c r="L4" s="19">
        <v>7</v>
      </c>
      <c r="M4" s="19">
        <v>8</v>
      </c>
    </row>
    <row r="5" spans="1:13" ht="13.8" x14ac:dyDescent="0.3">
      <c r="A5" s="7" t="s">
        <v>7</v>
      </c>
      <c r="B5" s="8"/>
      <c r="C5" s="1"/>
      <c r="D5" s="1"/>
      <c r="E5" s="1"/>
      <c r="F5" s="1"/>
      <c r="G5" s="1"/>
      <c r="H5" s="1"/>
      <c r="I5" s="1"/>
      <c r="J5" s="1"/>
    </row>
    <row r="6" spans="1:13" x14ac:dyDescent="0.25">
      <c r="A6" s="3" t="s">
        <v>76</v>
      </c>
      <c r="B6" s="1"/>
      <c r="C6" s="1"/>
      <c r="D6" s="1"/>
      <c r="E6" s="40">
        <f>-'Capital Requirements'!C9</f>
        <v>-71795000</v>
      </c>
      <c r="F6" s="1"/>
      <c r="G6" s="1"/>
      <c r="H6" s="1"/>
      <c r="I6" s="1"/>
      <c r="J6" s="1"/>
    </row>
    <row r="7" spans="1:13" ht="14.4" thickBot="1" x14ac:dyDescent="0.35">
      <c r="A7" s="7" t="s">
        <v>8</v>
      </c>
      <c r="B7" s="1"/>
      <c r="C7" s="1"/>
      <c r="D7" s="1"/>
      <c r="E7" s="1"/>
      <c r="F7" s="1"/>
      <c r="G7" s="1"/>
      <c r="H7" s="1"/>
      <c r="I7" s="1"/>
      <c r="J7" s="1"/>
    </row>
    <row r="8" spans="1:13" ht="13.8" thickBot="1" x14ac:dyDescent="0.3">
      <c r="A8" s="3" t="s">
        <v>9</v>
      </c>
      <c r="B8" s="1"/>
      <c r="C8" s="1"/>
      <c r="D8" s="1"/>
      <c r="E8" s="1"/>
      <c r="F8" s="66">
        <v>54000000</v>
      </c>
      <c r="G8" s="69">
        <v>64948500.000000007</v>
      </c>
      <c r="H8" s="69">
        <v>66491955.000000007</v>
      </c>
      <c r="I8" s="69">
        <v>68081713.650000006</v>
      </c>
      <c r="J8" s="69">
        <v>69719165.059500009</v>
      </c>
      <c r="K8" s="69">
        <v>71405740.011285007</v>
      </c>
      <c r="L8" s="69">
        <v>73142912.211623564</v>
      </c>
      <c r="M8" s="35">
        <v>78640687.350000009</v>
      </c>
    </row>
    <row r="9" spans="1:13" x14ac:dyDescent="0.25">
      <c r="A9" s="3" t="s">
        <v>57</v>
      </c>
      <c r="B9" s="1"/>
      <c r="C9" s="1"/>
      <c r="D9" s="1"/>
      <c r="E9" s="1"/>
      <c r="F9" s="78">
        <f>F8*0.12</f>
        <v>6480000</v>
      </c>
      <c r="G9" s="78">
        <f t="shared" ref="G9:M9" si="0">G8*0.12</f>
        <v>7793820.0000000009</v>
      </c>
      <c r="H9" s="78">
        <f t="shared" si="0"/>
        <v>7979034.6000000006</v>
      </c>
      <c r="I9" s="78">
        <f t="shared" si="0"/>
        <v>8169805.6380000003</v>
      </c>
      <c r="J9" s="78">
        <f t="shared" si="0"/>
        <v>8366299.8071400011</v>
      </c>
      <c r="K9" s="78">
        <f t="shared" si="0"/>
        <v>8568688.8013541996</v>
      </c>
      <c r="L9" s="78">
        <f t="shared" si="0"/>
        <v>8777149.4653948266</v>
      </c>
      <c r="M9" s="78">
        <f t="shared" si="0"/>
        <v>9436882.4820000008</v>
      </c>
    </row>
    <row r="10" spans="1:13" x14ac:dyDescent="0.25">
      <c r="A10" s="3" t="s">
        <v>64</v>
      </c>
      <c r="B10" s="1"/>
      <c r="C10" s="1"/>
      <c r="D10" s="1"/>
      <c r="E10" s="1"/>
      <c r="F10" s="13">
        <f>F8-F9</f>
        <v>47520000</v>
      </c>
      <c r="G10" s="13">
        <f t="shared" ref="G10:M10" si="1">G8-G9</f>
        <v>57154680.000000007</v>
      </c>
      <c r="H10" s="13">
        <f t="shared" si="1"/>
        <v>58512920.400000006</v>
      </c>
      <c r="I10" s="13">
        <f t="shared" si="1"/>
        <v>59911908.012000009</v>
      </c>
      <c r="J10" s="13">
        <f t="shared" si="1"/>
        <v>61352865.252360009</v>
      </c>
      <c r="K10" s="13">
        <f t="shared" si="1"/>
        <v>62837051.209930807</v>
      </c>
      <c r="L10" s="13">
        <f t="shared" si="1"/>
        <v>64365762.74622874</v>
      </c>
      <c r="M10" s="13">
        <f t="shared" si="1"/>
        <v>69203804.868000001</v>
      </c>
    </row>
    <row r="11" spans="1:13" x14ac:dyDescent="0.25">
      <c r="A11" s="3" t="s">
        <v>10</v>
      </c>
      <c r="B11" s="1"/>
      <c r="C11" s="1"/>
      <c r="D11" s="1"/>
      <c r="E11" s="1"/>
      <c r="F11" s="43">
        <f>'Capital Requirements'!$C$20</f>
        <v>18439320</v>
      </c>
      <c r="G11" s="43">
        <f>'Capital Requirements'!$C$20</f>
        <v>18439320</v>
      </c>
      <c r="H11" s="43">
        <f>'Capital Requirements'!$C$20</f>
        <v>18439320</v>
      </c>
      <c r="I11" s="43">
        <f>'Capital Requirements'!$C$20</f>
        <v>18439320</v>
      </c>
      <c r="J11" s="43">
        <f>'Capital Requirements'!$C$20</f>
        <v>18439320</v>
      </c>
      <c r="K11" s="43">
        <f>'Capital Requirements'!$C$20</f>
        <v>18439320</v>
      </c>
      <c r="L11" s="43">
        <f>'Capital Requirements'!$C$20</f>
        <v>18439320</v>
      </c>
      <c r="M11" s="43">
        <f>'Capital Requirements'!$C$20</f>
        <v>18439320</v>
      </c>
    </row>
    <row r="12" spans="1:13" x14ac:dyDescent="0.25">
      <c r="A12" s="2" t="s">
        <v>31</v>
      </c>
      <c r="B12" s="1"/>
      <c r="C12" s="1"/>
      <c r="D12" s="1"/>
      <c r="E12" s="1"/>
      <c r="F12" s="41">
        <f>'Capital Requirements'!$C$23</f>
        <v>7000000</v>
      </c>
      <c r="G12" s="41">
        <f>'Capital Requirements'!$C$23</f>
        <v>7000000</v>
      </c>
      <c r="H12" s="41">
        <f>'Capital Requirements'!$C$23</f>
        <v>7000000</v>
      </c>
      <c r="I12" s="41">
        <f>'Capital Requirements'!$C$23</f>
        <v>7000000</v>
      </c>
      <c r="J12" s="41">
        <f>'Capital Requirements'!$C$23</f>
        <v>7000000</v>
      </c>
      <c r="K12" s="41">
        <f>'Capital Requirements'!$C$23</f>
        <v>7000000</v>
      </c>
      <c r="L12" s="41">
        <f>'Capital Requirements'!$C$23</f>
        <v>7000000</v>
      </c>
      <c r="M12" s="41">
        <f>'Capital Requirements'!$C$23</f>
        <v>7000000</v>
      </c>
    </row>
    <row r="13" spans="1:13" x14ac:dyDescent="0.25">
      <c r="A13" s="3" t="s">
        <v>66</v>
      </c>
      <c r="B13" s="1"/>
      <c r="C13" s="1"/>
      <c r="D13" s="1"/>
      <c r="E13" s="1"/>
      <c r="F13" s="13">
        <f>F10-F11-F12</f>
        <v>22080680</v>
      </c>
      <c r="G13" s="13">
        <f t="shared" ref="G13:M13" si="2">G10-G11-G12</f>
        <v>31715360.000000007</v>
      </c>
      <c r="H13" s="13">
        <f t="shared" si="2"/>
        <v>33073600.400000006</v>
      </c>
      <c r="I13" s="13">
        <f t="shared" si="2"/>
        <v>34472588.012000009</v>
      </c>
      <c r="J13" s="13">
        <f t="shared" si="2"/>
        <v>35913545.252360009</v>
      </c>
      <c r="K13" s="13">
        <f t="shared" si="2"/>
        <v>37397731.209930807</v>
      </c>
      <c r="L13" s="13">
        <f t="shared" si="2"/>
        <v>38926442.74622874</v>
      </c>
      <c r="M13" s="13">
        <f t="shared" si="2"/>
        <v>43764484.868000001</v>
      </c>
    </row>
    <row r="14" spans="1:13" x14ac:dyDescent="0.25">
      <c r="A14" s="3" t="s">
        <v>65</v>
      </c>
      <c r="B14" s="1"/>
      <c r="C14" s="1"/>
      <c r="D14" s="1"/>
      <c r="E14" s="1"/>
      <c r="F14" s="13">
        <f>F13*0.21</f>
        <v>4636942.8</v>
      </c>
      <c r="G14" s="13">
        <f t="shared" ref="G14:M14" si="3">G13*0.21</f>
        <v>6660225.6000000015</v>
      </c>
      <c r="H14" s="13">
        <f t="shared" si="3"/>
        <v>6945456.0840000007</v>
      </c>
      <c r="I14" s="13">
        <f t="shared" si="3"/>
        <v>7239243.4825200019</v>
      </c>
      <c r="J14" s="13">
        <f t="shared" si="3"/>
        <v>7541844.5029956019</v>
      </c>
      <c r="K14" s="13">
        <f t="shared" si="3"/>
        <v>7853523.5540854689</v>
      </c>
      <c r="L14" s="13">
        <f t="shared" si="3"/>
        <v>8174552.976708035</v>
      </c>
      <c r="M14" s="13">
        <f t="shared" si="3"/>
        <v>9190541.822279999</v>
      </c>
    </row>
    <row r="15" spans="1:13" x14ac:dyDescent="0.25">
      <c r="A15" s="3" t="s">
        <v>4</v>
      </c>
      <c r="B15" s="1"/>
      <c r="C15" s="1"/>
      <c r="D15" s="1"/>
      <c r="E15" s="1"/>
      <c r="F15" s="13">
        <f>F13-F14</f>
        <v>17443737.199999999</v>
      </c>
      <c r="G15" s="13">
        <f t="shared" ref="G15:M15" si="4">G13-G14</f>
        <v>25055134.400000006</v>
      </c>
      <c r="H15" s="13">
        <f t="shared" si="4"/>
        <v>26128144.316000007</v>
      </c>
      <c r="I15" s="13">
        <f t="shared" si="4"/>
        <v>27233344.529480007</v>
      </c>
      <c r="J15" s="13">
        <f t="shared" si="4"/>
        <v>28371700.749364406</v>
      </c>
      <c r="K15" s="13">
        <f t="shared" si="4"/>
        <v>29544207.655845337</v>
      </c>
      <c r="L15" s="13">
        <f t="shared" si="4"/>
        <v>30751889.769520704</v>
      </c>
      <c r="M15" s="13">
        <f t="shared" si="4"/>
        <v>34573943.045720004</v>
      </c>
    </row>
    <row r="16" spans="1:13" x14ac:dyDescent="0.25">
      <c r="A16" s="3" t="s">
        <v>11</v>
      </c>
      <c r="B16" s="1"/>
      <c r="C16" s="1"/>
      <c r="D16" s="1"/>
      <c r="E16" s="1"/>
      <c r="F16" s="103">
        <f>'Capital Requirements'!$C$23</f>
        <v>7000000</v>
      </c>
      <c r="G16" s="103">
        <f>'Capital Requirements'!$C$23</f>
        <v>7000000</v>
      </c>
      <c r="H16" s="103">
        <f>'Capital Requirements'!$C$23</f>
        <v>7000000</v>
      </c>
      <c r="I16" s="103">
        <f>'Capital Requirements'!$C$23</f>
        <v>7000000</v>
      </c>
      <c r="J16" s="103">
        <f>'Capital Requirements'!$C$23</f>
        <v>7000000</v>
      </c>
      <c r="K16" s="103">
        <f>'Capital Requirements'!$C$23</f>
        <v>7000000</v>
      </c>
      <c r="L16" s="103">
        <f>'Capital Requirements'!$C$23</f>
        <v>7000000</v>
      </c>
      <c r="M16" s="103">
        <f>'Capital Requirements'!$C$23</f>
        <v>7000000</v>
      </c>
    </row>
    <row r="17" spans="1:13" ht="13.8" thickBot="1" x14ac:dyDescent="0.3">
      <c r="A17" s="3" t="s">
        <v>32</v>
      </c>
      <c r="B17" s="1"/>
      <c r="C17" s="1"/>
      <c r="D17" s="1"/>
      <c r="E17" s="9">
        <f>E6</f>
        <v>-71795000</v>
      </c>
      <c r="F17" s="9">
        <f>F15+F16</f>
        <v>24443737.199999999</v>
      </c>
      <c r="G17" s="9">
        <f t="shared" ref="G17:M17" si="5">G15+G16</f>
        <v>32055134.400000006</v>
      </c>
      <c r="H17" s="9">
        <f t="shared" si="5"/>
        <v>33128144.316000007</v>
      </c>
      <c r="I17" s="9">
        <f t="shared" si="5"/>
        <v>34233344.52948001</v>
      </c>
      <c r="J17" s="9">
        <f t="shared" si="5"/>
        <v>35371700.749364406</v>
      </c>
      <c r="K17" s="9">
        <f t="shared" si="5"/>
        <v>36544207.655845337</v>
      </c>
      <c r="L17" s="9">
        <f t="shared" si="5"/>
        <v>37751889.7695207</v>
      </c>
      <c r="M17" s="9">
        <f t="shared" si="5"/>
        <v>41573943.045720004</v>
      </c>
    </row>
    <row r="18" spans="1:13" ht="13.8" thickTop="1" x14ac:dyDescent="0.25">
      <c r="A18" s="3" t="s">
        <v>79</v>
      </c>
      <c r="B18" s="1"/>
      <c r="C18" s="1"/>
      <c r="D18" s="1"/>
      <c r="E18" s="15"/>
      <c r="F18" s="15">
        <f>E17+F17</f>
        <v>-47351262.799999997</v>
      </c>
      <c r="G18" s="15">
        <f>F18+G17</f>
        <v>-15296128.399999991</v>
      </c>
      <c r="H18" s="15">
        <f t="shared" ref="H18:M18" si="6">G18+H17</f>
        <v>17832015.916000016</v>
      </c>
      <c r="I18" s="15">
        <f t="shared" si="6"/>
        <v>52065360.445480026</v>
      </c>
      <c r="J18" s="15">
        <f t="shared" si="6"/>
        <v>87437061.194844425</v>
      </c>
      <c r="K18" s="15">
        <f t="shared" si="6"/>
        <v>123981268.85068977</v>
      </c>
      <c r="L18" s="15">
        <f t="shared" si="6"/>
        <v>161733158.62021047</v>
      </c>
      <c r="M18" s="15">
        <f t="shared" si="6"/>
        <v>203307101.66593048</v>
      </c>
    </row>
    <row r="19" spans="1:13" x14ac:dyDescent="0.25">
      <c r="A19" s="10"/>
      <c r="B19" s="3"/>
      <c r="C19" s="3"/>
      <c r="D19" s="3"/>
      <c r="E19" s="3"/>
      <c r="F19" s="3"/>
      <c r="G19" s="3"/>
      <c r="H19" s="3"/>
      <c r="I19" s="3"/>
      <c r="J19" s="3"/>
      <c r="K19" s="3"/>
      <c r="L19" s="3"/>
      <c r="M19" s="3"/>
    </row>
    <row r="20" spans="1:13" ht="15.6" x14ac:dyDescent="0.3">
      <c r="A20" s="5" t="s">
        <v>33</v>
      </c>
      <c r="B20" s="3"/>
      <c r="C20" s="3"/>
      <c r="D20" s="3"/>
      <c r="E20" s="3"/>
      <c r="F20" s="3"/>
      <c r="G20" s="3"/>
      <c r="H20" s="3"/>
      <c r="I20" s="3"/>
      <c r="J20" s="3"/>
    </row>
    <row r="21" spans="1:13" x14ac:dyDescent="0.25">
      <c r="A21" s="4"/>
      <c r="B21" s="1"/>
      <c r="C21" s="1"/>
      <c r="D21" s="1"/>
      <c r="E21" s="3"/>
      <c r="F21" s="3"/>
      <c r="G21" s="3"/>
      <c r="H21" s="3"/>
      <c r="I21" s="3"/>
      <c r="J21" s="3"/>
    </row>
    <row r="22" spans="1:13" x14ac:dyDescent="0.25">
      <c r="A22" s="3" t="s">
        <v>38</v>
      </c>
      <c r="B22" s="1"/>
      <c r="C22" s="1"/>
      <c r="D22" s="11">
        <f>NPV('Capital Requirements'!D42,F17:M17)+E17</f>
        <v>117498086.6357806</v>
      </c>
      <c r="E22" s="1"/>
      <c r="F22" s="1"/>
      <c r="G22" s="1"/>
      <c r="H22" s="1"/>
      <c r="I22" s="1"/>
      <c r="J22" s="1"/>
    </row>
    <row r="23" spans="1:13" x14ac:dyDescent="0.25">
      <c r="A23" s="3" t="s">
        <v>12</v>
      </c>
      <c r="B23" s="1"/>
      <c r="C23" s="1"/>
      <c r="D23" s="12">
        <f>IRR(E17:M17)</f>
        <v>0.40507981066888776</v>
      </c>
      <c r="E23" s="1"/>
      <c r="F23" s="1"/>
      <c r="G23" s="1"/>
      <c r="H23" s="1"/>
      <c r="I23" s="1"/>
      <c r="J23" s="1"/>
    </row>
    <row r="24" spans="1:13" x14ac:dyDescent="0.25">
      <c r="A24" s="3" t="s">
        <v>75</v>
      </c>
      <c r="B24" s="1"/>
      <c r="C24" s="1"/>
      <c r="D24" s="99">
        <f>2+(ABS(G18)/H17)</f>
        <v>2.4617260856537735</v>
      </c>
      <c r="E24" s="1"/>
      <c r="F24" s="1"/>
      <c r="G24" s="1"/>
      <c r="H24" s="1"/>
      <c r="I24" s="1"/>
      <c r="J24" s="1"/>
    </row>
    <row r="25" spans="1:13" ht="13.8" thickBot="1" x14ac:dyDescent="0.3">
      <c r="A25" s="3"/>
      <c r="B25" s="1"/>
      <c r="C25" s="1"/>
    </row>
    <row r="26" spans="1:13" ht="13.8" thickBot="1" x14ac:dyDescent="0.3">
      <c r="A26" s="185" t="s">
        <v>73</v>
      </c>
      <c r="B26" s="186"/>
      <c r="C26" s="186"/>
      <c r="D26" s="187"/>
    </row>
    <row r="27" spans="1:13" ht="47.4" thickBot="1" x14ac:dyDescent="0.3">
      <c r="A27" s="86" t="s">
        <v>69</v>
      </c>
      <c r="B27" s="87" t="s">
        <v>70</v>
      </c>
      <c r="C27" s="87" t="s">
        <v>71</v>
      </c>
      <c r="D27" s="88" t="s">
        <v>72</v>
      </c>
    </row>
    <row r="28" spans="1:13" x14ac:dyDescent="0.25">
      <c r="A28" s="91">
        <v>0</v>
      </c>
      <c r="B28" s="97">
        <f>E6</f>
        <v>-71795000</v>
      </c>
      <c r="C28" s="98">
        <f>'Capital Requirements'!$D$42</f>
        <v>8.4999999999999992E-2</v>
      </c>
      <c r="D28" s="97">
        <f>B28/(1+C28)^A28</f>
        <v>-71795000</v>
      </c>
    </row>
    <row r="29" spans="1:13" x14ac:dyDescent="0.25">
      <c r="A29" s="91">
        <v>1</v>
      </c>
      <c r="B29" s="97">
        <v>24443737.199999999</v>
      </c>
      <c r="C29" s="98">
        <f>'Capital Requirements'!$D$42</f>
        <v>8.4999999999999992E-2</v>
      </c>
      <c r="D29" s="97">
        <f t="shared" ref="D29:D36" si="7">B29/(1+C29)^A29</f>
        <v>22528790.046082951</v>
      </c>
    </row>
    <row r="30" spans="1:13" x14ac:dyDescent="0.25">
      <c r="A30" s="90">
        <v>2</v>
      </c>
      <c r="B30" s="101">
        <v>32055134.400000006</v>
      </c>
      <c r="C30" s="98">
        <f>'Capital Requirements'!$D$42</f>
        <v>8.4999999999999992E-2</v>
      </c>
      <c r="D30" s="97">
        <f t="shared" si="7"/>
        <v>27229403.385079324</v>
      </c>
    </row>
    <row r="31" spans="1:13" x14ac:dyDescent="0.25">
      <c r="A31" s="90">
        <v>3</v>
      </c>
      <c r="B31" s="101">
        <v>33128144.316000007</v>
      </c>
      <c r="C31" s="98">
        <f>'Capital Requirements'!$D$42</f>
        <v>8.4999999999999992E-2</v>
      </c>
      <c r="D31" s="97">
        <f t="shared" si="7"/>
        <v>25936292.470978335</v>
      </c>
    </row>
    <row r="32" spans="1:13" x14ac:dyDescent="0.25">
      <c r="A32" s="90">
        <v>4</v>
      </c>
      <c r="B32" s="101">
        <v>34233344.52948001</v>
      </c>
      <c r="C32" s="98">
        <f>'Capital Requirements'!$D$42</f>
        <v>8.4999999999999992E-2</v>
      </c>
      <c r="D32" s="97">
        <f t="shared" si="7"/>
        <v>24701901.076957792</v>
      </c>
    </row>
    <row r="33" spans="1:4" x14ac:dyDescent="0.25">
      <c r="A33" s="90">
        <v>5</v>
      </c>
      <c r="B33" s="101">
        <v>35371700.749364406</v>
      </c>
      <c r="C33" s="98">
        <f>'Capital Requirements'!$D$42</f>
        <v>8.4999999999999992E-2</v>
      </c>
      <c r="D33" s="97">
        <f t="shared" si="7"/>
        <v>23523787.69729295</v>
      </c>
    </row>
    <row r="34" spans="1:4" x14ac:dyDescent="0.25">
      <c r="A34" s="90">
        <v>6</v>
      </c>
      <c r="B34" s="101">
        <v>36544207.655845337</v>
      </c>
      <c r="C34" s="98">
        <f>'Capital Requirements'!$D$42</f>
        <v>8.4999999999999992E-2</v>
      </c>
      <c r="D34" s="97">
        <f t="shared" si="7"/>
        <v>22399592.67209417</v>
      </c>
    </row>
    <row r="35" spans="1:4" x14ac:dyDescent="0.25">
      <c r="A35" s="90">
        <v>7</v>
      </c>
      <c r="B35" s="101">
        <v>37751889.7695207</v>
      </c>
      <c r="C35" s="98">
        <f>'Capital Requirements'!$D$42</f>
        <v>8.4999999999999992E-2</v>
      </c>
      <c r="D35" s="97">
        <f t="shared" si="7"/>
        <v>21327037.32226998</v>
      </c>
    </row>
    <row r="36" spans="1:4" x14ac:dyDescent="0.25">
      <c r="A36" s="90">
        <v>8</v>
      </c>
      <c r="B36" s="101">
        <v>41573943.045720004</v>
      </c>
      <c r="C36" s="98">
        <f>'Capital Requirements'!$D$42</f>
        <v>8.4999999999999992E-2</v>
      </c>
      <c r="D36" s="97">
        <f t="shared" si="7"/>
        <v>21646281.965025108</v>
      </c>
    </row>
    <row r="37" spans="1:4" ht="13.8" thickBot="1" x14ac:dyDescent="0.3">
      <c r="A37" s="89" t="s">
        <v>74</v>
      </c>
      <c r="D37" s="102">
        <f>SUM(D28:D36)</f>
        <v>117498086.6357806</v>
      </c>
    </row>
    <row r="38" spans="1:4" ht="13.8" thickTop="1" x14ac:dyDescent="0.25"/>
  </sheetData>
  <mergeCells count="3">
    <mergeCell ref="E3:M3"/>
    <mergeCell ref="A1:M1"/>
    <mergeCell ref="A26:D26"/>
  </mergeCells>
  <phoneticPr fontId="0" type="noConversion"/>
  <pageMargins left="0.3" right="0.19" top="0.86" bottom="0.79" header="0.5" footer="0.5"/>
  <pageSetup scale="86" orientation="landscape" r:id="rId1"/>
  <headerFooter alignWithMargins="0">
    <oddHeader>&amp;C&amp;"-,Bold"&amp;28&amp;A&amp;R&amp;"-,Bold"&amp;28&amp;P</oddHeader>
  </headerFooter>
  <rowBreaks count="2" manualBreakCount="2">
    <brk id="31" max="12" man="1"/>
    <brk id="60"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M37"/>
  <sheetViews>
    <sheetView zoomScaleNormal="100" workbookViewId="0">
      <selection activeCell="E8" sqref="E8"/>
    </sheetView>
  </sheetViews>
  <sheetFormatPr defaultColWidth="8.6640625" defaultRowHeight="13.2" x14ac:dyDescent="0.25"/>
  <cols>
    <col min="1" max="1" width="8.6640625" customWidth="1"/>
    <col min="2" max="2" width="13.6640625" bestFit="1" customWidth="1"/>
    <col min="3" max="3" width="9.6640625" customWidth="1"/>
    <col min="4" max="4" width="14.44140625" bestFit="1" customWidth="1"/>
    <col min="5" max="5" width="13.109375" bestFit="1" customWidth="1"/>
    <col min="6" max="7" width="12.33203125" bestFit="1" customWidth="1"/>
    <col min="8" max="8" width="11.5546875" bestFit="1" customWidth="1"/>
    <col min="9" max="13" width="12.5546875" bestFit="1" customWidth="1"/>
  </cols>
  <sheetData>
    <row r="1" spans="1:13" ht="18.600000000000001" thickBot="1" x14ac:dyDescent="0.4">
      <c r="A1" s="188" t="s">
        <v>51</v>
      </c>
      <c r="B1" s="189"/>
      <c r="C1" s="189"/>
      <c r="D1" s="189"/>
      <c r="E1" s="189"/>
      <c r="F1" s="189"/>
      <c r="G1" s="189"/>
      <c r="H1" s="189"/>
      <c r="I1" s="189"/>
      <c r="J1" s="189"/>
      <c r="K1" s="189"/>
      <c r="L1" s="189"/>
      <c r="M1" s="190"/>
    </row>
    <row r="2" spans="1:13" ht="13.8" thickBot="1" x14ac:dyDescent="0.3">
      <c r="A2" s="1"/>
      <c r="B2" s="1"/>
      <c r="C2" s="1"/>
      <c r="D2" s="1"/>
      <c r="E2" s="1"/>
      <c r="F2" s="1"/>
      <c r="G2" s="8"/>
      <c r="H2" s="8"/>
      <c r="I2" s="14"/>
      <c r="J2" s="15"/>
    </row>
    <row r="3" spans="1:13" ht="15.6" x14ac:dyDescent="0.3">
      <c r="A3" s="5" t="s">
        <v>34</v>
      </c>
      <c r="B3" s="1"/>
      <c r="C3" s="1"/>
      <c r="D3" s="1"/>
      <c r="E3" s="178" t="s">
        <v>5</v>
      </c>
      <c r="F3" s="179"/>
      <c r="G3" s="179"/>
      <c r="H3" s="179"/>
      <c r="I3" s="179"/>
      <c r="J3" s="179"/>
      <c r="K3" s="180"/>
      <c r="L3" s="180"/>
      <c r="M3" s="181"/>
    </row>
    <row r="4" spans="1:13" ht="15.6" x14ac:dyDescent="0.3">
      <c r="A4" s="5" t="s">
        <v>6</v>
      </c>
      <c r="B4" s="1"/>
      <c r="C4" s="6"/>
      <c r="D4" s="6"/>
      <c r="E4" s="19">
        <v>0</v>
      </c>
      <c r="F4" s="19">
        <v>1</v>
      </c>
      <c r="G4" s="19">
        <v>2</v>
      </c>
      <c r="H4" s="19">
        <v>3</v>
      </c>
      <c r="I4" s="19">
        <v>4</v>
      </c>
      <c r="J4" s="19">
        <v>5</v>
      </c>
      <c r="K4" s="19">
        <v>6</v>
      </c>
      <c r="L4" s="19">
        <v>7</v>
      </c>
      <c r="M4" s="19">
        <v>8</v>
      </c>
    </row>
    <row r="5" spans="1:13" ht="13.8" x14ac:dyDescent="0.3">
      <c r="A5" s="7" t="s">
        <v>7</v>
      </c>
      <c r="B5" s="8"/>
      <c r="C5" s="1"/>
      <c r="D5" s="1"/>
      <c r="E5" s="1"/>
      <c r="F5" s="1"/>
      <c r="G5" s="1"/>
      <c r="H5" s="1"/>
      <c r="I5" s="1"/>
      <c r="J5" s="1"/>
    </row>
    <row r="6" spans="1:13" x14ac:dyDescent="0.25">
      <c r="A6" s="3" t="s">
        <v>76</v>
      </c>
      <c r="B6" s="1"/>
      <c r="C6" s="1"/>
      <c r="D6" s="1"/>
      <c r="E6" s="40">
        <f>-'Capital Requirements'!D9</f>
        <v>-93174500</v>
      </c>
      <c r="F6" s="1"/>
      <c r="G6" s="1"/>
      <c r="H6" s="1"/>
      <c r="I6" s="1"/>
      <c r="J6" s="1"/>
    </row>
    <row r="7" spans="1:13" ht="14.4" thickBot="1" x14ac:dyDescent="0.35">
      <c r="A7" s="7" t="s">
        <v>8</v>
      </c>
      <c r="B7" s="1"/>
      <c r="C7" s="1"/>
      <c r="D7" s="1"/>
      <c r="E7" s="1"/>
      <c r="F7" s="1"/>
      <c r="G7" s="1"/>
      <c r="H7" s="1"/>
      <c r="I7" s="1"/>
      <c r="J7" s="1"/>
    </row>
    <row r="8" spans="1:13" ht="13.8" thickBot="1" x14ac:dyDescent="0.3">
      <c r="A8" s="3" t="s">
        <v>9</v>
      </c>
      <c r="B8" s="1"/>
      <c r="C8" s="1"/>
      <c r="D8" s="1"/>
      <c r="E8" s="1"/>
      <c r="F8" s="66">
        <v>68000000</v>
      </c>
      <c r="G8" s="69">
        <v>81787000</v>
      </c>
      <c r="H8" s="69">
        <v>83730610</v>
      </c>
      <c r="I8" s="69">
        <v>85732528.299999997</v>
      </c>
      <c r="J8" s="69">
        <v>87794504.149000004</v>
      </c>
      <c r="K8" s="69">
        <v>89918339.273469999</v>
      </c>
      <c r="L8" s="69">
        <v>92105889.451674104</v>
      </c>
      <c r="M8" s="35">
        <v>99029013.700000003</v>
      </c>
    </row>
    <row r="9" spans="1:13" x14ac:dyDescent="0.25">
      <c r="A9" s="3" t="s">
        <v>57</v>
      </c>
      <c r="B9" s="1"/>
      <c r="C9" s="1"/>
      <c r="D9" s="1"/>
      <c r="E9" s="1"/>
      <c r="F9" s="78">
        <f>F8*0.11</f>
        <v>7480000</v>
      </c>
      <c r="G9" s="78">
        <f t="shared" ref="G9:M9" si="0">G8*0.11</f>
        <v>8996570</v>
      </c>
      <c r="H9" s="78">
        <f t="shared" si="0"/>
        <v>9210367.0999999996</v>
      </c>
      <c r="I9" s="78">
        <f t="shared" si="0"/>
        <v>9430578.1129999999</v>
      </c>
      <c r="J9" s="78">
        <f t="shared" si="0"/>
        <v>9657395.4563900009</v>
      </c>
      <c r="K9" s="78">
        <f t="shared" si="0"/>
        <v>9891017.3200816996</v>
      </c>
      <c r="L9" s="78">
        <f t="shared" si="0"/>
        <v>10131647.839684151</v>
      </c>
      <c r="M9" s="78">
        <f t="shared" si="0"/>
        <v>10893191.507000001</v>
      </c>
    </row>
    <row r="10" spans="1:13" x14ac:dyDescent="0.25">
      <c r="A10" s="3" t="s">
        <v>64</v>
      </c>
      <c r="B10" s="1"/>
      <c r="C10" s="1"/>
      <c r="D10" s="1"/>
      <c r="E10" s="1"/>
      <c r="F10" s="13">
        <f>F8-F9</f>
        <v>60520000</v>
      </c>
      <c r="G10" s="13">
        <f t="shared" ref="G10:M10" si="1">G8-G9</f>
        <v>72790430</v>
      </c>
      <c r="H10" s="13">
        <f t="shared" si="1"/>
        <v>74520242.900000006</v>
      </c>
      <c r="I10" s="13">
        <f t="shared" si="1"/>
        <v>76301950.186999992</v>
      </c>
      <c r="J10" s="13">
        <f t="shared" si="1"/>
        <v>78137108.692609996</v>
      </c>
      <c r="K10" s="13">
        <f t="shared" si="1"/>
        <v>80027321.953388304</v>
      </c>
      <c r="L10" s="13">
        <f t="shared" si="1"/>
        <v>81974241.611989945</v>
      </c>
      <c r="M10" s="13">
        <f t="shared" si="1"/>
        <v>88135822.193000004</v>
      </c>
    </row>
    <row r="11" spans="1:13" x14ac:dyDescent="0.25">
      <c r="A11" s="3" t="s">
        <v>10</v>
      </c>
      <c r="B11" s="1"/>
      <c r="C11" s="1"/>
      <c r="D11" s="1"/>
      <c r="E11" s="1"/>
      <c r="F11" s="43">
        <f>'Capital Requirements'!$D$20</f>
        <v>21492038.399999999</v>
      </c>
      <c r="G11" s="43">
        <f>'Capital Requirements'!$D$20</f>
        <v>21492038.399999999</v>
      </c>
      <c r="H11" s="43">
        <f>'Capital Requirements'!$D$20</f>
        <v>21492038.399999999</v>
      </c>
      <c r="I11" s="43">
        <f>'Capital Requirements'!$D$20</f>
        <v>21492038.399999999</v>
      </c>
      <c r="J11" s="43">
        <f>'Capital Requirements'!$D$20</f>
        <v>21492038.399999999</v>
      </c>
      <c r="K11" s="43">
        <f>'Capital Requirements'!$D$20</f>
        <v>21492038.399999999</v>
      </c>
      <c r="L11" s="43">
        <f>'Capital Requirements'!$D$20</f>
        <v>21492038.399999999</v>
      </c>
      <c r="M11" s="43">
        <f>'Capital Requirements'!$D$20</f>
        <v>21492038.399999999</v>
      </c>
    </row>
    <row r="12" spans="1:13" x14ac:dyDescent="0.25">
      <c r="A12" s="2" t="s">
        <v>31</v>
      </c>
      <c r="B12" s="1"/>
      <c r="C12" s="1"/>
      <c r="D12" s="1"/>
      <c r="E12" s="1"/>
      <c r="F12" s="41">
        <f>'Capital Requirements'!$D$23</f>
        <v>10000000</v>
      </c>
      <c r="G12" s="41">
        <f>'Capital Requirements'!$D$23</f>
        <v>10000000</v>
      </c>
      <c r="H12" s="41">
        <f>'Capital Requirements'!$D$23</f>
        <v>10000000</v>
      </c>
      <c r="I12" s="41">
        <f>'Capital Requirements'!$D$23</f>
        <v>10000000</v>
      </c>
      <c r="J12" s="41">
        <f>'Capital Requirements'!$D$23</f>
        <v>10000000</v>
      </c>
      <c r="K12" s="41">
        <f>'Capital Requirements'!$D$23</f>
        <v>10000000</v>
      </c>
      <c r="L12" s="41">
        <f>'Capital Requirements'!$D$23</f>
        <v>10000000</v>
      </c>
      <c r="M12" s="41">
        <f>'Capital Requirements'!$D$23</f>
        <v>10000000</v>
      </c>
    </row>
    <row r="13" spans="1:13" x14ac:dyDescent="0.25">
      <c r="A13" s="3" t="s">
        <v>66</v>
      </c>
      <c r="B13" s="1"/>
      <c r="C13" s="1"/>
      <c r="D13" s="1"/>
      <c r="E13" s="1"/>
      <c r="F13" s="13">
        <f>F10-F11-F12</f>
        <v>29027961.600000001</v>
      </c>
      <c r="G13" s="13">
        <f t="shared" ref="G13:M13" si="2">G10-G11-G12</f>
        <v>41298391.600000001</v>
      </c>
      <c r="H13" s="13">
        <f t="shared" si="2"/>
        <v>43028204.500000007</v>
      </c>
      <c r="I13" s="13">
        <f t="shared" si="2"/>
        <v>44809911.786999993</v>
      </c>
      <c r="J13" s="13">
        <f t="shared" si="2"/>
        <v>46645070.292609997</v>
      </c>
      <c r="K13" s="13">
        <f t="shared" si="2"/>
        <v>48535283.553388305</v>
      </c>
      <c r="L13" s="13">
        <f t="shared" si="2"/>
        <v>50482203.211989947</v>
      </c>
      <c r="M13" s="13">
        <f t="shared" si="2"/>
        <v>56643783.793000005</v>
      </c>
    </row>
    <row r="14" spans="1:13" x14ac:dyDescent="0.25">
      <c r="A14" s="3" t="s">
        <v>65</v>
      </c>
      <c r="B14" s="1"/>
      <c r="C14" s="1"/>
      <c r="D14" s="1"/>
      <c r="E14" s="1"/>
      <c r="F14" s="13">
        <f>F13*0.21</f>
        <v>6095871.9359999998</v>
      </c>
      <c r="G14" s="13">
        <f t="shared" ref="G14:M14" si="3">G13*0.21</f>
        <v>8672662.2359999996</v>
      </c>
      <c r="H14" s="13">
        <f t="shared" si="3"/>
        <v>9035922.9450000022</v>
      </c>
      <c r="I14" s="13">
        <f t="shared" si="3"/>
        <v>9410081.4752699975</v>
      </c>
      <c r="J14" s="13">
        <f t="shared" si="3"/>
        <v>9795464.7614480983</v>
      </c>
      <c r="K14" s="13">
        <f t="shared" si="3"/>
        <v>10192409.546211544</v>
      </c>
      <c r="L14" s="13">
        <f t="shared" si="3"/>
        <v>10601262.674517889</v>
      </c>
      <c r="M14" s="13">
        <f t="shared" si="3"/>
        <v>11895194.59653</v>
      </c>
    </row>
    <row r="15" spans="1:13" x14ac:dyDescent="0.25">
      <c r="A15" s="3" t="s">
        <v>4</v>
      </c>
      <c r="B15" s="1"/>
      <c r="C15" s="1"/>
      <c r="D15" s="1"/>
      <c r="E15" s="1"/>
      <c r="F15" s="13">
        <f>F13-F14</f>
        <v>22932089.664000001</v>
      </c>
      <c r="G15" s="13">
        <f t="shared" ref="G15:M15" si="4">G13-G14</f>
        <v>32625729.364</v>
      </c>
      <c r="H15" s="13">
        <f t="shared" si="4"/>
        <v>33992281.555000007</v>
      </c>
      <c r="I15" s="13">
        <f t="shared" si="4"/>
        <v>35399830.311729997</v>
      </c>
      <c r="J15" s="13">
        <f t="shared" si="4"/>
        <v>36849605.531161897</v>
      </c>
      <c r="K15" s="13">
        <f t="shared" si="4"/>
        <v>38342874.007176757</v>
      </c>
      <c r="L15" s="13">
        <f t="shared" si="4"/>
        <v>39880940.537472054</v>
      </c>
      <c r="M15" s="13">
        <f t="shared" si="4"/>
        <v>44748589.196470007</v>
      </c>
    </row>
    <row r="16" spans="1:13" x14ac:dyDescent="0.25">
      <c r="A16" s="3" t="s">
        <v>11</v>
      </c>
      <c r="B16" s="1"/>
      <c r="C16" s="1"/>
      <c r="D16" s="1"/>
      <c r="E16" s="1"/>
      <c r="F16" s="13">
        <f>F12</f>
        <v>10000000</v>
      </c>
      <c r="G16" s="13">
        <f t="shared" ref="G16:M16" si="5">G12</f>
        <v>10000000</v>
      </c>
      <c r="H16" s="13">
        <f t="shared" si="5"/>
        <v>10000000</v>
      </c>
      <c r="I16" s="13">
        <f t="shared" si="5"/>
        <v>10000000</v>
      </c>
      <c r="J16" s="13">
        <f t="shared" si="5"/>
        <v>10000000</v>
      </c>
      <c r="K16" s="13">
        <f t="shared" si="5"/>
        <v>10000000</v>
      </c>
      <c r="L16" s="13">
        <f t="shared" si="5"/>
        <v>10000000</v>
      </c>
      <c r="M16" s="13">
        <f t="shared" si="5"/>
        <v>10000000</v>
      </c>
    </row>
    <row r="17" spans="1:13" ht="13.8" thickBot="1" x14ac:dyDescent="0.3">
      <c r="A17" s="3" t="s">
        <v>32</v>
      </c>
      <c r="B17" s="1"/>
      <c r="C17" s="1"/>
      <c r="D17" s="1"/>
      <c r="E17" s="9">
        <f>E6</f>
        <v>-93174500</v>
      </c>
      <c r="F17" s="9">
        <f t="shared" ref="F17:M17" si="6">F15+F16</f>
        <v>32932089.664000001</v>
      </c>
      <c r="G17" s="9">
        <f t="shared" si="6"/>
        <v>42625729.364</v>
      </c>
      <c r="H17" s="9">
        <f t="shared" si="6"/>
        <v>43992281.555000007</v>
      </c>
      <c r="I17" s="9">
        <f t="shared" si="6"/>
        <v>45399830.311729997</v>
      </c>
      <c r="J17" s="9">
        <f t="shared" si="6"/>
        <v>46849605.531161897</v>
      </c>
      <c r="K17" s="9">
        <f t="shared" si="6"/>
        <v>48342874.007176757</v>
      </c>
      <c r="L17" s="9">
        <f t="shared" si="6"/>
        <v>49880940.537472054</v>
      </c>
      <c r="M17" s="9">
        <f t="shared" si="6"/>
        <v>54748589.196470007</v>
      </c>
    </row>
    <row r="18" spans="1:13" ht="13.8" thickTop="1" x14ac:dyDescent="0.25">
      <c r="A18" s="3" t="s">
        <v>79</v>
      </c>
      <c r="B18" s="1"/>
      <c r="C18" s="1"/>
      <c r="D18" s="1"/>
      <c r="E18" s="15"/>
      <c r="F18" s="15">
        <f>E17+F17</f>
        <v>-60242410.335999995</v>
      </c>
      <c r="G18" s="15">
        <f>F18+G17</f>
        <v>-17616680.971999995</v>
      </c>
      <c r="H18" s="15">
        <f t="shared" ref="H18:M18" si="7">G18+H17</f>
        <v>26375600.583000012</v>
      </c>
      <c r="I18" s="15">
        <f t="shared" si="7"/>
        <v>71775430.894730002</v>
      </c>
      <c r="J18" s="15">
        <f>I18+J17</f>
        <v>118625036.42589191</v>
      </c>
      <c r="K18" s="15">
        <f t="shared" si="7"/>
        <v>166967910.43306866</v>
      </c>
      <c r="L18" s="15">
        <f t="shared" si="7"/>
        <v>216848850.9705407</v>
      </c>
      <c r="M18" s="15">
        <f t="shared" si="7"/>
        <v>271597440.16701072</v>
      </c>
    </row>
    <row r="19" spans="1:13" x14ac:dyDescent="0.25">
      <c r="A19" s="10"/>
      <c r="B19" s="3"/>
      <c r="C19" s="3"/>
      <c r="D19" s="3"/>
      <c r="E19" s="3"/>
      <c r="F19" s="3"/>
      <c r="G19" s="3"/>
      <c r="H19" s="3"/>
      <c r="I19" s="3"/>
      <c r="J19" s="3"/>
      <c r="K19" s="3"/>
      <c r="L19" s="3"/>
      <c r="M19" s="3"/>
    </row>
    <row r="20" spans="1:13" ht="15.6" x14ac:dyDescent="0.3">
      <c r="A20" s="5" t="s">
        <v>33</v>
      </c>
      <c r="B20" s="3"/>
      <c r="C20" s="3"/>
      <c r="D20" s="3"/>
      <c r="E20" s="3"/>
      <c r="F20" s="3"/>
      <c r="G20" s="3"/>
      <c r="H20" s="3"/>
      <c r="I20" s="3"/>
      <c r="J20" s="3"/>
    </row>
    <row r="21" spans="1:13" x14ac:dyDescent="0.25">
      <c r="A21" s="4"/>
      <c r="B21" s="1"/>
      <c r="C21" s="1"/>
      <c r="D21" s="1"/>
      <c r="E21" s="3"/>
      <c r="F21" s="3"/>
      <c r="G21" s="3"/>
      <c r="H21" s="3"/>
      <c r="I21" s="3"/>
      <c r="J21" s="3"/>
    </row>
    <row r="22" spans="1:13" x14ac:dyDescent="0.25">
      <c r="A22" s="3" t="s">
        <v>38</v>
      </c>
      <c r="B22" s="1"/>
      <c r="C22" s="1"/>
      <c r="D22" s="11">
        <f>NPV('Capital Requirements'!D43,F17:M17)+E17</f>
        <v>155554703.42324927</v>
      </c>
      <c r="E22" s="1"/>
      <c r="F22" s="1"/>
      <c r="G22" s="1"/>
      <c r="H22" s="1"/>
      <c r="I22" s="1"/>
      <c r="J22" s="1"/>
    </row>
    <row r="23" spans="1:13" x14ac:dyDescent="0.25">
      <c r="A23" s="3" t="s">
        <v>12</v>
      </c>
      <c r="B23" s="1"/>
      <c r="C23" s="1"/>
      <c r="D23" s="12">
        <f>IRR(E17:M17)</f>
        <v>0.41655262904996682</v>
      </c>
      <c r="E23" s="1"/>
      <c r="F23" s="1"/>
      <c r="G23" s="1"/>
      <c r="H23" s="1"/>
      <c r="I23" s="1"/>
      <c r="J23" s="1"/>
    </row>
    <row r="24" spans="1:13" x14ac:dyDescent="0.25">
      <c r="A24" s="3" t="s">
        <v>75</v>
      </c>
      <c r="B24" s="1"/>
      <c r="C24" s="1"/>
      <c r="D24" s="99">
        <f>2+(ABS(G18)/H17)</f>
        <v>2.4004493595081056</v>
      </c>
      <c r="E24" s="1"/>
      <c r="F24" s="1"/>
      <c r="G24" s="1"/>
      <c r="H24" s="1"/>
      <c r="I24" s="1"/>
      <c r="J24" s="1"/>
    </row>
    <row r="25" spans="1:13" ht="13.8" thickBot="1" x14ac:dyDescent="0.3">
      <c r="A25" s="3"/>
      <c r="B25" s="1"/>
      <c r="C25" s="1"/>
    </row>
    <row r="26" spans="1:13" ht="13.8" thickBot="1" x14ac:dyDescent="0.3">
      <c r="A26" s="185" t="s">
        <v>73</v>
      </c>
      <c r="B26" s="186"/>
      <c r="C26" s="186"/>
      <c r="D26" s="187"/>
    </row>
    <row r="27" spans="1:13" ht="47.4" thickBot="1" x14ac:dyDescent="0.3">
      <c r="A27" s="86" t="s">
        <v>69</v>
      </c>
      <c r="B27" s="87" t="s">
        <v>70</v>
      </c>
      <c r="C27" s="87" t="s">
        <v>71</v>
      </c>
      <c r="D27" s="88" t="s">
        <v>72</v>
      </c>
    </row>
    <row r="28" spans="1:13" x14ac:dyDescent="0.25">
      <c r="A28" s="91">
        <v>0</v>
      </c>
      <c r="B28" s="100">
        <f>E6</f>
        <v>-93174500</v>
      </c>
      <c r="C28" s="98">
        <f>'Capital Requirements'!$D$43</f>
        <v>8.7499999999999994E-2</v>
      </c>
      <c r="D28" s="100">
        <f>B28/(1+C28)^A28</f>
        <v>-93174500</v>
      </c>
    </row>
    <row r="29" spans="1:13" x14ac:dyDescent="0.25">
      <c r="A29" s="91">
        <v>1</v>
      </c>
      <c r="B29" s="97">
        <v>32932089.664000001</v>
      </c>
      <c r="C29" s="98">
        <f>'Capital Requirements'!$D$43</f>
        <v>8.7499999999999994E-2</v>
      </c>
      <c r="D29" s="100">
        <f t="shared" ref="D29:D36" si="8">B29/(1+C29)^A29</f>
        <v>30282381.300229888</v>
      </c>
    </row>
    <row r="30" spans="1:13" x14ac:dyDescent="0.25">
      <c r="A30" s="90">
        <v>2</v>
      </c>
      <c r="B30" s="101">
        <v>42625729.364</v>
      </c>
      <c r="C30" s="98">
        <f>'Capital Requirements'!$D$43</f>
        <v>8.7499999999999994E-2</v>
      </c>
      <c r="D30" s="100">
        <f t="shared" si="8"/>
        <v>36042365.957140975</v>
      </c>
    </row>
    <row r="31" spans="1:13" x14ac:dyDescent="0.25">
      <c r="A31" s="90">
        <v>3</v>
      </c>
      <c r="B31" s="101">
        <v>43992281.555000007</v>
      </c>
      <c r="C31" s="98">
        <f>'Capital Requirements'!$D$43</f>
        <v>8.7499999999999994E-2</v>
      </c>
      <c r="D31" s="100">
        <f t="shared" si="8"/>
        <v>34204928.68849498</v>
      </c>
    </row>
    <row r="32" spans="1:13" x14ac:dyDescent="0.25">
      <c r="A32" s="90">
        <v>4</v>
      </c>
      <c r="B32" s="101">
        <v>45399830.311729997</v>
      </c>
      <c r="C32" s="98">
        <f>'Capital Requirements'!$D$43</f>
        <v>8.7499999999999994E-2</v>
      </c>
      <c r="D32" s="100">
        <f t="shared" si="8"/>
        <v>32459151.811934799</v>
      </c>
    </row>
    <row r="33" spans="1:4" x14ac:dyDescent="0.25">
      <c r="A33" s="90">
        <v>5</v>
      </c>
      <c r="B33" s="101">
        <v>46849605.531161897</v>
      </c>
      <c r="C33" s="98">
        <f>'Capital Requirements'!$D$43</f>
        <v>8.7499999999999994E-2</v>
      </c>
      <c r="D33" s="100">
        <f t="shared" si="8"/>
        <v>30800630.757815499</v>
      </c>
    </row>
    <row r="34" spans="1:4" x14ac:dyDescent="0.25">
      <c r="A34" s="90">
        <v>6</v>
      </c>
      <c r="B34" s="101">
        <v>48342874.007176757</v>
      </c>
      <c r="C34" s="98">
        <f>'Capital Requirements'!$D$43</f>
        <v>8.7499999999999994E-2</v>
      </c>
      <c r="D34" s="100">
        <f t="shared" si="8"/>
        <v>29225158.291286755</v>
      </c>
    </row>
    <row r="35" spans="1:4" x14ac:dyDescent="0.25">
      <c r="A35" s="90">
        <v>7</v>
      </c>
      <c r="B35" s="101">
        <v>49880940.537472054</v>
      </c>
      <c r="C35" s="98">
        <f>'Capital Requirements'!$D$43</f>
        <v>8.7499999999999994E-2</v>
      </c>
      <c r="D35" s="100">
        <f t="shared" si="8"/>
        <v>27728716.938883934</v>
      </c>
    </row>
    <row r="36" spans="1:4" x14ac:dyDescent="0.25">
      <c r="A36" s="90">
        <v>8</v>
      </c>
      <c r="B36" s="101">
        <v>54748589.196470007</v>
      </c>
      <c r="C36" s="98">
        <f>'Capital Requirements'!$D$43</f>
        <v>8.7499999999999994E-2</v>
      </c>
      <c r="D36" s="100">
        <f t="shared" si="8"/>
        <v>27985869.677462477</v>
      </c>
    </row>
    <row r="37" spans="1:4" x14ac:dyDescent="0.25">
      <c r="A37" s="89" t="s">
        <v>74</v>
      </c>
      <c r="C37" s="104"/>
      <c r="D37" s="100">
        <f>SUM(D28:D36)</f>
        <v>155554703.4232493</v>
      </c>
    </row>
  </sheetData>
  <mergeCells count="3">
    <mergeCell ref="E3:M3"/>
    <mergeCell ref="A1:M1"/>
    <mergeCell ref="A26:D26"/>
  </mergeCells>
  <phoneticPr fontId="0" type="noConversion"/>
  <pageMargins left="0.3" right="0.19" top="0.86" bottom="0.79" header="0.5" footer="0.5"/>
  <pageSetup scale="86" orientation="landscape" r:id="rId1"/>
  <headerFooter alignWithMargins="0">
    <oddHeader>&amp;C&amp;"-,Bold"&amp;28&amp;A&amp;R&amp;"-,Bold"&amp;28&amp;P</oddHeader>
  </headerFooter>
  <rowBreaks count="2" manualBreakCount="2">
    <brk id="31" max="12" man="1"/>
    <brk id="60" max="16383"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6B0BA-46CD-4A00-AC9A-4326EDE01AB4}">
  <sheetPr codeName="Sheet7">
    <pageSetUpPr fitToPage="1"/>
  </sheetPr>
  <dimension ref="A1:M38"/>
  <sheetViews>
    <sheetView workbookViewId="0">
      <selection activeCell="D7" sqref="D7"/>
    </sheetView>
  </sheetViews>
  <sheetFormatPr defaultColWidth="8.6640625" defaultRowHeight="13.2" x14ac:dyDescent="0.25"/>
  <cols>
    <col min="2" max="2" width="13.6640625" bestFit="1" customWidth="1"/>
    <col min="3" max="3" width="9.6640625" customWidth="1"/>
    <col min="4" max="4" width="14.44140625" bestFit="1" customWidth="1"/>
    <col min="5" max="5" width="13.109375" bestFit="1" customWidth="1"/>
    <col min="6" max="7" width="12.33203125" bestFit="1" customWidth="1"/>
    <col min="8" max="13" width="12.5546875" bestFit="1" customWidth="1"/>
  </cols>
  <sheetData>
    <row r="1" spans="1:13" ht="18.600000000000001" thickBot="1" x14ac:dyDescent="0.4">
      <c r="A1" s="188" t="s">
        <v>52</v>
      </c>
      <c r="B1" s="189"/>
      <c r="C1" s="189"/>
      <c r="D1" s="189"/>
      <c r="E1" s="189"/>
      <c r="F1" s="189"/>
      <c r="G1" s="189"/>
      <c r="H1" s="189"/>
      <c r="I1" s="189"/>
      <c r="J1" s="189"/>
      <c r="K1" s="189"/>
      <c r="L1" s="189"/>
      <c r="M1" s="190"/>
    </row>
    <row r="2" spans="1:13" ht="13.8" thickBot="1" x14ac:dyDescent="0.3">
      <c r="A2" s="1"/>
      <c r="B2" s="1"/>
      <c r="C2" s="1"/>
      <c r="D2" s="1"/>
      <c r="E2" s="1"/>
      <c r="F2" s="1"/>
      <c r="G2" s="8"/>
      <c r="H2" s="8"/>
      <c r="I2" s="14"/>
      <c r="J2" s="15"/>
    </row>
    <row r="3" spans="1:13" ht="15.6" x14ac:dyDescent="0.3">
      <c r="A3" s="5" t="s">
        <v>34</v>
      </c>
      <c r="B3" s="1"/>
      <c r="C3" s="1"/>
      <c r="D3" s="1"/>
      <c r="E3" s="178" t="s">
        <v>5</v>
      </c>
      <c r="F3" s="179"/>
      <c r="G3" s="179"/>
      <c r="H3" s="179"/>
      <c r="I3" s="179"/>
      <c r="J3" s="179"/>
      <c r="K3" s="180"/>
      <c r="L3" s="180"/>
      <c r="M3" s="181"/>
    </row>
    <row r="4" spans="1:13" ht="15.6" x14ac:dyDescent="0.3">
      <c r="A4" s="5" t="s">
        <v>6</v>
      </c>
      <c r="B4" s="1"/>
      <c r="C4" s="6"/>
      <c r="D4" s="6"/>
      <c r="E4" s="19">
        <v>0</v>
      </c>
      <c r="F4" s="19">
        <v>1</v>
      </c>
      <c r="G4" s="19">
        <v>2</v>
      </c>
      <c r="H4" s="19">
        <v>3</v>
      </c>
      <c r="I4" s="19">
        <v>4</v>
      </c>
      <c r="J4" s="19">
        <v>5</v>
      </c>
      <c r="K4" s="19">
        <v>6</v>
      </c>
      <c r="L4" s="19">
        <v>7</v>
      </c>
      <c r="M4" s="19">
        <v>8</v>
      </c>
    </row>
    <row r="5" spans="1:13" ht="13.8" x14ac:dyDescent="0.3">
      <c r="A5" s="7" t="s">
        <v>7</v>
      </c>
      <c r="B5" s="8"/>
      <c r="C5" s="1"/>
      <c r="D5" s="1"/>
      <c r="E5" s="1"/>
      <c r="F5" s="1"/>
      <c r="G5" s="1"/>
      <c r="H5" s="1"/>
      <c r="I5" s="1"/>
      <c r="J5" s="1"/>
    </row>
    <row r="6" spans="1:13" x14ac:dyDescent="0.25">
      <c r="A6" s="3" t="s">
        <v>76</v>
      </c>
      <c r="B6" s="1"/>
      <c r="C6" s="1"/>
      <c r="D6" s="1"/>
      <c r="E6" s="40">
        <f>-'Capital Requirements'!E9</f>
        <v>-111197666.66666701</v>
      </c>
      <c r="F6" s="1"/>
      <c r="G6" s="1"/>
      <c r="H6" s="1"/>
      <c r="I6" s="1"/>
      <c r="J6" s="1"/>
    </row>
    <row r="7" spans="1:13" ht="14.4" thickBot="1" x14ac:dyDescent="0.35">
      <c r="A7" s="7" t="s">
        <v>8</v>
      </c>
      <c r="B7" s="1"/>
      <c r="C7" s="1"/>
      <c r="D7" s="1"/>
      <c r="E7" s="1"/>
      <c r="F7" s="1"/>
      <c r="G7" s="1"/>
      <c r="H7" s="1"/>
      <c r="I7" s="1"/>
      <c r="J7" s="1"/>
    </row>
    <row r="8" spans="1:13" ht="13.8" thickBot="1" x14ac:dyDescent="0.3">
      <c r="A8" s="3" t="s">
        <v>9</v>
      </c>
      <c r="B8" s="1"/>
      <c r="C8" s="1"/>
      <c r="D8" s="1"/>
      <c r="E8" s="1"/>
      <c r="F8" s="67">
        <v>82000000</v>
      </c>
      <c r="G8" s="34">
        <v>98625500</v>
      </c>
      <c r="H8" s="34">
        <v>100969265</v>
      </c>
      <c r="I8" s="34">
        <v>103383342.95</v>
      </c>
      <c r="J8" s="34">
        <v>105869843.2385</v>
      </c>
      <c r="K8" s="34">
        <v>108430938.53565501</v>
      </c>
      <c r="L8" s="34">
        <v>111068866.691725</v>
      </c>
      <c r="M8" s="36">
        <v>119417340.05</v>
      </c>
    </row>
    <row r="9" spans="1:13" x14ac:dyDescent="0.25">
      <c r="A9" s="3" t="s">
        <v>57</v>
      </c>
      <c r="B9" s="1"/>
      <c r="C9" s="1"/>
      <c r="D9" s="1"/>
      <c r="E9" s="1"/>
      <c r="F9" s="78">
        <f>F8*0.09</f>
        <v>7380000</v>
      </c>
      <c r="G9" s="78">
        <f t="shared" ref="G9:M9" si="0">G8*0.09</f>
        <v>8876295</v>
      </c>
      <c r="H9" s="78">
        <f t="shared" si="0"/>
        <v>9087233.8499999996</v>
      </c>
      <c r="I9" s="78">
        <f t="shared" si="0"/>
        <v>9304500.8654999994</v>
      </c>
      <c r="J9" s="78">
        <f t="shared" si="0"/>
        <v>9528285.8914649989</v>
      </c>
      <c r="K9" s="78">
        <f t="shared" si="0"/>
        <v>9758784.46820895</v>
      </c>
      <c r="L9" s="78">
        <f t="shared" si="0"/>
        <v>9996198.0022552498</v>
      </c>
      <c r="M9" s="78">
        <f t="shared" si="0"/>
        <v>10747560.604499999</v>
      </c>
    </row>
    <row r="10" spans="1:13" x14ac:dyDescent="0.25">
      <c r="A10" s="3" t="s">
        <v>64</v>
      </c>
      <c r="B10" s="1"/>
      <c r="C10" s="1"/>
      <c r="D10" s="1"/>
      <c r="E10" s="1"/>
      <c r="F10" s="13">
        <f>F8-F9</f>
        <v>74620000</v>
      </c>
      <c r="G10" s="13">
        <f t="shared" ref="G10:M10" si="1">G8-G9</f>
        <v>89749205</v>
      </c>
      <c r="H10" s="13">
        <f t="shared" si="1"/>
        <v>91882031.150000006</v>
      </c>
      <c r="I10" s="13">
        <f t="shared" si="1"/>
        <v>94078842.0845</v>
      </c>
      <c r="J10" s="13">
        <f t="shared" si="1"/>
        <v>96341557.347035006</v>
      </c>
      <c r="K10" s="13">
        <f t="shared" si="1"/>
        <v>98672154.067446053</v>
      </c>
      <c r="L10" s="13">
        <f t="shared" si="1"/>
        <v>101072668.68946975</v>
      </c>
      <c r="M10" s="13">
        <f t="shared" si="1"/>
        <v>108669779.4455</v>
      </c>
    </row>
    <row r="11" spans="1:13" x14ac:dyDescent="0.25">
      <c r="A11" s="3" t="s">
        <v>10</v>
      </c>
      <c r="B11" s="1"/>
      <c r="C11" s="1"/>
      <c r="D11" s="1"/>
      <c r="E11" s="1"/>
      <c r="F11" s="43">
        <f>'Capital Requirements'!$E$20</f>
        <v>24540991.199999999</v>
      </c>
      <c r="G11" s="43">
        <f>'Capital Requirements'!$E$20</f>
        <v>24540991.199999999</v>
      </c>
      <c r="H11" s="43">
        <f>'Capital Requirements'!$E$20</f>
        <v>24540991.199999999</v>
      </c>
      <c r="I11" s="43">
        <f>'Capital Requirements'!$E$20</f>
        <v>24540991.199999999</v>
      </c>
      <c r="J11" s="43">
        <f>'Capital Requirements'!$E$20</f>
        <v>24540991.199999999</v>
      </c>
      <c r="K11" s="43">
        <f>'Capital Requirements'!$E$20</f>
        <v>24540991.199999999</v>
      </c>
      <c r="L11" s="43">
        <f>'Capital Requirements'!$E$20</f>
        <v>24540991.199999999</v>
      </c>
      <c r="M11" s="43">
        <f>'Capital Requirements'!$E$20</f>
        <v>24540991.199999999</v>
      </c>
    </row>
    <row r="12" spans="1:13" x14ac:dyDescent="0.25">
      <c r="A12" s="2" t="s">
        <v>31</v>
      </c>
      <c r="B12" s="1"/>
      <c r="C12" s="1"/>
      <c r="D12" s="1"/>
      <c r="E12" s="1"/>
      <c r="F12" s="41">
        <f>'Capital Requirements'!$E$23</f>
        <v>12333333.3333333</v>
      </c>
      <c r="G12" s="41">
        <f>'Capital Requirements'!$E$23</f>
        <v>12333333.3333333</v>
      </c>
      <c r="H12" s="41">
        <f>'Capital Requirements'!$E$23</f>
        <v>12333333.3333333</v>
      </c>
      <c r="I12" s="41">
        <f>'Capital Requirements'!$E$23</f>
        <v>12333333.3333333</v>
      </c>
      <c r="J12" s="41">
        <f>'Capital Requirements'!$E$23</f>
        <v>12333333.3333333</v>
      </c>
      <c r="K12" s="41">
        <f>'Capital Requirements'!$E$23</f>
        <v>12333333.3333333</v>
      </c>
      <c r="L12" s="41">
        <f>'Capital Requirements'!$E$23</f>
        <v>12333333.3333333</v>
      </c>
      <c r="M12" s="41">
        <f>'Capital Requirements'!$E$23</f>
        <v>12333333.3333333</v>
      </c>
    </row>
    <row r="13" spans="1:13" x14ac:dyDescent="0.25">
      <c r="A13" s="3" t="s">
        <v>66</v>
      </c>
      <c r="B13" s="1"/>
      <c r="C13" s="1"/>
      <c r="D13" s="1"/>
      <c r="E13" s="1"/>
      <c r="F13" s="13">
        <f>F10-F11-F12</f>
        <v>37745675.466666698</v>
      </c>
      <c r="G13" s="13">
        <f t="shared" ref="G13:M13" si="2">G10-G11-G12</f>
        <v>52874880.466666698</v>
      </c>
      <c r="H13" s="13">
        <f t="shared" si="2"/>
        <v>55007706.616666704</v>
      </c>
      <c r="I13" s="13">
        <f t="shared" si="2"/>
        <v>57204517.551166698</v>
      </c>
      <c r="J13" s="13">
        <f t="shared" si="2"/>
        <v>59467232.813701704</v>
      </c>
      <c r="K13" s="13">
        <f t="shared" si="2"/>
        <v>61797829.534112751</v>
      </c>
      <c r="L13" s="13">
        <f t="shared" si="2"/>
        <v>64198344.156136453</v>
      </c>
      <c r="M13" s="13">
        <f t="shared" si="2"/>
        <v>71795454.9121667</v>
      </c>
    </row>
    <row r="14" spans="1:13" x14ac:dyDescent="0.25">
      <c r="A14" s="3" t="s">
        <v>65</v>
      </c>
      <c r="B14" s="1"/>
      <c r="C14" s="1"/>
      <c r="D14" s="1"/>
      <c r="E14" s="1"/>
      <c r="F14" s="13">
        <f>F13*0.21</f>
        <v>7926591.8480000068</v>
      </c>
      <c r="G14" s="13">
        <f t="shared" ref="G14:M14" si="3">G13*0.21</f>
        <v>11103724.898000006</v>
      </c>
      <c r="H14" s="13">
        <f t="shared" si="3"/>
        <v>11551618.389500007</v>
      </c>
      <c r="I14" s="13">
        <f t="shared" si="3"/>
        <v>12012948.685745006</v>
      </c>
      <c r="J14" s="13">
        <f t="shared" si="3"/>
        <v>12488118.890877357</v>
      </c>
      <c r="K14" s="13">
        <f t="shared" si="3"/>
        <v>12977544.202163678</v>
      </c>
      <c r="L14" s="13">
        <f t="shared" si="3"/>
        <v>13481652.272788655</v>
      </c>
      <c r="M14" s="13">
        <f t="shared" si="3"/>
        <v>15077045.531555006</v>
      </c>
    </row>
    <row r="15" spans="1:13" x14ac:dyDescent="0.25">
      <c r="A15" s="3" t="s">
        <v>4</v>
      </c>
      <c r="B15" s="1"/>
      <c r="C15" s="1"/>
      <c r="D15" s="1"/>
      <c r="E15" s="1"/>
      <c r="F15" s="13">
        <f>F13-F14</f>
        <v>29819083.618666694</v>
      </c>
      <c r="G15" s="13">
        <f t="shared" ref="G15:M15" si="4">G13-G14</f>
        <v>41771155.568666697</v>
      </c>
      <c r="H15" s="13">
        <f t="shared" si="4"/>
        <v>43456088.227166697</v>
      </c>
      <c r="I15" s="13">
        <f t="shared" si="4"/>
        <v>45191568.86542169</v>
      </c>
      <c r="J15" s="13">
        <f t="shared" si="4"/>
        <v>46979113.922824346</v>
      </c>
      <c r="K15" s="13">
        <f t="shared" si="4"/>
        <v>48820285.33194907</v>
      </c>
      <c r="L15" s="13">
        <f t="shared" si="4"/>
        <v>50716691.883347794</v>
      </c>
      <c r="M15" s="13">
        <f t="shared" si="4"/>
        <v>56718409.380611695</v>
      </c>
    </row>
    <row r="16" spans="1:13" x14ac:dyDescent="0.25">
      <c r="A16" s="3" t="s">
        <v>11</v>
      </c>
      <c r="B16" s="1"/>
      <c r="C16" s="1"/>
      <c r="D16" s="1"/>
      <c r="F16" s="13">
        <f>F12</f>
        <v>12333333.3333333</v>
      </c>
      <c r="G16" s="13">
        <f t="shared" ref="G16:M16" si="5">G12</f>
        <v>12333333.3333333</v>
      </c>
      <c r="H16" s="13">
        <f t="shared" si="5"/>
        <v>12333333.3333333</v>
      </c>
      <c r="I16" s="13">
        <f t="shared" si="5"/>
        <v>12333333.3333333</v>
      </c>
      <c r="J16" s="13">
        <f t="shared" si="5"/>
        <v>12333333.3333333</v>
      </c>
      <c r="K16" s="13">
        <f t="shared" si="5"/>
        <v>12333333.3333333</v>
      </c>
      <c r="L16" s="13">
        <f t="shared" si="5"/>
        <v>12333333.3333333</v>
      </c>
      <c r="M16" s="13">
        <f t="shared" si="5"/>
        <v>12333333.3333333</v>
      </c>
    </row>
    <row r="17" spans="1:13" ht="13.8" thickBot="1" x14ac:dyDescent="0.3">
      <c r="A17" s="3" t="s">
        <v>32</v>
      </c>
      <c r="B17" s="1"/>
      <c r="C17" s="1"/>
      <c r="D17" s="1"/>
      <c r="E17" s="9">
        <f>E6</f>
        <v>-111197666.66666701</v>
      </c>
      <c r="F17" s="9">
        <f>F15+F16</f>
        <v>42152416.951999992</v>
      </c>
      <c r="G17" s="9">
        <f t="shared" ref="G17:M17" si="6">G15+G16</f>
        <v>54104488.901999995</v>
      </c>
      <c r="H17" s="9">
        <f t="shared" si="6"/>
        <v>55789421.560499996</v>
      </c>
      <c r="I17" s="9">
        <f t="shared" si="6"/>
        <v>57524902.198754989</v>
      </c>
      <c r="J17" s="9">
        <f t="shared" si="6"/>
        <v>59312447.256157644</v>
      </c>
      <c r="K17" s="9">
        <f t="shared" si="6"/>
        <v>61153618.665282369</v>
      </c>
      <c r="L17" s="9">
        <f t="shared" si="6"/>
        <v>63050025.216681093</v>
      </c>
      <c r="M17" s="9">
        <f t="shared" si="6"/>
        <v>69051742.713945001</v>
      </c>
    </row>
    <row r="18" spans="1:13" ht="13.8" thickTop="1" x14ac:dyDescent="0.25">
      <c r="A18" s="3" t="s">
        <v>79</v>
      </c>
      <c r="B18" s="1"/>
      <c r="C18" s="1"/>
      <c r="D18" s="1"/>
      <c r="E18" s="1"/>
      <c r="F18" s="15">
        <f>E17+F17</f>
        <v>-69045249.714667022</v>
      </c>
      <c r="G18" s="15">
        <f>F18+G17</f>
        <v>-14940760.812667027</v>
      </c>
      <c r="H18" s="15">
        <f t="shared" ref="H18:M18" si="7">G18+H17</f>
        <v>40848660.747832969</v>
      </c>
      <c r="I18" s="15">
        <f t="shared" si="7"/>
        <v>98373562.94658795</v>
      </c>
      <c r="J18" s="15">
        <f t="shared" si="7"/>
        <v>157686010.20274559</v>
      </c>
      <c r="K18" s="15">
        <f t="shared" si="7"/>
        <v>218839628.86802796</v>
      </c>
      <c r="L18" s="15">
        <f t="shared" si="7"/>
        <v>281889654.08470905</v>
      </c>
      <c r="M18" s="15">
        <f t="shared" si="7"/>
        <v>350941396.79865408</v>
      </c>
    </row>
    <row r="19" spans="1:13" x14ac:dyDescent="0.25">
      <c r="A19" s="10"/>
      <c r="B19" s="3"/>
      <c r="C19" s="3"/>
      <c r="D19" s="3"/>
      <c r="E19" s="3"/>
      <c r="F19" s="3"/>
      <c r="G19" s="3"/>
      <c r="H19" s="3"/>
      <c r="I19" s="3"/>
      <c r="J19" s="3"/>
      <c r="K19" s="3"/>
      <c r="L19" s="3"/>
      <c r="M19" s="3"/>
    </row>
    <row r="20" spans="1:13" ht="15.6" x14ac:dyDescent="0.3">
      <c r="A20" s="5" t="s">
        <v>33</v>
      </c>
      <c r="B20" s="3"/>
      <c r="C20" s="3"/>
      <c r="D20" s="3"/>
      <c r="E20" s="3"/>
      <c r="F20" s="3"/>
      <c r="G20" s="3"/>
      <c r="H20" s="3"/>
      <c r="I20" s="3"/>
      <c r="J20" s="3"/>
    </row>
    <row r="21" spans="1:13" x14ac:dyDescent="0.25">
      <c r="A21" s="4"/>
      <c r="B21" s="1"/>
      <c r="C21" s="1"/>
      <c r="D21" s="1"/>
      <c r="E21" s="3"/>
      <c r="F21" s="3"/>
      <c r="G21" s="3"/>
      <c r="H21" s="3"/>
      <c r="I21" s="3"/>
      <c r="J21" s="3"/>
    </row>
    <row r="22" spans="1:13" x14ac:dyDescent="0.25">
      <c r="A22" s="3" t="s">
        <v>38</v>
      </c>
      <c r="B22" s="1"/>
      <c r="C22" s="1"/>
      <c r="D22" s="11">
        <f>NPV('Capital Requirements'!$D$44,F17:M17)+E17</f>
        <v>201002891.97170445</v>
      </c>
      <c r="E22" s="1"/>
      <c r="F22" s="1"/>
      <c r="G22" s="1"/>
      <c r="H22" s="1"/>
      <c r="I22" s="1"/>
      <c r="J22" s="1"/>
    </row>
    <row r="23" spans="1:13" x14ac:dyDescent="0.25">
      <c r="A23" s="3" t="s">
        <v>12</v>
      </c>
      <c r="B23" s="1"/>
      <c r="C23" s="1"/>
      <c r="D23" s="12">
        <f>IRR(E17:M17)</f>
        <v>0.44554643427299689</v>
      </c>
      <c r="E23" s="1"/>
      <c r="F23" s="1"/>
      <c r="G23" s="1"/>
      <c r="H23" s="1"/>
      <c r="I23" s="1"/>
      <c r="J23" s="1"/>
    </row>
    <row r="24" spans="1:13" x14ac:dyDescent="0.25">
      <c r="A24" s="3" t="s">
        <v>75</v>
      </c>
      <c r="B24" s="1"/>
      <c r="C24" s="1"/>
      <c r="D24" s="99">
        <f>2+(ABS(G18)/H17)</f>
        <v>2.2678063402479403</v>
      </c>
      <c r="E24" s="1"/>
      <c r="F24" s="1"/>
      <c r="G24" s="1"/>
      <c r="H24" s="1"/>
      <c r="I24" s="1"/>
      <c r="J24" s="1"/>
    </row>
    <row r="25" spans="1:13" ht="13.8" thickBot="1" x14ac:dyDescent="0.3">
      <c r="A25" s="3"/>
      <c r="B25" s="1"/>
      <c r="C25" s="1"/>
    </row>
    <row r="26" spans="1:13" ht="13.8" thickBot="1" x14ac:dyDescent="0.3">
      <c r="A26" s="185" t="s">
        <v>73</v>
      </c>
      <c r="B26" s="186"/>
      <c r="C26" s="186"/>
      <c r="D26" s="187"/>
    </row>
    <row r="27" spans="1:13" ht="47.4" thickBot="1" x14ac:dyDescent="0.3">
      <c r="A27" s="86" t="s">
        <v>69</v>
      </c>
      <c r="B27" s="87" t="s">
        <v>70</v>
      </c>
      <c r="C27" s="87" t="s">
        <v>71</v>
      </c>
      <c r="D27" s="88" t="s">
        <v>72</v>
      </c>
    </row>
    <row r="28" spans="1:13" x14ac:dyDescent="0.25">
      <c r="A28" s="91">
        <v>0</v>
      </c>
      <c r="B28" s="105">
        <f>E17</f>
        <v>-111197666.66666701</v>
      </c>
      <c r="C28" s="98">
        <f>'Capital Requirements'!$D$44</f>
        <v>0.09</v>
      </c>
      <c r="D28" s="97">
        <f>B28/(1+C28)^A28</f>
        <v>-111197666.66666701</v>
      </c>
    </row>
    <row r="29" spans="1:13" x14ac:dyDescent="0.25">
      <c r="A29" s="91">
        <v>1</v>
      </c>
      <c r="B29" s="97">
        <v>42152416.951999992</v>
      </c>
      <c r="C29" s="98">
        <f>'Capital Requirements'!$D$44</f>
        <v>0.09</v>
      </c>
      <c r="D29" s="97">
        <f t="shared" ref="D29:D36" si="8">B29/(1+C29)^A29</f>
        <v>38671942.157798156</v>
      </c>
    </row>
    <row r="30" spans="1:13" x14ac:dyDescent="0.25">
      <c r="A30" s="90">
        <v>2</v>
      </c>
      <c r="B30" s="101">
        <v>54104488.901999995</v>
      </c>
      <c r="C30" s="98">
        <f>'Capital Requirements'!$D$44</f>
        <v>0.09</v>
      </c>
      <c r="D30" s="97">
        <f t="shared" si="8"/>
        <v>45538665.854726024</v>
      </c>
    </row>
    <row r="31" spans="1:13" x14ac:dyDescent="0.25">
      <c r="A31" s="90">
        <v>3</v>
      </c>
      <c r="B31" s="101">
        <v>55789421.560499996</v>
      </c>
      <c r="C31" s="98">
        <f>'Capital Requirements'!$D$44</f>
        <v>0.09</v>
      </c>
      <c r="D31" s="97">
        <f t="shared" si="8"/>
        <v>43079669.691180654</v>
      </c>
    </row>
    <row r="32" spans="1:13" x14ac:dyDescent="0.25">
      <c r="A32" s="90">
        <v>4</v>
      </c>
      <c r="B32" s="101">
        <v>57524902.198754989</v>
      </c>
      <c r="C32" s="98">
        <f>'Capital Requirements'!$D$44</f>
        <v>0.09</v>
      </c>
      <c r="D32" s="97">
        <f t="shared" si="8"/>
        <v>40752090.981657788</v>
      </c>
    </row>
    <row r="33" spans="1:4" x14ac:dyDescent="0.25">
      <c r="A33" s="90">
        <v>5</v>
      </c>
      <c r="B33" s="101">
        <v>59312447.256157644</v>
      </c>
      <c r="C33" s="98">
        <f>'Capital Requirements'!$D$44</f>
        <v>0.09</v>
      </c>
      <c r="D33" s="97">
        <f t="shared" si="8"/>
        <v>38549021.06994202</v>
      </c>
    </row>
    <row r="34" spans="1:4" x14ac:dyDescent="0.25">
      <c r="A34" s="90">
        <v>6</v>
      </c>
      <c r="B34" s="101">
        <v>61153618.665282369</v>
      </c>
      <c r="C34" s="98">
        <f>'Capital Requirements'!$D$44</f>
        <v>0.09</v>
      </c>
      <c r="D34" s="97">
        <f t="shared" si="8"/>
        <v>36463904.730538838</v>
      </c>
    </row>
    <row r="35" spans="1:4" x14ac:dyDescent="0.25">
      <c r="A35" s="90">
        <v>7</v>
      </c>
      <c r="B35" s="101">
        <v>63050025.216681093</v>
      </c>
      <c r="C35" s="98">
        <f>'Capital Requirements'!$D$44</f>
        <v>0.09</v>
      </c>
      <c r="D35" s="97">
        <f t="shared" si="8"/>
        <v>34490522.931759253</v>
      </c>
    </row>
    <row r="36" spans="1:4" x14ac:dyDescent="0.25">
      <c r="A36" s="90">
        <v>8</v>
      </c>
      <c r="B36" s="101">
        <v>69051742.713945001</v>
      </c>
      <c r="C36" s="98">
        <f>'Capital Requirements'!$D$44</f>
        <v>0.09</v>
      </c>
      <c r="D36" s="97">
        <f t="shared" si="8"/>
        <v>34654741.22076875</v>
      </c>
    </row>
    <row r="37" spans="1:4" ht="13.8" thickBot="1" x14ac:dyDescent="0.3">
      <c r="A37" s="89" t="s">
        <v>74</v>
      </c>
      <c r="D37" s="102">
        <f>SUM(D28:D36)</f>
        <v>201002891.97170448</v>
      </c>
    </row>
    <row r="38" spans="1:4" ht="13.8" thickTop="1" x14ac:dyDescent="0.25"/>
  </sheetData>
  <mergeCells count="3">
    <mergeCell ref="A1:M1"/>
    <mergeCell ref="E3:M3"/>
    <mergeCell ref="A26:D26"/>
  </mergeCells>
  <pageMargins left="0.7" right="0.7" top="0.75" bottom="0.75" header="0.3" footer="0.3"/>
  <pageSetup scale="78" orientation="landscape" horizontalDpi="300" verticalDpi="300" r:id="rId1"/>
  <headerFooter>
    <oddHeader>&amp;C&amp;"-,Bold"&amp;28&amp;A&amp;R&amp;"-,Bold"&amp;28&amp;P</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1:M38"/>
  <sheetViews>
    <sheetView workbookViewId="0">
      <selection sqref="A1:M37"/>
    </sheetView>
  </sheetViews>
  <sheetFormatPr defaultColWidth="8.6640625" defaultRowHeight="13.2" x14ac:dyDescent="0.25"/>
  <cols>
    <col min="1" max="1" width="8.6640625" customWidth="1"/>
    <col min="2" max="2" width="13.6640625" bestFit="1" customWidth="1"/>
    <col min="3" max="3" width="9.6640625" customWidth="1"/>
    <col min="4" max="4" width="15.109375" bestFit="1" customWidth="1"/>
    <col min="5" max="5" width="13.109375" bestFit="1" customWidth="1"/>
    <col min="6" max="9" width="12.33203125" bestFit="1" customWidth="1"/>
    <col min="10" max="11" width="11.5546875" bestFit="1" customWidth="1"/>
    <col min="12" max="13" width="12.5546875" bestFit="1" customWidth="1"/>
  </cols>
  <sheetData>
    <row r="1" spans="1:13" ht="18.600000000000001" thickBot="1" x14ac:dyDescent="0.4">
      <c r="A1" s="182" t="s">
        <v>120</v>
      </c>
      <c r="B1" s="183"/>
      <c r="C1" s="183"/>
      <c r="D1" s="183"/>
      <c r="E1" s="183"/>
      <c r="F1" s="183"/>
      <c r="G1" s="183"/>
      <c r="H1" s="183"/>
      <c r="I1" s="183"/>
      <c r="J1" s="183"/>
      <c r="K1" s="183"/>
      <c r="L1" s="183"/>
      <c r="M1" s="184"/>
    </row>
    <row r="2" spans="1:13" ht="13.8" thickBot="1" x14ac:dyDescent="0.3">
      <c r="A2" s="1"/>
      <c r="B2" s="1"/>
      <c r="C2" s="1"/>
      <c r="D2" s="1"/>
      <c r="E2" s="1"/>
      <c r="F2" s="1"/>
      <c r="G2" s="8"/>
      <c r="H2" s="8"/>
      <c r="I2" s="14"/>
      <c r="J2" s="15"/>
    </row>
    <row r="3" spans="1:13" ht="15.6" x14ac:dyDescent="0.3">
      <c r="A3" s="5" t="s">
        <v>34</v>
      </c>
      <c r="B3" s="1"/>
      <c r="C3" s="1"/>
      <c r="D3" s="1"/>
      <c r="E3" s="178" t="s">
        <v>5</v>
      </c>
      <c r="F3" s="179"/>
      <c r="G3" s="179"/>
      <c r="H3" s="179"/>
      <c r="I3" s="179"/>
      <c r="J3" s="179"/>
      <c r="K3" s="180"/>
      <c r="L3" s="180"/>
      <c r="M3" s="181"/>
    </row>
    <row r="4" spans="1:13" ht="15.6" x14ac:dyDescent="0.3">
      <c r="A4" s="5" t="s">
        <v>6</v>
      </c>
      <c r="B4" s="1"/>
      <c r="C4" s="6"/>
      <c r="D4" s="6"/>
      <c r="E4" s="19">
        <v>0</v>
      </c>
      <c r="F4" s="19">
        <v>1</v>
      </c>
      <c r="G4" s="19">
        <v>2</v>
      </c>
      <c r="H4" s="19">
        <v>3</v>
      </c>
      <c r="I4" s="19">
        <v>4</v>
      </c>
      <c r="J4" s="19">
        <v>5</v>
      </c>
      <c r="K4" s="19">
        <v>6</v>
      </c>
      <c r="L4" s="19">
        <v>7</v>
      </c>
      <c r="M4" s="19">
        <v>8</v>
      </c>
    </row>
    <row r="5" spans="1:13" ht="13.8" x14ac:dyDescent="0.3">
      <c r="A5" s="7" t="s">
        <v>7</v>
      </c>
      <c r="B5" s="8"/>
      <c r="C5" s="1"/>
      <c r="D5" s="1"/>
      <c r="E5" s="1"/>
      <c r="F5" s="1"/>
      <c r="G5" s="1"/>
      <c r="H5" s="1"/>
      <c r="I5" s="1"/>
      <c r="J5" s="1"/>
    </row>
    <row r="6" spans="1:13" x14ac:dyDescent="0.25">
      <c r="A6" s="3" t="s">
        <v>76</v>
      </c>
      <c r="B6" s="1"/>
      <c r="C6" s="1"/>
      <c r="D6" s="1"/>
      <c r="E6" s="40">
        <f>-'Capital Requirements'!F9</f>
        <v>-21197000</v>
      </c>
      <c r="F6" s="1"/>
      <c r="G6" s="1"/>
      <c r="H6" s="1"/>
      <c r="I6" s="1"/>
      <c r="J6" s="1"/>
    </row>
    <row r="7" spans="1:13" ht="13.8" x14ac:dyDescent="0.3">
      <c r="A7" s="7" t="s">
        <v>8</v>
      </c>
      <c r="B7" s="1"/>
      <c r="C7" s="1"/>
      <c r="D7" s="1"/>
      <c r="E7" s="1"/>
      <c r="F7" s="1"/>
      <c r="G7" s="1"/>
      <c r="H7" s="1"/>
      <c r="I7" s="1"/>
      <c r="J7" s="1"/>
    </row>
    <row r="8" spans="1:13" ht="13.8" thickBot="1" x14ac:dyDescent="0.3">
      <c r="A8" s="3" t="s">
        <v>9</v>
      </c>
      <c r="B8" s="1"/>
      <c r="C8" s="1"/>
      <c r="D8" s="1"/>
      <c r="E8" s="1"/>
      <c r="F8" s="34">
        <v>1850000</v>
      </c>
      <c r="G8" s="34">
        <v>4912500</v>
      </c>
      <c r="H8" s="34">
        <v>8303125</v>
      </c>
      <c r="I8" s="34">
        <v>29682031.25</v>
      </c>
      <c r="J8" s="34">
        <v>41784570.3125</v>
      </c>
      <c r="K8" s="34">
        <v>69015283.203125</v>
      </c>
      <c r="L8" s="34">
        <v>93522924.8046875</v>
      </c>
      <c r="M8" s="36">
        <v>108227509.765625</v>
      </c>
    </row>
    <row r="9" spans="1:13" x14ac:dyDescent="0.25">
      <c r="A9" s="3" t="s">
        <v>57</v>
      </c>
      <c r="B9" s="1"/>
      <c r="C9" s="1"/>
      <c r="D9" s="1"/>
      <c r="E9" s="1"/>
      <c r="F9" s="78">
        <f>F8*0.05</f>
        <v>92500</v>
      </c>
      <c r="G9" s="78">
        <f t="shared" ref="G9:M9" si="0">G8*0.05</f>
        <v>245625</v>
      </c>
      <c r="H9" s="78">
        <f t="shared" si="0"/>
        <v>415156.25</v>
      </c>
      <c r="I9" s="78">
        <f t="shared" si="0"/>
        <v>1484101.5625</v>
      </c>
      <c r="J9" s="78">
        <f t="shared" si="0"/>
        <v>2089228.515625</v>
      </c>
      <c r="K9" s="78">
        <f t="shared" si="0"/>
        <v>3450764.16015625</v>
      </c>
      <c r="L9" s="78">
        <f t="shared" si="0"/>
        <v>4676146.240234375</v>
      </c>
      <c r="M9" s="78">
        <f t="shared" si="0"/>
        <v>5411375.48828125</v>
      </c>
    </row>
    <row r="10" spans="1:13" x14ac:dyDescent="0.25">
      <c r="A10" s="3" t="s">
        <v>64</v>
      </c>
      <c r="B10" s="1"/>
      <c r="C10" s="1"/>
      <c r="D10" s="1"/>
      <c r="E10" s="1"/>
      <c r="F10" s="13">
        <f>F8-F9</f>
        <v>1757500</v>
      </c>
      <c r="G10" s="13">
        <f t="shared" ref="G10:M10" si="1">G8-G9</f>
        <v>4666875</v>
      </c>
      <c r="H10" s="13">
        <f t="shared" si="1"/>
        <v>7887968.75</v>
      </c>
      <c r="I10" s="13">
        <f t="shared" si="1"/>
        <v>28197929.6875</v>
      </c>
      <c r="J10" s="13">
        <f t="shared" si="1"/>
        <v>39695341.796875</v>
      </c>
      <c r="K10" s="13">
        <f t="shared" si="1"/>
        <v>65564519.04296875</v>
      </c>
      <c r="L10" s="13">
        <f t="shared" si="1"/>
        <v>88846778.564453125</v>
      </c>
      <c r="M10" s="13">
        <f t="shared" si="1"/>
        <v>102816134.27734375</v>
      </c>
    </row>
    <row r="11" spans="1:13" x14ac:dyDescent="0.25">
      <c r="A11" s="3" t="s">
        <v>10</v>
      </c>
      <c r="B11" s="1"/>
      <c r="C11" s="1"/>
      <c r="D11" s="1"/>
      <c r="E11" s="1"/>
      <c r="F11" s="43">
        <f>'Capital Requirements'!$F$20</f>
        <v>11392250</v>
      </c>
      <c r="G11" s="43">
        <f>'Capital Requirements'!$F$20</f>
        <v>11392250</v>
      </c>
      <c r="H11" s="43">
        <f>'Capital Requirements'!$F$20</f>
        <v>11392250</v>
      </c>
      <c r="I11" s="43">
        <f>'Capital Requirements'!$F$20</f>
        <v>11392250</v>
      </c>
      <c r="J11" s="43">
        <f>'Capital Requirements'!$F$20</f>
        <v>11392250</v>
      </c>
      <c r="K11" s="43">
        <f>'Capital Requirements'!$F$20</f>
        <v>11392250</v>
      </c>
      <c r="L11" s="43">
        <f>'Capital Requirements'!$F$20</f>
        <v>11392250</v>
      </c>
      <c r="M11" s="43">
        <f>'Capital Requirements'!$F$20</f>
        <v>11392250</v>
      </c>
    </row>
    <row r="12" spans="1:13" x14ac:dyDescent="0.25">
      <c r="A12" s="2" t="s">
        <v>31</v>
      </c>
      <c r="B12" s="1"/>
      <c r="C12" s="1"/>
      <c r="D12" s="1"/>
      <c r="E12" s="1"/>
      <c r="F12" s="41">
        <f>'Capital Requirements'!$F$23</f>
        <v>2000000</v>
      </c>
      <c r="G12" s="41">
        <f>'Capital Requirements'!$F$23</f>
        <v>2000000</v>
      </c>
      <c r="H12" s="41">
        <f>'Capital Requirements'!$F$23</f>
        <v>2000000</v>
      </c>
      <c r="I12" s="41">
        <f>'Capital Requirements'!$F$23</f>
        <v>2000000</v>
      </c>
      <c r="J12" s="41">
        <f>'Capital Requirements'!$F$23</f>
        <v>2000000</v>
      </c>
      <c r="K12" s="41">
        <f>'Capital Requirements'!$F$23</f>
        <v>2000000</v>
      </c>
      <c r="L12" s="41">
        <f>'Capital Requirements'!$F$23</f>
        <v>2000000</v>
      </c>
      <c r="M12" s="41">
        <f>'Capital Requirements'!$F$23</f>
        <v>2000000</v>
      </c>
    </row>
    <row r="13" spans="1:13" x14ac:dyDescent="0.25">
      <c r="A13" s="3" t="s">
        <v>66</v>
      </c>
      <c r="B13" s="1"/>
      <c r="C13" s="1"/>
      <c r="D13" s="1"/>
      <c r="E13" s="1"/>
      <c r="F13" s="108">
        <f>F10-F11-F12</f>
        <v>-11634750</v>
      </c>
      <c r="G13" s="108">
        <f t="shared" ref="G13:M13" si="2">G10-G11-G12</f>
        <v>-8725375</v>
      </c>
      <c r="H13" s="108">
        <f t="shared" si="2"/>
        <v>-5504281.25</v>
      </c>
      <c r="I13" s="13">
        <f t="shared" si="2"/>
        <v>14805679.6875</v>
      </c>
      <c r="J13" s="13">
        <f t="shared" si="2"/>
        <v>26303091.796875</v>
      </c>
      <c r="K13" s="13">
        <f t="shared" si="2"/>
        <v>52172269.04296875</v>
      </c>
      <c r="L13" s="13">
        <f t="shared" si="2"/>
        <v>75454528.564453125</v>
      </c>
      <c r="M13" s="13">
        <f t="shared" si="2"/>
        <v>89423884.27734375</v>
      </c>
    </row>
    <row r="14" spans="1:13" x14ac:dyDescent="0.25">
      <c r="A14" s="3" t="s">
        <v>65</v>
      </c>
      <c r="B14" s="1"/>
      <c r="C14" s="1"/>
      <c r="D14" s="1"/>
      <c r="E14" s="1"/>
      <c r="F14" s="108">
        <f>F13*0.21</f>
        <v>-2443297.5</v>
      </c>
      <c r="G14" s="108">
        <f t="shared" ref="G14:M14" si="3">G13*0.21</f>
        <v>-1832328.75</v>
      </c>
      <c r="H14" s="108">
        <f t="shared" si="3"/>
        <v>-1155899.0625</v>
      </c>
      <c r="I14" s="13">
        <f t="shared" si="3"/>
        <v>3109192.734375</v>
      </c>
      <c r="J14" s="13">
        <f t="shared" si="3"/>
        <v>5523649.27734375</v>
      </c>
      <c r="K14" s="13">
        <f t="shared" si="3"/>
        <v>10956176.499023438</v>
      </c>
      <c r="L14" s="13">
        <f t="shared" si="3"/>
        <v>15845450.998535156</v>
      </c>
      <c r="M14" s="13">
        <f t="shared" si="3"/>
        <v>18779015.698242188</v>
      </c>
    </row>
    <row r="15" spans="1:13" x14ac:dyDescent="0.25">
      <c r="A15" s="3" t="s">
        <v>4</v>
      </c>
      <c r="B15" s="1"/>
      <c r="C15" s="1"/>
      <c r="D15" s="1"/>
      <c r="E15" s="1"/>
      <c r="F15" s="13">
        <f>F13-F14</f>
        <v>-9191452.5</v>
      </c>
      <c r="G15" s="13">
        <f t="shared" ref="G15:M15" si="4">G13-G14</f>
        <v>-6893046.25</v>
      </c>
      <c r="H15" s="13">
        <f t="shared" si="4"/>
        <v>-4348382.1875</v>
      </c>
      <c r="I15" s="13">
        <f t="shared" si="4"/>
        <v>11696486.953125</v>
      </c>
      <c r="J15" s="13">
        <f t="shared" si="4"/>
        <v>20779442.51953125</v>
      </c>
      <c r="K15" s="13">
        <f t="shared" si="4"/>
        <v>41216092.543945313</v>
      </c>
      <c r="L15" s="13">
        <f t="shared" si="4"/>
        <v>59609077.565917969</v>
      </c>
      <c r="M15" s="13">
        <f t="shared" si="4"/>
        <v>70644868.579101563</v>
      </c>
    </row>
    <row r="16" spans="1:13" x14ac:dyDescent="0.25">
      <c r="A16" s="3" t="s">
        <v>11</v>
      </c>
      <c r="B16" s="1"/>
      <c r="C16" s="1"/>
      <c r="D16" s="1"/>
      <c r="E16" s="1"/>
      <c r="F16" s="13">
        <f>F12</f>
        <v>2000000</v>
      </c>
      <c r="G16" s="13">
        <f t="shared" ref="G16:M16" si="5">G12</f>
        <v>2000000</v>
      </c>
      <c r="H16" s="13">
        <f t="shared" si="5"/>
        <v>2000000</v>
      </c>
      <c r="I16" s="13">
        <f t="shared" si="5"/>
        <v>2000000</v>
      </c>
      <c r="J16" s="13">
        <f t="shared" si="5"/>
        <v>2000000</v>
      </c>
      <c r="K16" s="13">
        <f t="shared" si="5"/>
        <v>2000000</v>
      </c>
      <c r="L16" s="13">
        <f t="shared" si="5"/>
        <v>2000000</v>
      </c>
      <c r="M16" s="13">
        <f t="shared" si="5"/>
        <v>2000000</v>
      </c>
    </row>
    <row r="17" spans="1:13" ht="13.8" thickBot="1" x14ac:dyDescent="0.3">
      <c r="A17" s="3" t="s">
        <v>32</v>
      </c>
      <c r="B17" s="1"/>
      <c r="C17" s="1"/>
      <c r="D17" s="1"/>
      <c r="E17" s="9">
        <f>E6</f>
        <v>-21197000</v>
      </c>
      <c r="F17" s="9">
        <f t="shared" ref="F17:M17" si="6">F15+F16</f>
        <v>-7191452.5</v>
      </c>
      <c r="G17" s="9">
        <f t="shared" si="6"/>
        <v>-4893046.25</v>
      </c>
      <c r="H17" s="9">
        <f t="shared" si="6"/>
        <v>-2348382.1875</v>
      </c>
      <c r="I17" s="9">
        <f t="shared" si="6"/>
        <v>13696486.953125</v>
      </c>
      <c r="J17" s="9">
        <f t="shared" si="6"/>
        <v>22779442.51953125</v>
      </c>
      <c r="K17" s="9">
        <f t="shared" si="6"/>
        <v>43216092.543945313</v>
      </c>
      <c r="L17" s="9">
        <f t="shared" si="6"/>
        <v>61609077.565917969</v>
      </c>
      <c r="M17" s="9">
        <f t="shared" si="6"/>
        <v>72644868.579101563</v>
      </c>
    </row>
    <row r="18" spans="1:13" ht="13.8" thickTop="1" x14ac:dyDescent="0.25">
      <c r="A18" s="3" t="s">
        <v>79</v>
      </c>
      <c r="B18" s="1"/>
      <c r="C18" s="1"/>
      <c r="D18" s="1"/>
      <c r="E18" s="15"/>
      <c r="F18" s="15">
        <f>E17+F17</f>
        <v>-28388452.5</v>
      </c>
      <c r="G18" s="15">
        <f>F18+G17</f>
        <v>-33281498.75</v>
      </c>
      <c r="H18" s="15">
        <f t="shared" ref="H18:M18" si="7">G18+H17</f>
        <v>-35629880.9375</v>
      </c>
      <c r="I18" s="15">
        <f t="shared" si="7"/>
        <v>-21933393.984375</v>
      </c>
      <c r="J18" s="15">
        <f t="shared" si="7"/>
        <v>846048.53515625</v>
      </c>
      <c r="K18" s="15">
        <f t="shared" si="7"/>
        <v>44062141.079101563</v>
      </c>
      <c r="L18" s="15">
        <f t="shared" si="7"/>
        <v>105671218.64501953</v>
      </c>
      <c r="M18" s="15">
        <f t="shared" si="7"/>
        <v>178316087.22412109</v>
      </c>
    </row>
    <row r="19" spans="1:13" x14ac:dyDescent="0.25">
      <c r="A19" s="10"/>
      <c r="B19" s="3"/>
      <c r="C19" s="3"/>
      <c r="D19" s="3"/>
      <c r="E19" s="3"/>
      <c r="F19" s="3"/>
      <c r="G19" s="3"/>
      <c r="H19" s="3"/>
      <c r="I19" s="3"/>
      <c r="J19" s="3"/>
      <c r="K19" s="3"/>
      <c r="L19" s="3"/>
      <c r="M19" s="3"/>
    </row>
    <row r="20" spans="1:13" ht="15.6" x14ac:dyDescent="0.3">
      <c r="A20" s="5" t="s">
        <v>33</v>
      </c>
      <c r="B20" s="3"/>
      <c r="C20" s="3"/>
      <c r="D20" s="3"/>
      <c r="E20" s="3"/>
      <c r="F20" s="3"/>
      <c r="G20" s="3"/>
      <c r="H20" s="3"/>
      <c r="I20" s="3"/>
      <c r="J20" s="3"/>
    </row>
    <row r="21" spans="1:13" x14ac:dyDescent="0.25">
      <c r="A21" s="4"/>
      <c r="B21" s="1"/>
      <c r="C21" s="1"/>
      <c r="D21" s="1"/>
      <c r="E21" s="3"/>
      <c r="F21" s="3"/>
      <c r="G21" s="3"/>
      <c r="H21" s="3"/>
      <c r="I21" s="3"/>
      <c r="J21" s="3"/>
    </row>
    <row r="22" spans="1:13" x14ac:dyDescent="0.25">
      <c r="A22" s="3" t="s">
        <v>38</v>
      </c>
      <c r="B22" s="1"/>
      <c r="C22" s="1"/>
      <c r="D22" s="11">
        <f>NPV('Capital Requirements'!D45,F17:M17)+E17</f>
        <v>84949386.032285452</v>
      </c>
      <c r="E22" s="1"/>
      <c r="F22" s="1"/>
      <c r="G22" s="1"/>
      <c r="H22" s="1"/>
      <c r="I22" s="1"/>
      <c r="J22" s="1"/>
    </row>
    <row r="23" spans="1:13" x14ac:dyDescent="0.25">
      <c r="A23" s="3" t="s">
        <v>12</v>
      </c>
      <c r="B23" s="1"/>
      <c r="C23" s="1"/>
      <c r="D23" s="12">
        <f>IRR(E17:M17)</f>
        <v>0.35233254509681711</v>
      </c>
      <c r="E23" s="1"/>
      <c r="F23" s="1"/>
      <c r="G23" s="1"/>
      <c r="H23" s="1"/>
      <c r="I23" s="1"/>
      <c r="J23" s="1"/>
    </row>
    <row r="24" spans="1:13" x14ac:dyDescent="0.25">
      <c r="A24" s="3" t="s">
        <v>75</v>
      </c>
      <c r="B24" s="1"/>
      <c r="C24" s="1"/>
      <c r="D24" s="99">
        <f>4+(ABS(I18)/J17)</f>
        <v>4.9628591202602594</v>
      </c>
      <c r="E24" s="1"/>
      <c r="F24" s="1"/>
      <c r="G24" s="1"/>
      <c r="H24" s="1"/>
      <c r="I24" s="1"/>
      <c r="J24" s="1"/>
    </row>
    <row r="25" spans="1:13" ht="13.8" thickBot="1" x14ac:dyDescent="0.3">
      <c r="A25" s="3"/>
      <c r="B25" s="1"/>
      <c r="C25" s="1"/>
    </row>
    <row r="26" spans="1:13" ht="13.8" thickBot="1" x14ac:dyDescent="0.3">
      <c r="A26" s="185" t="s">
        <v>73</v>
      </c>
      <c r="B26" s="186"/>
      <c r="C26" s="186"/>
      <c r="D26" s="187"/>
    </row>
    <row r="27" spans="1:13" ht="47.4" thickBot="1" x14ac:dyDescent="0.3">
      <c r="A27" s="86" t="s">
        <v>69</v>
      </c>
      <c r="B27" s="87" t="s">
        <v>70</v>
      </c>
      <c r="C27" s="87" t="s">
        <v>71</v>
      </c>
      <c r="D27" s="88" t="s">
        <v>72</v>
      </c>
    </row>
    <row r="28" spans="1:13" x14ac:dyDescent="0.25">
      <c r="A28" s="91">
        <v>0</v>
      </c>
      <c r="B28" s="100">
        <f>E17</f>
        <v>-21197000</v>
      </c>
      <c r="C28" s="98">
        <f>'Capital Requirements'!$D$45</f>
        <v>9.2499999999999999E-2</v>
      </c>
      <c r="D28" s="100">
        <f>B28/(1+C28)^A28</f>
        <v>-21197000</v>
      </c>
    </row>
    <row r="29" spans="1:13" x14ac:dyDescent="0.25">
      <c r="A29" s="91">
        <v>1</v>
      </c>
      <c r="B29" s="97">
        <v>-7191452.5</v>
      </c>
      <c r="C29" s="98">
        <f>'Capital Requirements'!$D$45</f>
        <v>9.2499999999999999E-2</v>
      </c>
      <c r="D29" s="100">
        <f t="shared" ref="D29:D36" si="8">B29/(1+C29)^A29</f>
        <v>-6582565.2173913037</v>
      </c>
    </row>
    <row r="30" spans="1:13" x14ac:dyDescent="0.25">
      <c r="A30" s="90">
        <v>2</v>
      </c>
      <c r="B30" s="101">
        <v>-4893046.25</v>
      </c>
      <c r="C30" s="98">
        <f>'Capital Requirements'!$D$45</f>
        <v>9.2499999999999999E-2</v>
      </c>
      <c r="D30" s="100">
        <f t="shared" si="8"/>
        <v>-4099552.2833548896</v>
      </c>
    </row>
    <row r="31" spans="1:13" x14ac:dyDescent="0.25">
      <c r="A31" s="90">
        <v>3</v>
      </c>
      <c r="B31" s="101">
        <v>-2348382.1875</v>
      </c>
      <c r="C31" s="98">
        <f>'Capital Requirements'!$D$45</f>
        <v>9.2499999999999999E-2</v>
      </c>
      <c r="D31" s="100">
        <f t="shared" si="8"/>
        <v>-1800961.5491883839</v>
      </c>
    </row>
    <row r="32" spans="1:13" x14ac:dyDescent="0.25">
      <c r="A32" s="90">
        <v>4</v>
      </c>
      <c r="B32" s="101">
        <v>13696486.953125</v>
      </c>
      <c r="C32" s="98">
        <f>'Capital Requirements'!$D$45</f>
        <v>9.2499999999999999E-2</v>
      </c>
      <c r="D32" s="100">
        <f t="shared" si="8"/>
        <v>9614426.9840432182</v>
      </c>
    </row>
    <row r="33" spans="1:4" x14ac:dyDescent="0.25">
      <c r="A33" s="90">
        <v>5</v>
      </c>
      <c r="B33" s="101">
        <v>22779442.51953125</v>
      </c>
      <c r="C33" s="98">
        <f>'Capital Requirements'!$D$45</f>
        <v>9.2499999999999999E-2</v>
      </c>
      <c r="D33" s="100">
        <f t="shared" si="8"/>
        <v>14636453.697562939</v>
      </c>
    </row>
    <row r="34" spans="1:4" x14ac:dyDescent="0.25">
      <c r="A34" s="90">
        <v>6</v>
      </c>
      <c r="B34" s="101">
        <v>43216092.543945313</v>
      </c>
      <c r="C34" s="98">
        <f>'Capital Requirements'!$D$45</f>
        <v>9.2499999999999999E-2</v>
      </c>
      <c r="D34" s="100">
        <f t="shared" si="8"/>
        <v>25416563.061700836</v>
      </c>
    </row>
    <row r="35" spans="1:4" x14ac:dyDescent="0.25">
      <c r="A35" s="90">
        <v>7</v>
      </c>
      <c r="B35" s="101">
        <v>61609077.565917969</v>
      </c>
      <c r="C35" s="98">
        <f>'Capital Requirements'!$D$45</f>
        <v>9.2499999999999999E-2</v>
      </c>
      <c r="D35" s="100">
        <f t="shared" si="8"/>
        <v>33166113.827914573</v>
      </c>
    </row>
    <row r="36" spans="1:4" x14ac:dyDescent="0.25">
      <c r="A36" s="90">
        <v>8</v>
      </c>
      <c r="B36" s="101">
        <v>72644868.579101563</v>
      </c>
      <c r="C36" s="98">
        <f>'Capital Requirements'!$D$45</f>
        <v>9.2499999999999999E-2</v>
      </c>
      <c r="D36" s="100">
        <f t="shared" si="8"/>
        <v>35795907.510998473</v>
      </c>
    </row>
    <row r="37" spans="1:4" ht="13.8" thickBot="1" x14ac:dyDescent="0.3">
      <c r="A37" s="89" t="s">
        <v>74</v>
      </c>
      <c r="D37" s="109">
        <f>SUM(D28:D36)</f>
        <v>84949386.032285452</v>
      </c>
    </row>
    <row r="38" spans="1:4" ht="13.8" thickTop="1" x14ac:dyDescent="0.25"/>
  </sheetData>
  <mergeCells count="3">
    <mergeCell ref="E3:M3"/>
    <mergeCell ref="A1:M1"/>
    <mergeCell ref="A26:D26"/>
  </mergeCells>
  <phoneticPr fontId="0" type="noConversion"/>
  <pageMargins left="0.75" right="0.75" top="1" bottom="1" header="0.5" footer="0.5"/>
  <pageSetup scale="78" orientation="landscape" horizontalDpi="300" verticalDpi="300" r:id="rId1"/>
  <headerFooter alignWithMargins="0">
    <oddHeader>&amp;C&amp;"-,Bold"&amp;28&amp;A&amp;R&amp;"-,Bold"&amp;28&amp;P</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CEB20-64D4-4388-9A14-FC7C9C1E9B56}">
  <sheetPr codeName="Sheet9">
    <pageSetUpPr fitToPage="1"/>
  </sheetPr>
  <dimension ref="A2:Y159"/>
  <sheetViews>
    <sheetView topLeftCell="A37" zoomScale="70" zoomScaleNormal="70" workbookViewId="0">
      <selection activeCell="K58" sqref="K58"/>
    </sheetView>
  </sheetViews>
  <sheetFormatPr defaultColWidth="8.88671875" defaultRowHeight="13.2" x14ac:dyDescent="0.25"/>
  <cols>
    <col min="1" max="1" width="8.88671875" style="89"/>
    <col min="2" max="2" width="14.6640625" style="89" bestFit="1" customWidth="1"/>
    <col min="3" max="3" width="17.109375" style="89" bestFit="1" customWidth="1"/>
    <col min="4" max="4" width="14.5546875" style="89" bestFit="1" customWidth="1"/>
    <col min="5" max="5" width="21.5546875" style="89" customWidth="1"/>
    <col min="6" max="6" width="22.6640625" style="89" bestFit="1" customWidth="1"/>
    <col min="7" max="7" width="17.77734375" style="89" bestFit="1" customWidth="1"/>
    <col min="8" max="8" width="12" style="89" bestFit="1" customWidth="1"/>
    <col min="9" max="9" width="21.6640625" style="89" customWidth="1"/>
    <col min="10" max="10" width="14.6640625" style="89" bestFit="1" customWidth="1"/>
    <col min="11" max="11" width="13.77734375" style="89" bestFit="1" customWidth="1"/>
    <col min="12" max="12" width="13.109375" style="89" bestFit="1" customWidth="1"/>
    <col min="13" max="13" width="12.6640625" style="89" bestFit="1" customWidth="1"/>
    <col min="14" max="14" width="13.109375" style="89" bestFit="1" customWidth="1"/>
    <col min="15" max="15" width="14.5546875" style="89" customWidth="1"/>
    <col min="16" max="16" width="13.6640625" style="89" bestFit="1" customWidth="1"/>
    <col min="17" max="17" width="12.5546875" style="89" bestFit="1" customWidth="1"/>
    <col min="18" max="18" width="12.44140625" style="89" bestFit="1" customWidth="1"/>
    <col min="19" max="19" width="30.5546875" style="89" bestFit="1" customWidth="1"/>
    <col min="20" max="20" width="14.6640625" style="89" bestFit="1" customWidth="1"/>
    <col min="21" max="21" width="15" style="89" bestFit="1" customWidth="1"/>
    <col min="22" max="23" width="14.88671875" style="89" bestFit="1" customWidth="1"/>
    <col min="24" max="24" width="39" style="89" bestFit="1" customWidth="1"/>
    <col min="25" max="25" width="45.5546875" style="89" bestFit="1" customWidth="1"/>
    <col min="26" max="46" width="30.5546875" style="89" bestFit="1" customWidth="1"/>
    <col min="47" max="47" width="35.6640625" style="89" bestFit="1" customWidth="1"/>
    <col min="48" max="48" width="19.88671875" style="89" bestFit="1" customWidth="1"/>
    <col min="49" max="49" width="20.6640625" style="89" bestFit="1" customWidth="1"/>
    <col min="50" max="50" width="16.33203125" style="89" bestFit="1" customWidth="1"/>
    <col min="51" max="51" width="22.33203125" style="89" bestFit="1" customWidth="1"/>
    <col min="52" max="52" width="18.109375" style="89" bestFit="1" customWidth="1"/>
    <col min="53" max="53" width="22.88671875" style="89" bestFit="1" customWidth="1"/>
    <col min="54" max="16384" width="8.88671875" style="89"/>
  </cols>
  <sheetData>
    <row r="2" spans="2:25" s="110" customFormat="1" x14ac:dyDescent="0.25">
      <c r="B2" s="110" t="s">
        <v>69</v>
      </c>
      <c r="C2" s="110" t="s">
        <v>80</v>
      </c>
      <c r="D2" s="110" t="s">
        <v>81</v>
      </c>
      <c r="E2" s="110" t="s">
        <v>82</v>
      </c>
      <c r="F2" s="110" t="s">
        <v>64</v>
      </c>
      <c r="G2" s="111" t="s">
        <v>10</v>
      </c>
      <c r="H2" s="111" t="s">
        <v>83</v>
      </c>
      <c r="I2" s="111" t="s">
        <v>84</v>
      </c>
      <c r="J2" s="111" t="s">
        <v>32</v>
      </c>
      <c r="K2" s="111" t="s">
        <v>73</v>
      </c>
      <c r="L2" s="111" t="s">
        <v>105</v>
      </c>
      <c r="M2" s="111" t="s">
        <v>0</v>
      </c>
      <c r="N2" s="111" t="s">
        <v>2</v>
      </c>
      <c r="O2" s="111" t="s">
        <v>1</v>
      </c>
      <c r="P2" s="111" t="s">
        <v>14</v>
      </c>
      <c r="Q2" s="111" t="s">
        <v>106</v>
      </c>
      <c r="R2" s="111" t="s">
        <v>3</v>
      </c>
      <c r="S2" s="111"/>
    </row>
    <row r="3" spans="2:25" x14ac:dyDescent="0.25">
      <c r="B3" s="89">
        <v>0</v>
      </c>
      <c r="C3" s="112" t="s">
        <v>85</v>
      </c>
      <c r="D3" s="114">
        <v>0</v>
      </c>
      <c r="E3" s="114">
        <v>0</v>
      </c>
      <c r="F3" s="114">
        <v>0</v>
      </c>
      <c r="G3" s="114">
        <v>0</v>
      </c>
      <c r="H3" s="114">
        <v>0</v>
      </c>
      <c r="I3" s="114">
        <v>0</v>
      </c>
      <c r="J3" s="114">
        <v>-55450000</v>
      </c>
      <c r="K3" s="114">
        <v>-55450000</v>
      </c>
      <c r="L3" s="114">
        <v>0</v>
      </c>
      <c r="M3" s="114">
        <v>0</v>
      </c>
      <c r="N3" s="114">
        <v>0</v>
      </c>
      <c r="O3" s="114">
        <v>0</v>
      </c>
      <c r="P3" s="114">
        <v>0</v>
      </c>
      <c r="Q3" s="114">
        <v>0</v>
      </c>
      <c r="R3" s="114">
        <v>0</v>
      </c>
      <c r="S3" s="114"/>
    </row>
    <row r="4" spans="2:25" x14ac:dyDescent="0.25">
      <c r="B4" s="89">
        <v>1</v>
      </c>
      <c r="C4" s="120" t="s">
        <v>85</v>
      </c>
      <c r="D4" s="114">
        <v>40000000</v>
      </c>
      <c r="E4" s="114">
        <v>4000000</v>
      </c>
      <c r="F4" s="114">
        <v>36000000</v>
      </c>
      <c r="G4" s="114">
        <v>15392250</v>
      </c>
      <c r="H4" s="114">
        <v>15607750</v>
      </c>
      <c r="I4" s="114">
        <v>12330122.5</v>
      </c>
      <c r="J4" s="114">
        <v>17330122.5</v>
      </c>
      <c r="K4" s="114">
        <v>16009351.03926097</v>
      </c>
      <c r="L4" s="114">
        <v>350000</v>
      </c>
      <c r="M4" s="114">
        <v>15000</v>
      </c>
      <c r="N4" s="114">
        <v>1750</v>
      </c>
      <c r="O4" s="114">
        <v>3000</v>
      </c>
      <c r="P4" s="114">
        <v>20000</v>
      </c>
      <c r="Q4" s="114">
        <v>15000000</v>
      </c>
      <c r="R4" s="114">
        <v>2500</v>
      </c>
      <c r="S4" s="114"/>
    </row>
    <row r="5" spans="2:25" x14ac:dyDescent="0.25">
      <c r="B5" s="89">
        <v>2</v>
      </c>
      <c r="C5" s="120" t="s">
        <v>85</v>
      </c>
      <c r="D5" s="114">
        <v>48110000</v>
      </c>
      <c r="E5" s="114">
        <v>4811000</v>
      </c>
      <c r="F5" s="114">
        <v>43299000</v>
      </c>
      <c r="G5" s="114">
        <v>15392250</v>
      </c>
      <c r="H5" s="114">
        <v>22906750</v>
      </c>
      <c r="I5" s="114">
        <v>18096332.5</v>
      </c>
      <c r="J5" s="114">
        <v>23096332.5</v>
      </c>
      <c r="K5" s="114">
        <v>19710026.721567668</v>
      </c>
      <c r="L5" s="114">
        <v>350000</v>
      </c>
      <c r="M5" s="114">
        <v>15000</v>
      </c>
      <c r="N5" s="114">
        <v>1750</v>
      </c>
      <c r="O5" s="114">
        <v>3000</v>
      </c>
      <c r="P5" s="114">
        <v>20000</v>
      </c>
      <c r="Q5" s="114">
        <v>15000000</v>
      </c>
      <c r="R5" s="114">
        <v>2500</v>
      </c>
      <c r="S5" s="114"/>
    </row>
    <row r="6" spans="2:25" x14ac:dyDescent="0.25">
      <c r="B6" s="89">
        <v>3</v>
      </c>
      <c r="C6" s="120" t="s">
        <v>85</v>
      </c>
      <c r="D6" s="114">
        <v>49253300</v>
      </c>
      <c r="E6" s="114">
        <v>4925330</v>
      </c>
      <c r="F6" s="114">
        <v>44327970</v>
      </c>
      <c r="G6" s="114">
        <v>15392250</v>
      </c>
      <c r="H6" s="114">
        <v>23935720</v>
      </c>
      <c r="I6" s="114">
        <v>18909218.800000001</v>
      </c>
      <c r="J6" s="114">
        <v>23909218.800000001</v>
      </c>
      <c r="K6" s="114">
        <v>18848711.681154579</v>
      </c>
      <c r="L6" s="114">
        <v>350000</v>
      </c>
      <c r="M6" s="114">
        <v>15000</v>
      </c>
      <c r="N6" s="114">
        <v>1750</v>
      </c>
      <c r="O6" s="114">
        <v>3000</v>
      </c>
      <c r="P6" s="114">
        <v>20000</v>
      </c>
      <c r="Q6" s="114">
        <v>15000000</v>
      </c>
      <c r="R6" s="114">
        <v>2500</v>
      </c>
      <c r="S6" s="114"/>
    </row>
    <row r="7" spans="2:25" x14ac:dyDescent="0.25">
      <c r="B7" s="89">
        <v>4</v>
      </c>
      <c r="C7" s="120" t="s">
        <v>85</v>
      </c>
      <c r="D7" s="114">
        <v>50430899</v>
      </c>
      <c r="E7" s="114">
        <v>5043089.9000000004</v>
      </c>
      <c r="F7" s="114">
        <v>45387809.100000001</v>
      </c>
      <c r="G7" s="114">
        <v>15392250</v>
      </c>
      <c r="H7" s="114">
        <v>24995559.100000001</v>
      </c>
      <c r="I7" s="114">
        <v>19746491.689000003</v>
      </c>
      <c r="J7" s="114">
        <v>24746491.689000003</v>
      </c>
      <c r="K7" s="114">
        <v>18021959.840485975</v>
      </c>
      <c r="L7" s="114">
        <v>350000</v>
      </c>
      <c r="M7" s="114">
        <v>15000</v>
      </c>
      <c r="N7" s="114">
        <v>1750</v>
      </c>
      <c r="O7" s="114">
        <v>3000</v>
      </c>
      <c r="P7" s="114">
        <v>20000</v>
      </c>
      <c r="Q7" s="114">
        <v>15000000</v>
      </c>
      <c r="R7" s="114">
        <v>2500</v>
      </c>
      <c r="S7" s="114"/>
      <c r="T7" s="121" t="s">
        <v>90</v>
      </c>
      <c r="U7" s="89" t="s">
        <v>93</v>
      </c>
      <c r="V7" s="89" t="s">
        <v>99</v>
      </c>
      <c r="W7" s="89" t="s">
        <v>97</v>
      </c>
    </row>
    <row r="8" spans="2:25" x14ac:dyDescent="0.25">
      <c r="B8" s="89">
        <v>5</v>
      </c>
      <c r="C8" s="120" t="s">
        <v>85</v>
      </c>
      <c r="D8" s="114">
        <v>51643825.969999999</v>
      </c>
      <c r="E8" s="114">
        <v>5164382.5970000001</v>
      </c>
      <c r="F8" s="114">
        <v>46479443.372999996</v>
      </c>
      <c r="G8" s="114">
        <v>15392250</v>
      </c>
      <c r="H8" s="114">
        <v>26087193.372999996</v>
      </c>
      <c r="I8" s="114">
        <v>20608882.764669996</v>
      </c>
      <c r="J8" s="114">
        <v>25608882.764669996</v>
      </c>
      <c r="K8" s="114">
        <v>17228644.38458379</v>
      </c>
      <c r="L8" s="114">
        <v>350000</v>
      </c>
      <c r="M8" s="114">
        <v>15000</v>
      </c>
      <c r="N8" s="114">
        <v>1750</v>
      </c>
      <c r="O8" s="114">
        <v>3000</v>
      </c>
      <c r="P8" s="114">
        <v>20000</v>
      </c>
      <c r="Q8" s="114">
        <v>15000000</v>
      </c>
      <c r="R8" s="114">
        <v>2500</v>
      </c>
      <c r="S8" s="114"/>
      <c r="T8" s="122" t="s">
        <v>88</v>
      </c>
      <c r="U8" s="114">
        <v>829765096.46587992</v>
      </c>
      <c r="V8" s="114">
        <v>755086237.78395092</v>
      </c>
      <c r="W8" s="114">
        <v>460091641.51728439</v>
      </c>
    </row>
    <row r="9" spans="2:25" x14ac:dyDescent="0.25">
      <c r="B9" s="89">
        <v>6</v>
      </c>
      <c r="C9" s="120" t="s">
        <v>85</v>
      </c>
      <c r="D9" s="114">
        <v>52893140.7491</v>
      </c>
      <c r="E9" s="114">
        <v>5289314.07491</v>
      </c>
      <c r="F9" s="114">
        <v>47603826.67419</v>
      </c>
      <c r="G9" s="114">
        <v>15392250</v>
      </c>
      <c r="H9" s="114">
        <v>27211576.67419</v>
      </c>
      <c r="I9" s="114">
        <v>21497145.572610099</v>
      </c>
      <c r="J9" s="114">
        <v>26497145.572610099</v>
      </c>
      <c r="K9" s="114">
        <v>16467651.271968145</v>
      </c>
      <c r="L9" s="114">
        <v>350000</v>
      </c>
      <c r="M9" s="114">
        <v>15000</v>
      </c>
      <c r="N9" s="114">
        <v>1750</v>
      </c>
      <c r="O9" s="114">
        <v>3000</v>
      </c>
      <c r="P9" s="114">
        <v>20000</v>
      </c>
      <c r="Q9" s="114">
        <v>15000000</v>
      </c>
      <c r="R9" s="114">
        <v>2500</v>
      </c>
      <c r="S9" s="114"/>
      <c r="T9" s="122" t="s">
        <v>87</v>
      </c>
      <c r="U9" s="114">
        <v>688097884.87414408</v>
      </c>
      <c r="V9" s="114">
        <v>612407117.53798831</v>
      </c>
      <c r="W9" s="114">
        <v>360470810.33798826</v>
      </c>
    </row>
    <row r="10" spans="2:25" x14ac:dyDescent="0.25">
      <c r="B10" s="89">
        <v>7</v>
      </c>
      <c r="C10" s="120" t="s">
        <v>85</v>
      </c>
      <c r="D10" s="114">
        <v>54179934.971573003</v>
      </c>
      <c r="E10" s="114">
        <v>5417993.4971573008</v>
      </c>
      <c r="F10" s="114">
        <v>48761941.474415705</v>
      </c>
      <c r="G10" s="114">
        <v>15392250</v>
      </c>
      <c r="H10" s="114">
        <v>28369691.474415705</v>
      </c>
      <c r="I10" s="114">
        <v>22412056.264788408</v>
      </c>
      <c r="J10" s="114">
        <v>27412056.264788408</v>
      </c>
      <c r="K10" s="114">
        <v>15737881.806610003</v>
      </c>
      <c r="L10" s="114">
        <v>350000</v>
      </c>
      <c r="M10" s="114">
        <v>15000</v>
      </c>
      <c r="N10" s="114">
        <v>1750</v>
      </c>
      <c r="O10" s="114">
        <v>3000</v>
      </c>
      <c r="P10" s="114">
        <v>20000</v>
      </c>
      <c r="Q10" s="114">
        <v>15000000</v>
      </c>
      <c r="R10" s="114">
        <v>2500</v>
      </c>
      <c r="S10" s="114"/>
      <c r="T10" s="122" t="s">
        <v>85</v>
      </c>
      <c r="U10" s="114">
        <v>404763461.69067299</v>
      </c>
      <c r="V10" s="114">
        <v>364287115.52160567</v>
      </c>
      <c r="W10" s="114">
        <v>201149115.5216057</v>
      </c>
    </row>
    <row r="11" spans="2:25" x14ac:dyDescent="0.25">
      <c r="B11" s="89">
        <v>8</v>
      </c>
      <c r="C11" s="120" t="s">
        <v>85</v>
      </c>
      <c r="D11" s="114">
        <v>58252361</v>
      </c>
      <c r="E11" s="114">
        <v>5825236.1000000006</v>
      </c>
      <c r="F11" s="114">
        <v>52427124.899999999</v>
      </c>
      <c r="G11" s="114">
        <v>15392250</v>
      </c>
      <c r="H11" s="114">
        <v>32034874.899999999</v>
      </c>
      <c r="I11" s="114">
        <v>25307551.171</v>
      </c>
      <c r="J11" s="114">
        <v>30307551.171</v>
      </c>
      <c r="K11" s="114">
        <v>16074134.83063652</v>
      </c>
      <c r="L11" s="114">
        <v>350000</v>
      </c>
      <c r="M11" s="114">
        <v>15000</v>
      </c>
      <c r="N11" s="114">
        <v>1750</v>
      </c>
      <c r="O11" s="114">
        <v>3000</v>
      </c>
      <c r="P11" s="114">
        <v>20000</v>
      </c>
      <c r="Q11" s="114">
        <v>15000000</v>
      </c>
      <c r="R11" s="114">
        <v>2500</v>
      </c>
      <c r="S11" s="114"/>
      <c r="T11" s="122" t="s">
        <v>86</v>
      </c>
      <c r="U11" s="114">
        <v>546430673.2824086</v>
      </c>
      <c r="V11" s="114">
        <v>480858992.48851955</v>
      </c>
      <c r="W11" s="114">
        <v>277344432.48851955</v>
      </c>
    </row>
    <row r="12" spans="2:25" x14ac:dyDescent="0.25">
      <c r="B12" s="89">
        <v>0</v>
      </c>
      <c r="C12" s="113" t="s">
        <v>86</v>
      </c>
      <c r="D12" s="114">
        <v>0</v>
      </c>
      <c r="E12" s="114">
        <v>0</v>
      </c>
      <c r="F12" s="114">
        <v>0</v>
      </c>
      <c r="G12" s="114">
        <v>0</v>
      </c>
      <c r="H12" s="114">
        <v>0</v>
      </c>
      <c r="I12" s="114">
        <v>0</v>
      </c>
      <c r="J12" s="114">
        <v>-71795000</v>
      </c>
      <c r="K12" s="114">
        <v>-71795000</v>
      </c>
      <c r="L12" s="114">
        <v>0</v>
      </c>
      <c r="M12" s="114">
        <v>0</v>
      </c>
      <c r="N12" s="114">
        <v>0</v>
      </c>
      <c r="O12" s="114">
        <v>0</v>
      </c>
      <c r="P12" s="114">
        <v>0</v>
      </c>
      <c r="Q12" s="114">
        <v>0</v>
      </c>
      <c r="R12" s="114">
        <v>0</v>
      </c>
      <c r="S12" s="114"/>
      <c r="T12" s="122" t="s">
        <v>89</v>
      </c>
      <c r="U12" s="114">
        <v>357297944.3359375</v>
      </c>
      <c r="V12" s="114">
        <v>339433047.11914063</v>
      </c>
      <c r="W12" s="114">
        <v>232295047.11914063</v>
      </c>
    </row>
    <row r="13" spans="2:25" x14ac:dyDescent="0.25">
      <c r="B13" s="89">
        <v>1</v>
      </c>
      <c r="C13" s="112" t="s">
        <v>86</v>
      </c>
      <c r="D13" s="114">
        <v>54000000</v>
      </c>
      <c r="E13" s="114">
        <v>6480000</v>
      </c>
      <c r="F13" s="114">
        <v>47520000</v>
      </c>
      <c r="G13" s="114">
        <v>18439320</v>
      </c>
      <c r="H13" s="114">
        <v>22080680</v>
      </c>
      <c r="I13" s="114">
        <v>17443737.199999999</v>
      </c>
      <c r="J13" s="114">
        <v>24443737.199999999</v>
      </c>
      <c r="K13" s="114">
        <v>22528790.046082951</v>
      </c>
      <c r="L13" s="114">
        <v>392000</v>
      </c>
      <c r="M13" s="114">
        <v>16800</v>
      </c>
      <c r="N13" s="114">
        <v>1960</v>
      </c>
      <c r="O13" s="114">
        <v>3360</v>
      </c>
      <c r="P13" s="114">
        <v>22400</v>
      </c>
      <c r="Q13" s="114">
        <v>18000000</v>
      </c>
      <c r="R13" s="114">
        <v>2800</v>
      </c>
      <c r="S13" s="114"/>
      <c r="T13" s="122" t="s">
        <v>91</v>
      </c>
      <c r="U13" s="114">
        <v>2826355060.6490431</v>
      </c>
      <c r="V13" s="114">
        <v>2552072510.4512053</v>
      </c>
      <c r="W13" s="114">
        <v>1531351046.9845386</v>
      </c>
    </row>
    <row r="14" spans="2:25" x14ac:dyDescent="0.25">
      <c r="B14" s="89">
        <v>2</v>
      </c>
      <c r="C14" s="112" t="s">
        <v>86</v>
      </c>
      <c r="D14" s="114">
        <v>64948500.000000007</v>
      </c>
      <c r="E14" s="114">
        <v>7793820.0000000009</v>
      </c>
      <c r="F14" s="114">
        <v>57154680.000000007</v>
      </c>
      <c r="G14" s="114">
        <v>18439320</v>
      </c>
      <c r="H14" s="114">
        <v>31715360.000000007</v>
      </c>
      <c r="I14" s="114">
        <v>25055134.400000006</v>
      </c>
      <c r="J14" s="114">
        <v>32055134.400000006</v>
      </c>
      <c r="K14" s="114">
        <v>27229403.385079324</v>
      </c>
      <c r="L14" s="114">
        <v>392000</v>
      </c>
      <c r="M14" s="114">
        <v>16800</v>
      </c>
      <c r="N14" s="114">
        <v>1960</v>
      </c>
      <c r="O14" s="114">
        <v>3360</v>
      </c>
      <c r="P14" s="114">
        <v>22400</v>
      </c>
      <c r="Q14" s="114">
        <v>18000000</v>
      </c>
      <c r="R14" s="114">
        <v>2800</v>
      </c>
      <c r="S14" s="114"/>
    </row>
    <row r="15" spans="2:25" x14ac:dyDescent="0.25">
      <c r="B15" s="89">
        <v>3</v>
      </c>
      <c r="C15" s="112" t="s">
        <v>86</v>
      </c>
      <c r="D15" s="114">
        <v>66491955.000000007</v>
      </c>
      <c r="E15" s="114">
        <v>7979034.6000000006</v>
      </c>
      <c r="F15" s="114">
        <v>58512920.400000006</v>
      </c>
      <c r="G15" s="114">
        <v>18439320</v>
      </c>
      <c r="H15" s="114">
        <v>33073600.400000006</v>
      </c>
      <c r="I15" s="114">
        <v>26128144.316000007</v>
      </c>
      <c r="J15" s="114">
        <v>33128144.316000007</v>
      </c>
      <c r="K15" s="114">
        <v>25936292.470978335</v>
      </c>
      <c r="L15" s="114">
        <v>392000</v>
      </c>
      <c r="M15" s="114">
        <v>16800</v>
      </c>
      <c r="N15" s="114">
        <v>1960</v>
      </c>
      <c r="O15" s="114">
        <v>3360</v>
      </c>
      <c r="P15" s="114">
        <v>22400</v>
      </c>
      <c r="Q15" s="114">
        <v>18000000</v>
      </c>
      <c r="R15" s="114">
        <v>2800</v>
      </c>
      <c r="S15" s="114"/>
    </row>
    <row r="16" spans="2:25" x14ac:dyDescent="0.25">
      <c r="B16" s="89">
        <v>4</v>
      </c>
      <c r="C16" s="112" t="s">
        <v>86</v>
      </c>
      <c r="D16" s="114">
        <v>68081713.650000006</v>
      </c>
      <c r="E16" s="114">
        <v>8169805.6380000003</v>
      </c>
      <c r="F16" s="114">
        <v>59911908.012000009</v>
      </c>
      <c r="G16" s="114">
        <v>18439320</v>
      </c>
      <c r="H16" s="114">
        <v>34472588.012000009</v>
      </c>
      <c r="I16" s="114">
        <v>27233344.529480007</v>
      </c>
      <c r="J16" s="114">
        <v>34233344.52948001</v>
      </c>
      <c r="K16" s="114">
        <v>24701901.076957792</v>
      </c>
      <c r="L16" s="114">
        <v>392000</v>
      </c>
      <c r="M16" s="114">
        <v>16800</v>
      </c>
      <c r="N16" s="114">
        <v>1960</v>
      </c>
      <c r="O16" s="114">
        <v>3360</v>
      </c>
      <c r="P16" s="114">
        <v>22400</v>
      </c>
      <c r="Q16" s="114">
        <v>18000000</v>
      </c>
      <c r="R16" s="114">
        <v>2800</v>
      </c>
      <c r="S16" s="114"/>
      <c r="T16" s="121" t="s">
        <v>90</v>
      </c>
      <c r="U16" s="89" t="s">
        <v>100</v>
      </c>
      <c r="V16" s="89" t="s">
        <v>101</v>
      </c>
      <c r="W16" s="89" t="s">
        <v>102</v>
      </c>
      <c r="X16" s="89" t="s">
        <v>103</v>
      </c>
      <c r="Y16" s="89" t="s">
        <v>104</v>
      </c>
    </row>
    <row r="17" spans="2:25" x14ac:dyDescent="0.25">
      <c r="B17" s="89">
        <v>5</v>
      </c>
      <c r="C17" s="112" t="s">
        <v>86</v>
      </c>
      <c r="D17" s="114">
        <v>69719165.059500009</v>
      </c>
      <c r="E17" s="114">
        <v>8366299.8071400011</v>
      </c>
      <c r="F17" s="114">
        <v>61352865.252360009</v>
      </c>
      <c r="G17" s="114">
        <v>18439320</v>
      </c>
      <c r="H17" s="114">
        <v>35913545.252360009</v>
      </c>
      <c r="I17" s="114">
        <v>28371700.749364406</v>
      </c>
      <c r="J17" s="114">
        <v>35371700.749364406</v>
      </c>
      <c r="K17" s="114">
        <v>23523787.69729295</v>
      </c>
      <c r="L17" s="114">
        <v>392000</v>
      </c>
      <c r="M17" s="114">
        <v>16800</v>
      </c>
      <c r="N17" s="114">
        <v>1960</v>
      </c>
      <c r="O17" s="114">
        <v>3360</v>
      </c>
      <c r="P17" s="114">
        <v>22400</v>
      </c>
      <c r="Q17" s="114">
        <v>18000000</v>
      </c>
      <c r="R17" s="114">
        <v>2800</v>
      </c>
      <c r="S17" s="114"/>
      <c r="T17" s="122" t="s">
        <v>23</v>
      </c>
      <c r="U17" s="114">
        <v>350000</v>
      </c>
      <c r="V17" s="114">
        <v>392000</v>
      </c>
      <c r="W17" s="114">
        <v>439040</v>
      </c>
      <c r="X17" s="114">
        <v>482720</v>
      </c>
      <c r="Y17" s="114">
        <v>350000</v>
      </c>
    </row>
    <row r="18" spans="2:25" x14ac:dyDescent="0.25">
      <c r="B18" s="89">
        <v>6</v>
      </c>
      <c r="C18" s="112" t="s">
        <v>86</v>
      </c>
      <c r="D18" s="114">
        <v>71405740.011285007</v>
      </c>
      <c r="E18" s="114">
        <v>8568688.8013541996</v>
      </c>
      <c r="F18" s="114">
        <v>62837051.209930807</v>
      </c>
      <c r="G18" s="114">
        <v>18439320</v>
      </c>
      <c r="H18" s="114">
        <v>37397731.209930807</v>
      </c>
      <c r="I18" s="114">
        <v>29544207.655845337</v>
      </c>
      <c r="J18" s="114">
        <v>36544207.655845337</v>
      </c>
      <c r="K18" s="114">
        <v>22399592.67209417</v>
      </c>
      <c r="L18" s="114">
        <v>392000</v>
      </c>
      <c r="M18" s="114">
        <v>16800</v>
      </c>
      <c r="N18" s="114">
        <v>1960</v>
      </c>
      <c r="O18" s="114">
        <v>3360</v>
      </c>
      <c r="P18" s="114">
        <v>22400</v>
      </c>
      <c r="Q18" s="114">
        <v>18000000</v>
      </c>
      <c r="R18" s="114">
        <v>2800</v>
      </c>
      <c r="S18" s="114"/>
      <c r="T18" s="122" t="s">
        <v>0</v>
      </c>
      <c r="U18" s="114">
        <v>15000</v>
      </c>
      <c r="V18" s="114">
        <v>16800</v>
      </c>
      <c r="W18" s="114">
        <v>18816</v>
      </c>
      <c r="X18" s="114">
        <v>20688</v>
      </c>
      <c r="Y18" s="114">
        <v>15000</v>
      </c>
    </row>
    <row r="19" spans="2:25" x14ac:dyDescent="0.25">
      <c r="B19" s="89">
        <v>7</v>
      </c>
      <c r="C19" s="112" t="s">
        <v>86</v>
      </c>
      <c r="D19" s="114">
        <v>73142912.211623564</v>
      </c>
      <c r="E19" s="114">
        <v>8777149.4653948266</v>
      </c>
      <c r="F19" s="114">
        <v>64365762.74622874</v>
      </c>
      <c r="G19" s="114">
        <v>18439320</v>
      </c>
      <c r="H19" s="114">
        <v>38926442.74622874</v>
      </c>
      <c r="I19" s="114">
        <v>30751889.769520704</v>
      </c>
      <c r="J19" s="114">
        <v>37751889.7695207</v>
      </c>
      <c r="K19" s="114">
        <v>21327037.32226998</v>
      </c>
      <c r="L19" s="114">
        <v>392000</v>
      </c>
      <c r="M19" s="114">
        <v>16800</v>
      </c>
      <c r="N19" s="114">
        <v>1960</v>
      </c>
      <c r="O19" s="114">
        <v>3360</v>
      </c>
      <c r="P19" s="114">
        <v>22400</v>
      </c>
      <c r="Q19" s="114">
        <v>18000000</v>
      </c>
      <c r="R19" s="114">
        <v>2800</v>
      </c>
      <c r="S19" s="114"/>
      <c r="T19" s="122" t="s">
        <v>2</v>
      </c>
      <c r="U19" s="114">
        <v>1750</v>
      </c>
      <c r="V19" s="114">
        <v>1960</v>
      </c>
      <c r="W19" s="114">
        <v>2195.1999999999998</v>
      </c>
      <c r="X19" s="114">
        <v>2413.6</v>
      </c>
      <c r="Y19" s="114">
        <v>1750</v>
      </c>
    </row>
    <row r="20" spans="2:25" x14ac:dyDescent="0.25">
      <c r="B20" s="89">
        <v>8</v>
      </c>
      <c r="C20" s="112" t="s">
        <v>86</v>
      </c>
      <c r="D20" s="114">
        <v>78640687.350000009</v>
      </c>
      <c r="E20" s="114">
        <v>9436882.4820000008</v>
      </c>
      <c r="F20" s="114">
        <v>69203804.868000001</v>
      </c>
      <c r="G20" s="114">
        <v>18439320</v>
      </c>
      <c r="H20" s="114">
        <v>43764484.868000001</v>
      </c>
      <c r="I20" s="114">
        <v>34573943.045720004</v>
      </c>
      <c r="J20" s="114">
        <v>41573943.045720004</v>
      </c>
      <c r="K20" s="114">
        <v>21646281.965025108</v>
      </c>
      <c r="L20" s="114">
        <v>392000</v>
      </c>
      <c r="M20" s="114">
        <v>16800</v>
      </c>
      <c r="N20" s="114">
        <v>1960</v>
      </c>
      <c r="O20" s="114">
        <v>3360</v>
      </c>
      <c r="P20" s="114">
        <v>22400</v>
      </c>
      <c r="Q20" s="114">
        <v>18000000</v>
      </c>
      <c r="R20" s="114">
        <v>2800</v>
      </c>
      <c r="S20" s="114"/>
      <c r="T20" s="122" t="s">
        <v>1</v>
      </c>
      <c r="U20" s="114">
        <v>3000</v>
      </c>
      <c r="V20" s="114">
        <v>3360</v>
      </c>
      <c r="W20" s="114">
        <v>3763.2</v>
      </c>
      <c r="X20" s="114">
        <v>4137.6000000000004</v>
      </c>
      <c r="Y20" s="114">
        <v>3000</v>
      </c>
    </row>
    <row r="21" spans="2:25" x14ac:dyDescent="0.25">
      <c r="B21" s="89">
        <v>0</v>
      </c>
      <c r="C21" s="112" t="s">
        <v>87</v>
      </c>
      <c r="D21" s="114">
        <v>0</v>
      </c>
      <c r="E21" s="114">
        <v>0</v>
      </c>
      <c r="F21" s="114">
        <v>0</v>
      </c>
      <c r="G21" s="114">
        <v>0</v>
      </c>
      <c r="H21" s="114">
        <v>0</v>
      </c>
      <c r="I21" s="114">
        <v>0</v>
      </c>
      <c r="J21" s="114">
        <v>-93174500</v>
      </c>
      <c r="K21" s="114">
        <v>-93174500</v>
      </c>
      <c r="L21" s="114">
        <v>0</v>
      </c>
      <c r="M21" s="114">
        <v>0</v>
      </c>
      <c r="N21" s="114">
        <v>0</v>
      </c>
      <c r="O21" s="114">
        <v>0</v>
      </c>
      <c r="P21" s="114">
        <v>0</v>
      </c>
      <c r="Q21" s="114">
        <v>0</v>
      </c>
      <c r="R21" s="114">
        <v>0</v>
      </c>
      <c r="S21" s="114"/>
      <c r="T21" s="122" t="s">
        <v>14</v>
      </c>
      <c r="U21" s="114">
        <v>20000</v>
      </c>
      <c r="V21" s="114">
        <v>22400</v>
      </c>
      <c r="W21" s="114">
        <v>25088</v>
      </c>
      <c r="X21" s="114">
        <v>27584</v>
      </c>
      <c r="Y21" s="114">
        <v>20000</v>
      </c>
    </row>
    <row r="22" spans="2:25" x14ac:dyDescent="0.25">
      <c r="B22" s="89">
        <v>1</v>
      </c>
      <c r="C22" s="112" t="s">
        <v>87</v>
      </c>
      <c r="D22" s="114">
        <v>68000000</v>
      </c>
      <c r="E22" s="114">
        <v>7480000</v>
      </c>
      <c r="F22" s="114">
        <v>60520000</v>
      </c>
      <c r="G22" s="114">
        <v>21492038.399999999</v>
      </c>
      <c r="H22" s="114">
        <v>29027961.600000001</v>
      </c>
      <c r="I22" s="114">
        <v>22932089.664000001</v>
      </c>
      <c r="J22" s="114">
        <v>32932089.664000001</v>
      </c>
      <c r="K22" s="114">
        <v>30282381.300229888</v>
      </c>
      <c r="L22" s="114">
        <v>439040</v>
      </c>
      <c r="M22" s="114">
        <v>18816</v>
      </c>
      <c r="N22" s="114">
        <v>2195</v>
      </c>
      <c r="O22" s="114">
        <v>3763</v>
      </c>
      <c r="P22" s="114">
        <v>25088</v>
      </c>
      <c r="Q22" s="114">
        <v>21000000</v>
      </c>
      <c r="R22" s="114">
        <v>3136</v>
      </c>
      <c r="S22" s="114"/>
      <c r="T22" s="122" t="s">
        <v>22</v>
      </c>
      <c r="U22" s="114">
        <v>15000000</v>
      </c>
      <c r="V22" s="114">
        <v>18000000</v>
      </c>
      <c r="W22" s="114">
        <v>21000000</v>
      </c>
      <c r="X22" s="114">
        <v>24000000</v>
      </c>
      <c r="Y22" s="114">
        <v>11000000</v>
      </c>
    </row>
    <row r="23" spans="2:25" x14ac:dyDescent="0.25">
      <c r="B23" s="89">
        <v>2</v>
      </c>
      <c r="C23" s="112" t="s">
        <v>87</v>
      </c>
      <c r="D23" s="114">
        <v>81787000</v>
      </c>
      <c r="E23" s="114">
        <v>8996570</v>
      </c>
      <c r="F23" s="114">
        <v>72790430</v>
      </c>
      <c r="G23" s="114">
        <v>21492038.399999999</v>
      </c>
      <c r="H23" s="114">
        <v>41298391.600000001</v>
      </c>
      <c r="I23" s="114">
        <v>32625729.364</v>
      </c>
      <c r="J23" s="114">
        <v>42625729.364</v>
      </c>
      <c r="K23" s="114">
        <v>36042365.957140975</v>
      </c>
      <c r="L23" s="114">
        <v>439040</v>
      </c>
      <c r="M23" s="114">
        <v>18816</v>
      </c>
      <c r="N23" s="114">
        <v>2195</v>
      </c>
      <c r="O23" s="114">
        <v>3763</v>
      </c>
      <c r="P23" s="114">
        <v>25088</v>
      </c>
      <c r="Q23" s="114">
        <v>21000000</v>
      </c>
      <c r="R23" s="114">
        <v>3136</v>
      </c>
      <c r="S23" s="114"/>
      <c r="T23" s="122" t="s">
        <v>3</v>
      </c>
      <c r="U23" s="114">
        <v>2500</v>
      </c>
      <c r="V23" s="114">
        <v>2800</v>
      </c>
      <c r="W23" s="114">
        <v>3136</v>
      </c>
      <c r="X23" s="114">
        <v>3448</v>
      </c>
      <c r="Y23" s="114">
        <v>2500</v>
      </c>
    </row>
    <row r="24" spans="2:25" x14ac:dyDescent="0.25">
      <c r="B24" s="89">
        <v>3</v>
      </c>
      <c r="C24" s="112" t="s">
        <v>87</v>
      </c>
      <c r="D24" s="114">
        <v>83730610</v>
      </c>
      <c r="E24" s="114">
        <v>9210367.0999999996</v>
      </c>
      <c r="F24" s="114">
        <v>74520242.900000006</v>
      </c>
      <c r="G24" s="114">
        <v>21492038.399999999</v>
      </c>
      <c r="H24" s="114">
        <v>43028204.500000007</v>
      </c>
      <c r="I24" s="114">
        <v>33992281.555000007</v>
      </c>
      <c r="J24" s="114">
        <v>43992281.555000007</v>
      </c>
      <c r="K24" s="114">
        <v>34204928.68849498</v>
      </c>
      <c r="L24" s="114">
        <v>439040</v>
      </c>
      <c r="M24" s="114">
        <v>18816</v>
      </c>
      <c r="N24" s="114">
        <v>2195</v>
      </c>
      <c r="O24" s="114">
        <v>3763</v>
      </c>
      <c r="P24" s="114">
        <v>25088</v>
      </c>
      <c r="Q24" s="114">
        <v>21000000</v>
      </c>
      <c r="R24" s="114">
        <v>3136</v>
      </c>
      <c r="S24" s="114"/>
      <c r="T24" s="122" t="s">
        <v>91</v>
      </c>
      <c r="U24" s="114">
        <v>15392250</v>
      </c>
      <c r="V24" s="114">
        <v>18439320</v>
      </c>
      <c r="W24" s="114">
        <v>21492038.399999999</v>
      </c>
      <c r="X24" s="114">
        <v>24540991.199999999</v>
      </c>
      <c r="Y24" s="114">
        <v>11392250</v>
      </c>
    </row>
    <row r="25" spans="2:25" x14ac:dyDescent="0.25">
      <c r="B25" s="89">
        <v>4</v>
      </c>
      <c r="C25" s="112" t="s">
        <v>87</v>
      </c>
      <c r="D25" s="114">
        <v>85732528.299999997</v>
      </c>
      <c r="E25" s="114">
        <v>9430578.1129999999</v>
      </c>
      <c r="F25" s="114">
        <v>76301950.186999992</v>
      </c>
      <c r="G25" s="114">
        <v>21492038.399999999</v>
      </c>
      <c r="H25" s="114">
        <v>44809911.786999993</v>
      </c>
      <c r="I25" s="114">
        <v>35399830.311729997</v>
      </c>
      <c r="J25" s="114">
        <v>45399830.311729997</v>
      </c>
      <c r="K25" s="114">
        <v>32459151.811934799</v>
      </c>
      <c r="L25" s="114">
        <v>439040</v>
      </c>
      <c r="M25" s="114">
        <v>18816</v>
      </c>
      <c r="N25" s="114">
        <v>2195</v>
      </c>
      <c r="O25" s="114">
        <v>3763</v>
      </c>
      <c r="P25" s="114">
        <v>25088</v>
      </c>
      <c r="Q25" s="114">
        <v>21000000</v>
      </c>
      <c r="R25" s="114">
        <v>3136</v>
      </c>
      <c r="S25" s="114"/>
    </row>
    <row r="26" spans="2:25" x14ac:dyDescent="0.25">
      <c r="B26" s="89">
        <v>5</v>
      </c>
      <c r="C26" s="112" t="s">
        <v>87</v>
      </c>
      <c r="D26" s="114">
        <v>87794504.149000004</v>
      </c>
      <c r="E26" s="114">
        <v>9657395.4563900009</v>
      </c>
      <c r="F26" s="114">
        <v>78137108.692609996</v>
      </c>
      <c r="G26" s="114">
        <v>21492038.399999999</v>
      </c>
      <c r="H26" s="114">
        <v>46645070.292609997</v>
      </c>
      <c r="I26" s="114">
        <v>36849605.531161897</v>
      </c>
      <c r="J26" s="114">
        <v>46849605.531161897</v>
      </c>
      <c r="K26" s="114">
        <v>30800630.757815499</v>
      </c>
      <c r="L26" s="114">
        <v>439040</v>
      </c>
      <c r="M26" s="114">
        <v>18816</v>
      </c>
      <c r="N26" s="114">
        <v>2195</v>
      </c>
      <c r="O26" s="114">
        <v>3763</v>
      </c>
      <c r="P26" s="114">
        <v>25088</v>
      </c>
      <c r="Q26" s="114">
        <v>21000000</v>
      </c>
      <c r="R26" s="114">
        <v>3136</v>
      </c>
      <c r="S26" s="114"/>
      <c r="T26"/>
      <c r="U26"/>
      <c r="V26"/>
    </row>
    <row r="27" spans="2:25" x14ac:dyDescent="0.25">
      <c r="B27" s="89">
        <v>6</v>
      </c>
      <c r="C27" s="112" t="s">
        <v>87</v>
      </c>
      <c r="D27" s="114">
        <v>89918339.273469999</v>
      </c>
      <c r="E27" s="114">
        <v>9891017.3200816996</v>
      </c>
      <c r="F27" s="114">
        <v>80027321.953388304</v>
      </c>
      <c r="G27" s="114">
        <v>21492038.399999999</v>
      </c>
      <c r="H27" s="114">
        <v>48535283.553388305</v>
      </c>
      <c r="I27" s="114">
        <v>38342874.007176757</v>
      </c>
      <c r="J27" s="114">
        <v>48342874.007176757</v>
      </c>
      <c r="K27" s="114">
        <v>29225158.291286755</v>
      </c>
      <c r="L27" s="114">
        <v>439040</v>
      </c>
      <c r="M27" s="114">
        <v>18816</v>
      </c>
      <c r="N27" s="114">
        <v>2195</v>
      </c>
      <c r="O27" s="114">
        <v>3763</v>
      </c>
      <c r="P27" s="114">
        <v>25088</v>
      </c>
      <c r="Q27" s="114">
        <v>21000000</v>
      </c>
      <c r="R27" s="114">
        <v>3136</v>
      </c>
      <c r="S27" s="114"/>
      <c r="T27"/>
      <c r="U27"/>
      <c r="V27"/>
    </row>
    <row r="28" spans="2:25" x14ac:dyDescent="0.25">
      <c r="B28" s="89">
        <v>7</v>
      </c>
      <c r="C28" s="112" t="s">
        <v>87</v>
      </c>
      <c r="D28" s="114">
        <v>92105889.451674104</v>
      </c>
      <c r="E28" s="114">
        <v>10131647.839684151</v>
      </c>
      <c r="F28" s="114">
        <v>81974241.611989945</v>
      </c>
      <c r="G28" s="114">
        <v>21492038.399999999</v>
      </c>
      <c r="H28" s="114">
        <v>50482203.211989947</v>
      </c>
      <c r="I28" s="114">
        <v>39880940.537472054</v>
      </c>
      <c r="J28" s="114">
        <v>49880940.537472054</v>
      </c>
      <c r="K28" s="114">
        <v>27728716.938883934</v>
      </c>
      <c r="L28" s="114">
        <v>439040</v>
      </c>
      <c r="M28" s="114">
        <v>18816</v>
      </c>
      <c r="N28" s="114">
        <v>2195</v>
      </c>
      <c r="O28" s="114">
        <v>3763</v>
      </c>
      <c r="P28" s="114">
        <v>25088</v>
      </c>
      <c r="Q28" s="114">
        <v>21000000</v>
      </c>
      <c r="R28" s="114">
        <v>3136</v>
      </c>
      <c r="S28" s="114"/>
      <c r="T28"/>
      <c r="U28"/>
      <c r="V28"/>
    </row>
    <row r="29" spans="2:25" x14ac:dyDescent="0.25">
      <c r="B29" s="89">
        <v>8</v>
      </c>
      <c r="C29" s="112" t="s">
        <v>87</v>
      </c>
      <c r="D29" s="114">
        <v>99029013.700000003</v>
      </c>
      <c r="E29" s="114">
        <v>10893191.507000001</v>
      </c>
      <c r="F29" s="114">
        <v>88135822.193000004</v>
      </c>
      <c r="G29" s="114">
        <v>21492038.399999999</v>
      </c>
      <c r="H29" s="114">
        <v>56643783.793000005</v>
      </c>
      <c r="I29" s="114">
        <v>44748589.196470007</v>
      </c>
      <c r="J29" s="114">
        <v>54748589.196470007</v>
      </c>
      <c r="K29" s="114">
        <v>27985869.677462477</v>
      </c>
      <c r="L29" s="114">
        <v>439040</v>
      </c>
      <c r="M29" s="114">
        <v>18816</v>
      </c>
      <c r="N29" s="114">
        <v>2195</v>
      </c>
      <c r="O29" s="114">
        <v>3763</v>
      </c>
      <c r="P29" s="114">
        <v>25088</v>
      </c>
      <c r="Q29" s="114">
        <v>21000000</v>
      </c>
      <c r="R29" s="114">
        <v>3136</v>
      </c>
      <c r="S29" s="114"/>
      <c r="T29"/>
      <c r="U29"/>
      <c r="V29"/>
    </row>
    <row r="30" spans="2:25" x14ac:dyDescent="0.25">
      <c r="B30" s="89">
        <v>0</v>
      </c>
      <c r="C30" s="112" t="s">
        <v>88</v>
      </c>
      <c r="D30" s="114">
        <v>0</v>
      </c>
      <c r="E30" s="114">
        <v>0</v>
      </c>
      <c r="F30" s="114">
        <v>0</v>
      </c>
      <c r="G30" s="114">
        <v>0</v>
      </c>
      <c r="H30" s="114">
        <v>0</v>
      </c>
      <c r="I30" s="114">
        <v>0</v>
      </c>
      <c r="J30" s="114">
        <v>-111197666.66666701</v>
      </c>
      <c r="K30" s="114">
        <v>-111197666.66666701</v>
      </c>
      <c r="L30" s="114">
        <v>0</v>
      </c>
      <c r="M30" s="114">
        <v>0</v>
      </c>
      <c r="N30" s="114">
        <v>0</v>
      </c>
      <c r="O30" s="114">
        <v>0</v>
      </c>
      <c r="P30" s="114">
        <v>0</v>
      </c>
      <c r="Q30" s="114">
        <v>0</v>
      </c>
      <c r="R30" s="114">
        <v>0</v>
      </c>
      <c r="S30" s="114"/>
      <c r="T30"/>
      <c r="U30"/>
      <c r="V30"/>
    </row>
    <row r="31" spans="2:25" x14ac:dyDescent="0.25">
      <c r="B31" s="89">
        <v>1</v>
      </c>
      <c r="C31" s="112" t="s">
        <v>88</v>
      </c>
      <c r="D31" s="114">
        <v>82000000</v>
      </c>
      <c r="E31" s="114">
        <v>7380000</v>
      </c>
      <c r="F31" s="114">
        <v>74620000</v>
      </c>
      <c r="G31" s="114">
        <v>24540991.199999999</v>
      </c>
      <c r="H31" s="114">
        <v>37745675.466666698</v>
      </c>
      <c r="I31" s="114">
        <v>29819083.618666694</v>
      </c>
      <c r="J31" s="114">
        <v>42152416.951999992</v>
      </c>
      <c r="K31" s="114">
        <v>38671942.157798156</v>
      </c>
      <c r="L31" s="114">
        <v>482720</v>
      </c>
      <c r="M31" s="114">
        <v>20688</v>
      </c>
      <c r="N31" s="114">
        <v>2414</v>
      </c>
      <c r="O31" s="114">
        <v>4138</v>
      </c>
      <c r="P31" s="114">
        <v>27584</v>
      </c>
      <c r="Q31" s="114">
        <v>24000000</v>
      </c>
      <c r="R31" s="114">
        <v>3448</v>
      </c>
      <c r="S31" s="114"/>
      <c r="T31"/>
      <c r="U31"/>
      <c r="V31"/>
    </row>
    <row r="32" spans="2:25" x14ac:dyDescent="0.25">
      <c r="B32" s="89">
        <v>2</v>
      </c>
      <c r="C32" s="112" t="s">
        <v>88</v>
      </c>
      <c r="D32" s="114">
        <v>98625500</v>
      </c>
      <c r="E32" s="114">
        <v>8876295</v>
      </c>
      <c r="F32" s="114">
        <v>89749205</v>
      </c>
      <c r="G32" s="114">
        <v>24540991.199999999</v>
      </c>
      <c r="H32" s="114">
        <v>52874880.466666698</v>
      </c>
      <c r="I32" s="114">
        <v>41771155.568666697</v>
      </c>
      <c r="J32" s="114">
        <v>54104488.901999995</v>
      </c>
      <c r="K32" s="114">
        <v>45538665.854726024</v>
      </c>
      <c r="L32" s="114">
        <v>482720</v>
      </c>
      <c r="M32" s="114">
        <v>20688</v>
      </c>
      <c r="N32" s="114">
        <v>2414</v>
      </c>
      <c r="O32" s="114">
        <v>4138</v>
      </c>
      <c r="P32" s="114">
        <v>27584</v>
      </c>
      <c r="Q32" s="114">
        <v>24000000</v>
      </c>
      <c r="R32" s="114">
        <v>3448</v>
      </c>
      <c r="S32" s="114"/>
      <c r="T32"/>
      <c r="U32"/>
      <c r="V32"/>
    </row>
    <row r="33" spans="2:22" x14ac:dyDescent="0.25">
      <c r="B33" s="89">
        <v>3</v>
      </c>
      <c r="C33" s="112" t="s">
        <v>88</v>
      </c>
      <c r="D33" s="114">
        <v>100969265</v>
      </c>
      <c r="E33" s="114">
        <v>9087233.8499999996</v>
      </c>
      <c r="F33" s="114">
        <v>91882031.150000006</v>
      </c>
      <c r="G33" s="114">
        <v>24540991.199999999</v>
      </c>
      <c r="H33" s="114">
        <v>55007706.616666704</v>
      </c>
      <c r="I33" s="114">
        <v>43456088.227166697</v>
      </c>
      <c r="J33" s="114">
        <v>55789421.560499996</v>
      </c>
      <c r="K33" s="114">
        <v>43079669.691180654</v>
      </c>
      <c r="L33" s="114">
        <v>482720</v>
      </c>
      <c r="M33" s="114">
        <v>20688</v>
      </c>
      <c r="N33" s="114">
        <v>2414</v>
      </c>
      <c r="O33" s="114">
        <v>4138</v>
      </c>
      <c r="P33" s="114">
        <v>27584</v>
      </c>
      <c r="Q33" s="114">
        <v>24000000</v>
      </c>
      <c r="R33" s="114">
        <v>3448</v>
      </c>
      <c r="S33" s="114"/>
      <c r="T33"/>
      <c r="U33"/>
      <c r="V33"/>
    </row>
    <row r="34" spans="2:22" x14ac:dyDescent="0.25">
      <c r="B34" s="89">
        <v>4</v>
      </c>
      <c r="C34" s="112" t="s">
        <v>88</v>
      </c>
      <c r="D34" s="114">
        <v>103383342.95</v>
      </c>
      <c r="E34" s="114">
        <v>9304500.8654999994</v>
      </c>
      <c r="F34" s="114">
        <v>94078842.0845</v>
      </c>
      <c r="G34" s="114">
        <v>24540991.199999999</v>
      </c>
      <c r="H34" s="114">
        <v>57204517.551166698</v>
      </c>
      <c r="I34" s="114">
        <v>45191568.86542169</v>
      </c>
      <c r="J34" s="114">
        <v>57524902.198754989</v>
      </c>
      <c r="K34" s="114">
        <v>40752090.981657788</v>
      </c>
      <c r="L34" s="114">
        <v>482720</v>
      </c>
      <c r="M34" s="114">
        <v>20688</v>
      </c>
      <c r="N34" s="114">
        <v>2414</v>
      </c>
      <c r="O34" s="114">
        <v>4138</v>
      </c>
      <c r="P34" s="114">
        <v>27584</v>
      </c>
      <c r="Q34" s="114">
        <v>24000000</v>
      </c>
      <c r="R34" s="114">
        <v>3448</v>
      </c>
      <c r="S34" s="114"/>
      <c r="T34"/>
      <c r="U34"/>
      <c r="V34"/>
    </row>
    <row r="35" spans="2:22" x14ac:dyDescent="0.25">
      <c r="B35" s="89">
        <v>5</v>
      </c>
      <c r="C35" s="112" t="s">
        <v>88</v>
      </c>
      <c r="D35" s="114">
        <v>105869843.2385</v>
      </c>
      <c r="E35" s="114">
        <v>9528285.8914649989</v>
      </c>
      <c r="F35" s="114">
        <v>96341557.347035006</v>
      </c>
      <c r="G35" s="114">
        <v>24540991.199999999</v>
      </c>
      <c r="H35" s="114">
        <v>59467232.813701704</v>
      </c>
      <c r="I35" s="114">
        <v>46979113.922824346</v>
      </c>
      <c r="J35" s="114">
        <v>59312447.256157644</v>
      </c>
      <c r="K35" s="114">
        <v>38549021.06994202</v>
      </c>
      <c r="L35" s="114">
        <v>482720</v>
      </c>
      <c r="M35" s="114">
        <v>20688</v>
      </c>
      <c r="N35" s="114">
        <v>2414</v>
      </c>
      <c r="O35" s="114">
        <v>4138</v>
      </c>
      <c r="P35" s="114">
        <v>27584</v>
      </c>
      <c r="Q35" s="114">
        <v>24000000</v>
      </c>
      <c r="R35" s="114">
        <v>3448</v>
      </c>
      <c r="S35" s="114"/>
      <c r="T35"/>
      <c r="U35"/>
      <c r="V35"/>
    </row>
    <row r="36" spans="2:22" x14ac:dyDescent="0.25">
      <c r="B36" s="89">
        <v>6</v>
      </c>
      <c r="C36" s="112" t="s">
        <v>88</v>
      </c>
      <c r="D36" s="114">
        <v>108430938.53565501</v>
      </c>
      <c r="E36" s="114">
        <v>9758784.46820895</v>
      </c>
      <c r="F36" s="114">
        <v>98672154.067446053</v>
      </c>
      <c r="G36" s="114">
        <v>24540991.199999999</v>
      </c>
      <c r="H36" s="114">
        <v>61797829.534112751</v>
      </c>
      <c r="I36" s="114">
        <v>48820285.33194907</v>
      </c>
      <c r="J36" s="114">
        <v>61153618.665282369</v>
      </c>
      <c r="K36" s="114">
        <v>36463904.730538838</v>
      </c>
      <c r="L36" s="114">
        <v>482720</v>
      </c>
      <c r="M36" s="114">
        <v>20688</v>
      </c>
      <c r="N36" s="114">
        <v>2414</v>
      </c>
      <c r="O36" s="114">
        <v>4138</v>
      </c>
      <c r="P36" s="114">
        <v>27584</v>
      </c>
      <c r="Q36" s="114">
        <v>24000000</v>
      </c>
      <c r="R36" s="114">
        <v>3448</v>
      </c>
      <c r="S36" s="114"/>
      <c r="T36"/>
      <c r="U36"/>
      <c r="V36"/>
    </row>
    <row r="37" spans="2:22" x14ac:dyDescent="0.25">
      <c r="B37" s="89">
        <v>7</v>
      </c>
      <c r="C37" s="112" t="s">
        <v>88</v>
      </c>
      <c r="D37" s="114">
        <v>111068866.691725</v>
      </c>
      <c r="E37" s="114">
        <v>9996198.0022552498</v>
      </c>
      <c r="F37" s="114">
        <v>101072668.68946975</v>
      </c>
      <c r="G37" s="114">
        <v>24540991.199999999</v>
      </c>
      <c r="H37" s="114">
        <v>64198344.156136453</v>
      </c>
      <c r="I37" s="114">
        <v>50716691.883347794</v>
      </c>
      <c r="J37" s="114">
        <v>63050025.216681093</v>
      </c>
      <c r="K37" s="114">
        <v>34490522.931759253</v>
      </c>
      <c r="L37" s="114">
        <v>482720</v>
      </c>
      <c r="M37" s="114">
        <v>20688</v>
      </c>
      <c r="N37" s="114">
        <v>2414</v>
      </c>
      <c r="O37" s="114">
        <v>4138</v>
      </c>
      <c r="P37" s="114">
        <v>27584</v>
      </c>
      <c r="Q37" s="114">
        <v>24000000</v>
      </c>
      <c r="R37" s="114">
        <v>3448</v>
      </c>
      <c r="S37" s="114"/>
      <c r="T37"/>
      <c r="U37"/>
      <c r="V37"/>
    </row>
    <row r="38" spans="2:22" x14ac:dyDescent="0.25">
      <c r="B38" s="89">
        <v>8</v>
      </c>
      <c r="C38" s="112" t="s">
        <v>88</v>
      </c>
      <c r="D38" s="114">
        <v>119417340.05</v>
      </c>
      <c r="E38" s="114">
        <v>10747560.604499999</v>
      </c>
      <c r="F38" s="114">
        <v>108669779.4455</v>
      </c>
      <c r="G38" s="114">
        <v>24540991.199999999</v>
      </c>
      <c r="H38" s="114">
        <v>71795454.9121667</v>
      </c>
      <c r="I38" s="114">
        <v>56718409.380611695</v>
      </c>
      <c r="J38" s="114">
        <v>69051742.713945001</v>
      </c>
      <c r="K38" s="114">
        <v>34654741.22076875</v>
      </c>
      <c r="L38" s="114">
        <v>482720</v>
      </c>
      <c r="M38" s="114">
        <v>20688</v>
      </c>
      <c r="N38" s="114">
        <v>2414</v>
      </c>
      <c r="O38" s="114">
        <v>4138</v>
      </c>
      <c r="P38" s="114">
        <v>27584</v>
      </c>
      <c r="Q38" s="114">
        <v>24000000</v>
      </c>
      <c r="R38" s="114">
        <v>3448</v>
      </c>
      <c r="S38" s="114"/>
      <c r="T38"/>
      <c r="U38"/>
      <c r="V38"/>
    </row>
    <row r="39" spans="2:22" x14ac:dyDescent="0.25">
      <c r="B39" s="89">
        <v>0</v>
      </c>
      <c r="C39" s="112" t="s">
        <v>89</v>
      </c>
      <c r="D39" s="114">
        <v>0</v>
      </c>
      <c r="E39" s="114">
        <v>0</v>
      </c>
      <c r="F39" s="114">
        <v>0</v>
      </c>
      <c r="G39" s="114">
        <v>0</v>
      </c>
      <c r="H39" s="114">
        <v>0</v>
      </c>
      <c r="I39" s="114">
        <v>0</v>
      </c>
      <c r="J39" s="114">
        <v>-21197000</v>
      </c>
      <c r="K39" s="114">
        <v>-21197000</v>
      </c>
      <c r="L39" s="114">
        <v>0</v>
      </c>
      <c r="M39" s="114">
        <v>0</v>
      </c>
      <c r="N39" s="114">
        <v>0</v>
      </c>
      <c r="O39" s="114">
        <v>0</v>
      </c>
      <c r="P39" s="114">
        <v>0</v>
      </c>
      <c r="Q39" s="114">
        <v>0</v>
      </c>
      <c r="R39" s="114">
        <v>0</v>
      </c>
      <c r="S39" s="114"/>
      <c r="T39"/>
      <c r="U39"/>
      <c r="V39"/>
    </row>
    <row r="40" spans="2:22" x14ac:dyDescent="0.25">
      <c r="B40" s="89">
        <v>1</v>
      </c>
      <c r="C40" s="112" t="s">
        <v>89</v>
      </c>
      <c r="D40" s="114">
        <v>1850000</v>
      </c>
      <c r="E40" s="114">
        <v>92500</v>
      </c>
      <c r="F40" s="114">
        <v>1757500</v>
      </c>
      <c r="G40" s="114">
        <v>11392250</v>
      </c>
      <c r="H40" s="114">
        <v>-11634750</v>
      </c>
      <c r="I40" s="114">
        <v>-9191452.5</v>
      </c>
      <c r="J40" s="114">
        <v>-7191452.5</v>
      </c>
      <c r="K40" s="114">
        <v>-6582565.2173913037</v>
      </c>
      <c r="L40" s="114">
        <v>350000</v>
      </c>
      <c r="M40" s="114">
        <v>15000</v>
      </c>
      <c r="N40" s="114">
        <v>1750</v>
      </c>
      <c r="O40" s="114">
        <v>3000</v>
      </c>
      <c r="P40" s="114">
        <v>20000</v>
      </c>
      <c r="Q40" s="114">
        <v>11000000</v>
      </c>
      <c r="R40" s="114">
        <v>2500</v>
      </c>
      <c r="S40" s="114"/>
      <c r="T40"/>
      <c r="U40"/>
      <c r="V40"/>
    </row>
    <row r="41" spans="2:22" x14ac:dyDescent="0.25">
      <c r="B41" s="89">
        <v>2</v>
      </c>
      <c r="C41" s="112" t="s">
        <v>89</v>
      </c>
      <c r="D41" s="114">
        <v>4912500</v>
      </c>
      <c r="E41" s="114">
        <v>245625</v>
      </c>
      <c r="F41" s="114">
        <v>4666875</v>
      </c>
      <c r="G41" s="114">
        <v>11392250</v>
      </c>
      <c r="H41" s="114">
        <v>-8725375</v>
      </c>
      <c r="I41" s="114">
        <v>-6893046.25</v>
      </c>
      <c r="J41" s="114">
        <v>-4893046.25</v>
      </c>
      <c r="K41" s="114">
        <v>-4099552.2833548896</v>
      </c>
      <c r="L41" s="114">
        <v>350000</v>
      </c>
      <c r="M41" s="114">
        <v>15000</v>
      </c>
      <c r="N41" s="114">
        <v>1750</v>
      </c>
      <c r="O41" s="114">
        <v>3000</v>
      </c>
      <c r="P41" s="114">
        <v>20000</v>
      </c>
      <c r="Q41" s="114">
        <v>11000000</v>
      </c>
      <c r="R41" s="114">
        <v>2500</v>
      </c>
      <c r="S41" s="114"/>
      <c r="T41"/>
      <c r="U41"/>
      <c r="V41"/>
    </row>
    <row r="42" spans="2:22" x14ac:dyDescent="0.25">
      <c r="B42" s="89">
        <v>3</v>
      </c>
      <c r="C42" s="112" t="s">
        <v>89</v>
      </c>
      <c r="D42" s="114">
        <v>8303125</v>
      </c>
      <c r="E42" s="114">
        <v>415156.25</v>
      </c>
      <c r="F42" s="114">
        <v>7887968.75</v>
      </c>
      <c r="G42" s="114">
        <v>11392250</v>
      </c>
      <c r="H42" s="114">
        <v>-5504281.25</v>
      </c>
      <c r="I42" s="114">
        <v>-4348382.1875</v>
      </c>
      <c r="J42" s="114">
        <v>-2348382.1875</v>
      </c>
      <c r="K42" s="114">
        <v>-1800961.5491883839</v>
      </c>
      <c r="L42" s="114">
        <v>350000</v>
      </c>
      <c r="M42" s="114">
        <v>15000</v>
      </c>
      <c r="N42" s="114">
        <v>1750</v>
      </c>
      <c r="O42" s="114">
        <v>3000</v>
      </c>
      <c r="P42" s="114">
        <v>20000</v>
      </c>
      <c r="Q42" s="114">
        <v>11000000</v>
      </c>
      <c r="R42" s="114">
        <v>2500</v>
      </c>
      <c r="S42" s="114"/>
      <c r="T42"/>
      <c r="U42"/>
      <c r="V42"/>
    </row>
    <row r="43" spans="2:22" x14ac:dyDescent="0.25">
      <c r="B43" s="89">
        <v>4</v>
      </c>
      <c r="C43" s="112" t="s">
        <v>89</v>
      </c>
      <c r="D43" s="114">
        <v>29682031.25</v>
      </c>
      <c r="E43" s="114">
        <v>1484101.5625</v>
      </c>
      <c r="F43" s="114">
        <v>28197929.6875</v>
      </c>
      <c r="G43" s="114">
        <v>11392250</v>
      </c>
      <c r="H43" s="114">
        <v>14805679.6875</v>
      </c>
      <c r="I43" s="114">
        <v>11696486.953125</v>
      </c>
      <c r="J43" s="114">
        <v>13696486.953125</v>
      </c>
      <c r="K43" s="114">
        <v>9614426.9840432182</v>
      </c>
      <c r="L43" s="114">
        <v>350000</v>
      </c>
      <c r="M43" s="114">
        <v>15000</v>
      </c>
      <c r="N43" s="114">
        <v>1750</v>
      </c>
      <c r="O43" s="114">
        <v>3000</v>
      </c>
      <c r="P43" s="114">
        <v>20000</v>
      </c>
      <c r="Q43" s="114">
        <v>11000000</v>
      </c>
      <c r="R43" s="114">
        <v>2500</v>
      </c>
      <c r="S43" s="114"/>
      <c r="T43"/>
      <c r="U43"/>
      <c r="V43"/>
    </row>
    <row r="44" spans="2:22" x14ac:dyDescent="0.25">
      <c r="B44" s="89">
        <v>5</v>
      </c>
      <c r="C44" s="112" t="s">
        <v>89</v>
      </c>
      <c r="D44" s="114">
        <v>41784570.3125</v>
      </c>
      <c r="E44" s="114">
        <v>2089228.515625</v>
      </c>
      <c r="F44" s="114">
        <v>39695341.796875</v>
      </c>
      <c r="G44" s="114">
        <v>11392250</v>
      </c>
      <c r="H44" s="114">
        <v>26303091.796875</v>
      </c>
      <c r="I44" s="114">
        <v>20779442.51953125</v>
      </c>
      <c r="J44" s="114">
        <v>22779442.51953125</v>
      </c>
      <c r="K44" s="114">
        <v>14636453.697562939</v>
      </c>
      <c r="L44" s="114">
        <v>350000</v>
      </c>
      <c r="M44" s="114">
        <v>15000</v>
      </c>
      <c r="N44" s="114">
        <v>1750</v>
      </c>
      <c r="O44" s="114">
        <v>3000</v>
      </c>
      <c r="P44" s="114">
        <v>20000</v>
      </c>
      <c r="Q44" s="114">
        <v>11000000</v>
      </c>
      <c r="R44" s="114">
        <v>2500</v>
      </c>
      <c r="S44" s="114"/>
    </row>
    <row r="45" spans="2:22" x14ac:dyDescent="0.25">
      <c r="B45" s="89">
        <v>6</v>
      </c>
      <c r="C45" s="112" t="s">
        <v>89</v>
      </c>
      <c r="D45" s="114">
        <v>69015283.203125</v>
      </c>
      <c r="E45" s="114">
        <v>3450764.16015625</v>
      </c>
      <c r="F45" s="114">
        <v>65564519.04296875</v>
      </c>
      <c r="G45" s="114">
        <v>11392250</v>
      </c>
      <c r="H45" s="114">
        <v>52172269.04296875</v>
      </c>
      <c r="I45" s="114">
        <v>41216092.543945313</v>
      </c>
      <c r="J45" s="114">
        <v>43216092.543945313</v>
      </c>
      <c r="K45" s="114">
        <v>25416563.061700836</v>
      </c>
      <c r="L45" s="114">
        <v>350000</v>
      </c>
      <c r="M45" s="114">
        <v>15000</v>
      </c>
      <c r="N45" s="114">
        <v>1750</v>
      </c>
      <c r="O45" s="114">
        <v>3000</v>
      </c>
      <c r="P45" s="114">
        <v>20000</v>
      </c>
      <c r="Q45" s="114">
        <v>11000000</v>
      </c>
      <c r="R45" s="114">
        <v>2500</v>
      </c>
      <c r="S45" s="114"/>
    </row>
    <row r="46" spans="2:22" x14ac:dyDescent="0.25">
      <c r="B46" s="89">
        <v>7</v>
      </c>
      <c r="C46" s="112" t="s">
        <v>89</v>
      </c>
      <c r="D46" s="114">
        <v>93522924.8046875</v>
      </c>
      <c r="E46" s="114">
        <v>4676146.240234375</v>
      </c>
      <c r="F46" s="114">
        <v>88846778.564453125</v>
      </c>
      <c r="G46" s="114">
        <v>11392250</v>
      </c>
      <c r="H46" s="114">
        <v>75454528.564453125</v>
      </c>
      <c r="I46" s="114">
        <v>59609077.565917969</v>
      </c>
      <c r="J46" s="114">
        <v>61609077.565917969</v>
      </c>
      <c r="K46" s="114">
        <v>33166113.827914573</v>
      </c>
      <c r="L46" s="114">
        <v>350000</v>
      </c>
      <c r="M46" s="114">
        <v>15000</v>
      </c>
      <c r="N46" s="114">
        <v>1750</v>
      </c>
      <c r="O46" s="114">
        <v>3000</v>
      </c>
      <c r="P46" s="114">
        <v>20000</v>
      </c>
      <c r="Q46" s="114">
        <v>11000000</v>
      </c>
      <c r="R46" s="114">
        <v>2500</v>
      </c>
      <c r="S46" s="114"/>
    </row>
    <row r="47" spans="2:22" x14ac:dyDescent="0.25">
      <c r="B47" s="89">
        <v>8</v>
      </c>
      <c r="C47" s="112" t="s">
        <v>89</v>
      </c>
      <c r="D47" s="114">
        <v>108227509.765625</v>
      </c>
      <c r="E47" s="114">
        <v>5411375.48828125</v>
      </c>
      <c r="F47" s="114">
        <v>102816134.27734375</v>
      </c>
      <c r="G47" s="114">
        <v>11392250</v>
      </c>
      <c r="H47" s="114">
        <v>89423884.27734375</v>
      </c>
      <c r="I47" s="114">
        <v>70644868.579101563</v>
      </c>
      <c r="J47" s="114">
        <v>72644868.579101563</v>
      </c>
      <c r="K47" s="114">
        <v>35795907.510998473</v>
      </c>
      <c r="L47" s="114">
        <v>350000</v>
      </c>
      <c r="M47" s="114">
        <v>15000</v>
      </c>
      <c r="N47" s="114">
        <v>1750</v>
      </c>
      <c r="O47" s="114">
        <v>3000</v>
      </c>
      <c r="P47" s="114">
        <v>20000</v>
      </c>
      <c r="Q47" s="114">
        <v>11000000</v>
      </c>
      <c r="R47" s="114">
        <v>2500</v>
      </c>
      <c r="S47" s="114"/>
    </row>
    <row r="49" spans="2:16" x14ac:dyDescent="0.25">
      <c r="H49" s="145"/>
      <c r="I49" s="123"/>
    </row>
    <row r="50" spans="2:16" x14ac:dyDescent="0.25">
      <c r="B50" s="110" t="s">
        <v>80</v>
      </c>
      <c r="C50" s="146" t="s">
        <v>107</v>
      </c>
      <c r="D50" s="111" t="s">
        <v>108</v>
      </c>
      <c r="E50" s="147"/>
      <c r="F50" s="115" t="s">
        <v>80</v>
      </c>
      <c r="G50" t="s">
        <v>88</v>
      </c>
      <c r="I50" s="161"/>
      <c r="J50" s="115" t="s">
        <v>80</v>
      </c>
      <c r="K50" t="s">
        <v>88</v>
      </c>
    </row>
    <row r="51" spans="2:16" x14ac:dyDescent="0.25">
      <c r="B51" s="148" t="s">
        <v>85</v>
      </c>
      <c r="C51" s="151" t="s">
        <v>0</v>
      </c>
      <c r="D51" s="150">
        <v>15000</v>
      </c>
      <c r="E51" s="150"/>
      <c r="I51" s="114"/>
    </row>
    <row r="52" spans="2:16" x14ac:dyDescent="0.25">
      <c r="B52" s="148" t="s">
        <v>85</v>
      </c>
      <c r="C52" s="120" t="s">
        <v>2</v>
      </c>
      <c r="D52" s="153">
        <v>1750</v>
      </c>
      <c r="E52" s="152"/>
      <c r="F52" s="115" t="s">
        <v>90</v>
      </c>
      <c r="G52" t="s">
        <v>109</v>
      </c>
      <c r="H52"/>
      <c r="I52" s="114"/>
      <c r="J52" s="115" t="s">
        <v>90</v>
      </c>
      <c r="K52" t="s">
        <v>110</v>
      </c>
      <c r="L52"/>
      <c r="M52"/>
      <c r="N52"/>
      <c r="O52"/>
      <c r="P52"/>
    </row>
    <row r="53" spans="2:16" x14ac:dyDescent="0.25">
      <c r="B53" s="148" t="s">
        <v>85</v>
      </c>
      <c r="C53" s="154" t="s">
        <v>1</v>
      </c>
      <c r="D53" s="150">
        <v>3000</v>
      </c>
      <c r="E53" s="114"/>
      <c r="F53" s="116" t="s">
        <v>0</v>
      </c>
      <c r="G53" s="107">
        <v>20688</v>
      </c>
      <c r="H53"/>
      <c r="I53" s="114"/>
      <c r="J53" s="116">
        <v>0</v>
      </c>
      <c r="K53" s="107">
        <v>-111197666.66666701</v>
      </c>
      <c r="L53"/>
      <c r="M53"/>
      <c r="N53"/>
      <c r="O53"/>
      <c r="P53"/>
    </row>
    <row r="54" spans="2:16" x14ac:dyDescent="0.25">
      <c r="B54" s="148" t="s">
        <v>85</v>
      </c>
      <c r="C54" s="120" t="s">
        <v>14</v>
      </c>
      <c r="D54" s="153">
        <v>20000</v>
      </c>
      <c r="E54" s="152"/>
      <c r="F54" s="116" t="s">
        <v>2</v>
      </c>
      <c r="G54" s="107">
        <v>2414</v>
      </c>
      <c r="H54"/>
      <c r="I54" s="114"/>
      <c r="J54" s="116">
        <v>1</v>
      </c>
      <c r="K54" s="107">
        <v>38671942.157798156</v>
      </c>
      <c r="L54"/>
      <c r="M54"/>
      <c r="N54"/>
      <c r="O54"/>
      <c r="P54"/>
    </row>
    <row r="55" spans="2:16" x14ac:dyDescent="0.25">
      <c r="B55" s="148" t="s">
        <v>85</v>
      </c>
      <c r="C55" s="120" t="s">
        <v>3</v>
      </c>
      <c r="D55" s="153">
        <v>2500</v>
      </c>
      <c r="E55" s="114"/>
      <c r="F55" s="116" t="s">
        <v>1</v>
      </c>
      <c r="G55" s="107">
        <v>4138</v>
      </c>
      <c r="H55"/>
      <c r="I55" s="114"/>
      <c r="J55" s="116">
        <v>2</v>
      </c>
      <c r="K55" s="107">
        <v>45538665.854726024</v>
      </c>
      <c r="L55"/>
      <c r="M55"/>
      <c r="N55"/>
      <c r="O55"/>
      <c r="P55"/>
    </row>
    <row r="56" spans="2:16" x14ac:dyDescent="0.25">
      <c r="B56" s="123" t="s">
        <v>86</v>
      </c>
      <c r="C56" s="151" t="s">
        <v>0</v>
      </c>
      <c r="D56" s="153">
        <v>16800</v>
      </c>
      <c r="E56" s="152"/>
      <c r="F56" s="116" t="s">
        <v>14</v>
      </c>
      <c r="G56" s="107">
        <v>27584</v>
      </c>
      <c r="H56"/>
      <c r="I56" s="114"/>
      <c r="J56" s="116">
        <v>3</v>
      </c>
      <c r="K56" s="107">
        <v>43079669.691180654</v>
      </c>
      <c r="L56"/>
      <c r="M56"/>
      <c r="N56"/>
      <c r="O56"/>
      <c r="P56"/>
    </row>
    <row r="57" spans="2:16" x14ac:dyDescent="0.25">
      <c r="B57" s="123" t="s">
        <v>86</v>
      </c>
      <c r="C57" s="120" t="s">
        <v>2</v>
      </c>
      <c r="D57" s="150">
        <v>1960</v>
      </c>
      <c r="E57" s="114"/>
      <c r="F57" s="116" t="s">
        <v>3</v>
      </c>
      <c r="G57" s="107">
        <v>3448</v>
      </c>
      <c r="H57"/>
      <c r="I57" s="114"/>
      <c r="J57" s="116">
        <v>4</v>
      </c>
      <c r="K57" s="107">
        <v>40752090.981657788</v>
      </c>
      <c r="L57"/>
      <c r="M57"/>
      <c r="N57"/>
      <c r="O57"/>
      <c r="P57"/>
    </row>
    <row r="58" spans="2:16" x14ac:dyDescent="0.25">
      <c r="B58" s="123" t="s">
        <v>86</v>
      </c>
      <c r="C58" s="154" t="s">
        <v>1</v>
      </c>
      <c r="D58" s="153">
        <v>3360</v>
      </c>
      <c r="E58" s="152"/>
      <c r="F58" s="116" t="s">
        <v>91</v>
      </c>
      <c r="G58" s="107">
        <v>58272</v>
      </c>
      <c r="H58"/>
      <c r="I58" s="128"/>
      <c r="J58" s="116">
        <v>5</v>
      </c>
      <c r="K58" s="107">
        <v>38549021.06994202</v>
      </c>
      <c r="L58"/>
      <c r="M58"/>
      <c r="N58"/>
      <c r="O58"/>
      <c r="P58"/>
    </row>
    <row r="59" spans="2:16" x14ac:dyDescent="0.25">
      <c r="B59" s="123" t="s">
        <v>86</v>
      </c>
      <c r="C59" s="120" t="s">
        <v>14</v>
      </c>
      <c r="D59" s="150">
        <v>22400</v>
      </c>
      <c r="E59" s="114"/>
      <c r="F59"/>
      <c r="G59"/>
      <c r="H59"/>
      <c r="I59" s="129"/>
      <c r="J59" s="116">
        <v>6</v>
      </c>
      <c r="K59" s="107">
        <v>36463904.730538838</v>
      </c>
      <c r="L59"/>
      <c r="M59"/>
      <c r="N59"/>
      <c r="O59"/>
      <c r="P59"/>
    </row>
    <row r="60" spans="2:16" x14ac:dyDescent="0.25">
      <c r="B60" s="123" t="s">
        <v>86</v>
      </c>
      <c r="C60" s="120" t="s">
        <v>3</v>
      </c>
      <c r="D60" s="150">
        <v>2800</v>
      </c>
      <c r="E60" s="152"/>
      <c r="I60" s="128"/>
      <c r="J60" s="116">
        <v>7</v>
      </c>
      <c r="K60" s="107">
        <v>34490522.931759253</v>
      </c>
      <c r="L60"/>
      <c r="M60"/>
      <c r="N60"/>
      <c r="O60"/>
      <c r="P60"/>
    </row>
    <row r="61" spans="2:16" x14ac:dyDescent="0.25">
      <c r="B61" s="156" t="s">
        <v>87</v>
      </c>
      <c r="C61" s="151" t="s">
        <v>0</v>
      </c>
      <c r="D61" s="150">
        <v>18816</v>
      </c>
      <c r="E61" s="114"/>
      <c r="I61" s="129"/>
      <c r="J61" s="116">
        <v>8</v>
      </c>
      <c r="K61" s="107">
        <v>34654741.22076875</v>
      </c>
      <c r="L61"/>
      <c r="M61"/>
      <c r="N61"/>
      <c r="O61"/>
      <c r="P61"/>
    </row>
    <row r="62" spans="2:16" x14ac:dyDescent="0.25">
      <c r="B62" s="156" t="s">
        <v>87</v>
      </c>
      <c r="C62" s="120" t="s">
        <v>2</v>
      </c>
      <c r="D62" s="153">
        <v>2195</v>
      </c>
      <c r="E62" s="152"/>
      <c r="I62" s="128"/>
      <c r="J62" s="116" t="s">
        <v>91</v>
      </c>
      <c r="K62" s="107">
        <v>201002891.97170448</v>
      </c>
      <c r="L62"/>
      <c r="M62"/>
      <c r="N62"/>
      <c r="O62"/>
      <c r="P62"/>
    </row>
    <row r="63" spans="2:16" x14ac:dyDescent="0.25">
      <c r="B63" s="156" t="s">
        <v>87</v>
      </c>
      <c r="C63" s="154" t="s">
        <v>1</v>
      </c>
      <c r="D63" s="155">
        <v>3763</v>
      </c>
      <c r="E63" s="114"/>
      <c r="I63" s="164"/>
      <c r="J63"/>
      <c r="K63"/>
      <c r="L63"/>
      <c r="M63"/>
      <c r="N63"/>
      <c r="O63"/>
      <c r="P63"/>
    </row>
    <row r="64" spans="2:16" x14ac:dyDescent="0.25">
      <c r="B64" s="156" t="s">
        <v>87</v>
      </c>
      <c r="C64" s="120" t="s">
        <v>14</v>
      </c>
      <c r="D64" s="150">
        <v>25088</v>
      </c>
      <c r="E64" s="152"/>
      <c r="F64"/>
      <c r="G64"/>
      <c r="H64"/>
      <c r="I64" s="165"/>
    </row>
    <row r="65" spans="1:19" x14ac:dyDescent="0.25">
      <c r="B65" s="156" t="s">
        <v>87</v>
      </c>
      <c r="C65" s="120" t="s">
        <v>3</v>
      </c>
      <c r="D65" s="150">
        <v>3136</v>
      </c>
      <c r="E65" s="114"/>
      <c r="F65"/>
      <c r="G65"/>
      <c r="H65"/>
      <c r="I65" s="164"/>
    </row>
    <row r="66" spans="1:19" x14ac:dyDescent="0.25">
      <c r="B66" s="156" t="s">
        <v>88</v>
      </c>
      <c r="C66" s="151" t="s">
        <v>0</v>
      </c>
      <c r="D66" s="155">
        <v>20688</v>
      </c>
      <c r="E66" s="152"/>
      <c r="F66" s="115" t="s">
        <v>109</v>
      </c>
      <c r="G66" s="115" t="s">
        <v>92</v>
      </c>
      <c r="H66"/>
      <c r="I66" s="165"/>
    </row>
    <row r="67" spans="1:19" x14ac:dyDescent="0.25">
      <c r="B67" s="156" t="s">
        <v>88</v>
      </c>
      <c r="C67" s="120" t="s">
        <v>2</v>
      </c>
      <c r="D67" s="150">
        <v>2414</v>
      </c>
      <c r="E67" s="114"/>
      <c r="F67" s="115" t="s">
        <v>90</v>
      </c>
      <c r="G67" t="s">
        <v>88</v>
      </c>
      <c r="H67" t="s">
        <v>91</v>
      </c>
      <c r="I67" s="164"/>
    </row>
    <row r="68" spans="1:19" x14ac:dyDescent="0.25">
      <c r="B68" s="156" t="s">
        <v>88</v>
      </c>
      <c r="C68" s="154" t="s">
        <v>1</v>
      </c>
      <c r="D68" s="157">
        <v>4138</v>
      </c>
      <c r="E68" s="149"/>
      <c r="F68" s="116" t="s">
        <v>106</v>
      </c>
      <c r="G68" s="107">
        <v>24000000</v>
      </c>
      <c r="H68" s="107">
        <v>24000000</v>
      </c>
      <c r="I68" s="166"/>
    </row>
    <row r="69" spans="1:19" x14ac:dyDescent="0.25">
      <c r="B69" s="156" t="s">
        <v>88</v>
      </c>
      <c r="C69" s="120" t="s">
        <v>14</v>
      </c>
      <c r="D69" s="153">
        <v>27584</v>
      </c>
      <c r="E69" s="149"/>
      <c r="F69" s="116" t="s">
        <v>105</v>
      </c>
      <c r="G69" s="107">
        <v>482720</v>
      </c>
      <c r="H69" s="107">
        <v>482720</v>
      </c>
      <c r="I69" s="166"/>
      <c r="J69" s="110" t="s">
        <v>69</v>
      </c>
      <c r="K69" s="163" t="s">
        <v>88</v>
      </c>
      <c r="L69" s="163" t="s">
        <v>87</v>
      </c>
      <c r="M69" s="163" t="s">
        <v>85</v>
      </c>
      <c r="N69" s="163" t="s">
        <v>86</v>
      </c>
      <c r="O69" s="163" t="s">
        <v>89</v>
      </c>
      <c r="P69" s="114"/>
      <c r="Q69" s="162" t="s">
        <v>90</v>
      </c>
      <c r="R69" s="89" t="s">
        <v>110</v>
      </c>
    </row>
    <row r="70" spans="1:19" x14ac:dyDescent="0.25">
      <c r="A70" s="131"/>
      <c r="B70" s="156" t="s">
        <v>88</v>
      </c>
      <c r="C70" s="120" t="s">
        <v>3</v>
      </c>
      <c r="D70" s="153">
        <v>3448</v>
      </c>
      <c r="E70" s="152"/>
      <c r="F70" s="116" t="s">
        <v>91</v>
      </c>
      <c r="G70" s="107">
        <v>24482720</v>
      </c>
      <c r="H70" s="107">
        <v>24482720</v>
      </c>
      <c r="I70" s="167"/>
      <c r="J70" s="89">
        <v>0</v>
      </c>
      <c r="K70" s="107">
        <f t="shared" ref="K70:K78" si="0">GETPIVOTDATA("DCF",$J$52,"Year",J70,"Company",K$69)</f>
        <v>-111197666.66666701</v>
      </c>
      <c r="L70" s="107" t="e">
        <f t="shared" ref="L70:L78" si="1">GETPIVOTDATA("DCF",$J$52,"Year",J70,"Company",L$69)</f>
        <v>#REF!</v>
      </c>
      <c r="M70" s="114" t="e">
        <f t="shared" ref="M70:M78" si="2">GETPIVOTDATA("DCF",$J$52,"Year",J70,"Company",M$69)</f>
        <v>#REF!</v>
      </c>
      <c r="N70" s="114" t="e">
        <f t="shared" ref="N70:N78" si="3">GETPIVOTDATA("DCF",$J$52,"Year",J70,"Company",N$69)</f>
        <v>#REF!</v>
      </c>
      <c r="O70" s="114" t="e">
        <f t="shared" ref="O70:O78" si="4">GETPIVOTDATA("DCF",$J$52,"Year",J70,"Company",O$69)</f>
        <v>#REF!</v>
      </c>
      <c r="P70" s="114"/>
      <c r="Q70" s="173">
        <v>0</v>
      </c>
      <c r="R70" s="114">
        <f>GETPIVOTDATA("DCF",$J$52,"Year",0)</f>
        <v>-111197666.66666701</v>
      </c>
    </row>
    <row r="71" spans="1:19" x14ac:dyDescent="0.25">
      <c r="B71" s="123" t="s">
        <v>89</v>
      </c>
      <c r="C71" s="151" t="s">
        <v>0</v>
      </c>
      <c r="D71" s="153">
        <v>15000</v>
      </c>
      <c r="E71" s="158"/>
      <c r="I71" s="168"/>
      <c r="J71">
        <v>1</v>
      </c>
      <c r="K71" s="107">
        <f t="shared" si="0"/>
        <v>38671942.157798156</v>
      </c>
      <c r="L71" s="107" t="e">
        <f t="shared" si="1"/>
        <v>#REF!</v>
      </c>
      <c r="M71" s="114" t="e">
        <f t="shared" si="2"/>
        <v>#REF!</v>
      </c>
      <c r="N71" s="114" t="e">
        <f t="shared" si="3"/>
        <v>#REF!</v>
      </c>
      <c r="O71" s="114" t="e">
        <f t="shared" si="4"/>
        <v>#REF!</v>
      </c>
      <c r="P71" s="114"/>
      <c r="Q71" s="173">
        <v>1</v>
      </c>
      <c r="R71" s="114">
        <f>GETPIVOTDATA("DCF",$J$52,"Year",1)</f>
        <v>38671942.157798156</v>
      </c>
    </row>
    <row r="72" spans="1:19" x14ac:dyDescent="0.25">
      <c r="B72" s="123" t="s">
        <v>89</v>
      </c>
      <c r="C72" s="120" t="s">
        <v>2</v>
      </c>
      <c r="D72" s="150">
        <v>1750</v>
      </c>
      <c r="E72" s="152"/>
      <c r="F72"/>
      <c r="G72"/>
      <c r="H72"/>
      <c r="I72" s="167"/>
      <c r="J72">
        <v>2</v>
      </c>
      <c r="K72" s="107">
        <f t="shared" si="0"/>
        <v>45538665.854726024</v>
      </c>
      <c r="L72" s="107" t="e">
        <f t="shared" si="1"/>
        <v>#REF!</v>
      </c>
      <c r="M72" s="114" t="e">
        <f t="shared" si="2"/>
        <v>#REF!</v>
      </c>
      <c r="N72" s="114" t="e">
        <f t="shared" si="3"/>
        <v>#REF!</v>
      </c>
      <c r="O72" s="114" t="e">
        <f t="shared" si="4"/>
        <v>#REF!</v>
      </c>
      <c r="P72" s="114"/>
      <c r="Q72" s="173">
        <v>2</v>
      </c>
      <c r="R72" s="114">
        <f>GETPIVOTDATA("DCF",$J$52,"Year",2)</f>
        <v>45538665.854726024</v>
      </c>
    </row>
    <row r="73" spans="1:19" x14ac:dyDescent="0.25">
      <c r="B73" s="123" t="s">
        <v>89</v>
      </c>
      <c r="C73" s="154" t="s">
        <v>1</v>
      </c>
      <c r="D73" s="150">
        <v>3000</v>
      </c>
      <c r="E73" s="114"/>
      <c r="F73"/>
      <c r="G73"/>
      <c r="H73"/>
      <c r="I73" s="133"/>
      <c r="J73">
        <v>3</v>
      </c>
      <c r="K73" s="107">
        <f t="shared" si="0"/>
        <v>43079669.691180654</v>
      </c>
      <c r="L73" s="107" t="e">
        <f t="shared" si="1"/>
        <v>#REF!</v>
      </c>
      <c r="M73" s="114" t="e">
        <f t="shared" si="2"/>
        <v>#REF!</v>
      </c>
      <c r="N73" s="114" t="e">
        <f t="shared" si="3"/>
        <v>#REF!</v>
      </c>
      <c r="O73" s="114" t="e">
        <f t="shared" si="4"/>
        <v>#REF!</v>
      </c>
      <c r="P73" s="114"/>
      <c r="Q73" s="173">
        <v>3</v>
      </c>
      <c r="R73" s="114">
        <f>GETPIVOTDATA("DCF",$J$52,"Year",3)</f>
        <v>43079669.691180654</v>
      </c>
    </row>
    <row r="74" spans="1:19" x14ac:dyDescent="0.25">
      <c r="B74" s="123" t="s">
        <v>89</v>
      </c>
      <c r="C74" s="120" t="s">
        <v>14</v>
      </c>
      <c r="D74" s="153">
        <v>20000</v>
      </c>
      <c r="E74" s="149"/>
      <c r="F74"/>
      <c r="G74"/>
      <c r="H74"/>
      <c r="I74" s="169"/>
      <c r="J74">
        <v>4</v>
      </c>
      <c r="K74" s="107">
        <f t="shared" si="0"/>
        <v>40752090.981657788</v>
      </c>
      <c r="L74" s="107" t="e">
        <f t="shared" si="1"/>
        <v>#REF!</v>
      </c>
      <c r="M74" s="114" t="e">
        <f t="shared" si="2"/>
        <v>#REF!</v>
      </c>
      <c r="N74" s="114" t="e">
        <f t="shared" si="3"/>
        <v>#REF!</v>
      </c>
      <c r="O74" s="114" t="e">
        <f t="shared" si="4"/>
        <v>#REF!</v>
      </c>
      <c r="P74" s="114"/>
      <c r="Q74" s="173">
        <v>4</v>
      </c>
      <c r="R74" s="114">
        <f>GETPIVOTDATA("DCF",$J$52,"Year",4)</f>
        <v>40752090.981657788</v>
      </c>
    </row>
    <row r="75" spans="1:19" x14ac:dyDescent="0.25">
      <c r="B75" s="123" t="s">
        <v>89</v>
      </c>
      <c r="C75" s="120" t="s">
        <v>3</v>
      </c>
      <c r="D75" s="150">
        <v>2500</v>
      </c>
      <c r="E75" s="152"/>
      <c r="F75"/>
      <c r="G75"/>
      <c r="H75"/>
      <c r="I75" s="165"/>
      <c r="J75">
        <v>5</v>
      </c>
      <c r="K75" s="107">
        <f t="shared" si="0"/>
        <v>38549021.06994202</v>
      </c>
      <c r="L75" s="107" t="e">
        <f t="shared" si="1"/>
        <v>#REF!</v>
      </c>
      <c r="M75" s="114" t="e">
        <f t="shared" si="2"/>
        <v>#REF!</v>
      </c>
      <c r="N75" s="114" t="e">
        <f t="shared" si="3"/>
        <v>#REF!</v>
      </c>
      <c r="O75" s="114" t="e">
        <f t="shared" si="4"/>
        <v>#REF!</v>
      </c>
      <c r="P75" s="114"/>
      <c r="Q75" s="173">
        <v>5</v>
      </c>
      <c r="R75" s="114">
        <f>GETPIVOTDATA("DCF",$J$52,"Year",5)</f>
        <v>38549021.06994202</v>
      </c>
    </row>
    <row r="76" spans="1:19" x14ac:dyDescent="0.25">
      <c r="B76" s="123" t="s">
        <v>85</v>
      </c>
      <c r="C76" s="120" t="s">
        <v>105</v>
      </c>
      <c r="D76" s="107">
        <v>350000</v>
      </c>
      <c r="E76" s="158"/>
      <c r="F76"/>
      <c r="G76"/>
      <c r="H76"/>
      <c r="I76" s="170"/>
      <c r="J76">
        <v>6</v>
      </c>
      <c r="K76" s="107">
        <f t="shared" si="0"/>
        <v>36463904.730538838</v>
      </c>
      <c r="L76" s="107" t="e">
        <f t="shared" si="1"/>
        <v>#REF!</v>
      </c>
      <c r="M76" s="114" t="e">
        <f t="shared" si="2"/>
        <v>#REF!</v>
      </c>
      <c r="N76" s="114" t="e">
        <f t="shared" si="3"/>
        <v>#REF!</v>
      </c>
      <c r="O76" s="114" t="e">
        <f t="shared" si="4"/>
        <v>#REF!</v>
      </c>
      <c r="P76" s="114"/>
      <c r="Q76" s="173">
        <v>6</v>
      </c>
      <c r="R76" s="114">
        <f>GETPIVOTDATA("DCF",$J$52,"Year",6)</f>
        <v>36463904.730538838</v>
      </c>
    </row>
    <row r="77" spans="1:19" x14ac:dyDescent="0.25">
      <c r="B77" s="123" t="s">
        <v>85</v>
      </c>
      <c r="C77" s="120" t="s">
        <v>106</v>
      </c>
      <c r="D77" s="107">
        <v>15000000</v>
      </c>
      <c r="E77" s="114"/>
      <c r="F77"/>
      <c r="G77"/>
      <c r="H77"/>
      <c r="I77" s="171"/>
      <c r="J77">
        <v>7</v>
      </c>
      <c r="K77" s="107">
        <f t="shared" si="0"/>
        <v>34490522.931759253</v>
      </c>
      <c r="L77" s="107" t="e">
        <f t="shared" si="1"/>
        <v>#REF!</v>
      </c>
      <c r="M77" s="114" t="e">
        <f t="shared" si="2"/>
        <v>#REF!</v>
      </c>
      <c r="N77" s="114" t="e">
        <f t="shared" si="3"/>
        <v>#REF!</v>
      </c>
      <c r="O77" s="114" t="e">
        <f t="shared" si="4"/>
        <v>#REF!</v>
      </c>
      <c r="P77" s="162"/>
      <c r="Q77" s="173">
        <v>7</v>
      </c>
      <c r="R77" s="114">
        <f>GETPIVOTDATA("DCF",$J$52,"Year",7)</f>
        <v>34490522.931759253</v>
      </c>
    </row>
    <row r="78" spans="1:19" x14ac:dyDescent="0.25">
      <c r="B78" s="123" t="s">
        <v>86</v>
      </c>
      <c r="C78" s="120" t="s">
        <v>105</v>
      </c>
      <c r="D78" s="107">
        <v>392000</v>
      </c>
      <c r="E78" s="152"/>
      <c r="F78"/>
      <c r="G78"/>
      <c r="H78" s="150"/>
      <c r="I78" s="167"/>
      <c r="J78">
        <v>8</v>
      </c>
      <c r="K78" s="107">
        <f t="shared" si="0"/>
        <v>34654741.22076875</v>
      </c>
      <c r="L78" s="107" t="e">
        <f t="shared" si="1"/>
        <v>#REF!</v>
      </c>
      <c r="M78" s="114" t="e">
        <f t="shared" si="2"/>
        <v>#REF!</v>
      </c>
      <c r="N78" s="114" t="e">
        <f t="shared" si="3"/>
        <v>#REF!</v>
      </c>
      <c r="O78" s="114" t="e">
        <f t="shared" si="4"/>
        <v>#REF!</v>
      </c>
      <c r="P78" s="106"/>
      <c r="Q78" s="174">
        <v>8</v>
      </c>
      <c r="R78" s="114">
        <f>GETPIVOTDATA("DCF",$J$52,"Year",8)</f>
        <v>34654741.22076875</v>
      </c>
    </row>
    <row r="79" spans="1:19" x14ac:dyDescent="0.25">
      <c r="B79" s="123" t="s">
        <v>86</v>
      </c>
      <c r="C79" s="120" t="s">
        <v>106</v>
      </c>
      <c r="D79" s="107">
        <v>18000000</v>
      </c>
      <c r="E79" s="114"/>
      <c r="F79"/>
      <c r="G79"/>
      <c r="H79" s="153"/>
      <c r="I79" s="171"/>
      <c r="J79"/>
      <c r="K79" s="106"/>
      <c r="L79" s="106"/>
      <c r="M79" s="106"/>
      <c r="N79" s="106"/>
      <c r="O79" s="106"/>
      <c r="P79" s="106"/>
      <c r="Q79" s="106"/>
      <c r="R79"/>
    </row>
    <row r="80" spans="1:19" x14ac:dyDescent="0.25">
      <c r="B80" s="123" t="s">
        <v>87</v>
      </c>
      <c r="C80" s="120" t="s">
        <v>105</v>
      </c>
      <c r="D80" s="107">
        <v>439040</v>
      </c>
      <c r="E80" s="152"/>
      <c r="F80"/>
      <c r="G80"/>
      <c r="H80" s="150"/>
      <c r="I80" s="167"/>
      <c r="J80" t="s">
        <v>80</v>
      </c>
      <c r="K80" t="s">
        <v>111</v>
      </c>
      <c r="L80" t="s">
        <v>112</v>
      </c>
      <c r="M80" t="s">
        <v>113</v>
      </c>
      <c r="N80" t="s">
        <v>114</v>
      </c>
      <c r="O80" t="s">
        <v>115</v>
      </c>
      <c r="P80" t="s">
        <v>116</v>
      </c>
      <c r="Q80" t="s">
        <v>117</v>
      </c>
      <c r="R80" t="s">
        <v>118</v>
      </c>
      <c r="S80" s="89" t="s">
        <v>119</v>
      </c>
    </row>
    <row r="81" spans="1:19" x14ac:dyDescent="0.25">
      <c r="B81" s="123" t="s">
        <v>87</v>
      </c>
      <c r="C81" s="120" t="s">
        <v>106</v>
      </c>
      <c r="D81" s="107">
        <v>21000000</v>
      </c>
      <c r="E81" s="114"/>
      <c r="F81"/>
      <c r="G81"/>
      <c r="H81" s="153"/>
      <c r="I81" s="171"/>
      <c r="J81" t="s">
        <v>88</v>
      </c>
      <c r="K81" s="107">
        <f>GETPIVOTDATA("DCF",$J$52,"Year",Table5[[#Headers],[0]],"Company",$J81)</f>
        <v>-111197666.66666701</v>
      </c>
      <c r="L81" s="107">
        <f>GETPIVOTDATA("DCF",$J$52,"Year",Table5[[#Headers],[1]],"Company",$J81)</f>
        <v>38671942.157798156</v>
      </c>
      <c r="M81" s="107">
        <f>GETPIVOTDATA("DCF",$J$52,"Year",Table5[[#Headers],[2]],"Company",$J81)</f>
        <v>45538665.854726024</v>
      </c>
      <c r="N81" s="107">
        <f>GETPIVOTDATA("DCF",$J$52,"Year",Table5[[#Headers],[3]],"Company",$J81)</f>
        <v>43079669.691180654</v>
      </c>
      <c r="O81" s="107">
        <f>GETPIVOTDATA("DCF",$J$52,"Year",Table5[[#Headers],[4]],"Company",$J81)</f>
        <v>40752090.981657788</v>
      </c>
      <c r="P81" s="107">
        <f>GETPIVOTDATA("DCF",$J$52,"Year",Table5[[#Headers],[5]],"Company",$J81)</f>
        <v>38549021.06994202</v>
      </c>
      <c r="Q81" s="107">
        <f>GETPIVOTDATA("DCF",$J$52,"Year",Table5[[#Headers],[6]],"Company",$J81)</f>
        <v>36463904.730538838</v>
      </c>
      <c r="R81" s="107">
        <f>GETPIVOTDATA("DCF",$J$52,"Year",Table5[[#Headers],[7]],"Company",$J81)</f>
        <v>34490522.931759253</v>
      </c>
      <c r="S81" s="107">
        <f>GETPIVOTDATA("DCF",$J$52,"Year",Table5[[#Headers],[8]],"Company",$J81)</f>
        <v>34654741.22076875</v>
      </c>
    </row>
    <row r="82" spans="1:19" x14ac:dyDescent="0.25">
      <c r="B82" s="123" t="s">
        <v>88</v>
      </c>
      <c r="C82" s="120" t="s">
        <v>105</v>
      </c>
      <c r="D82" s="107">
        <v>482720</v>
      </c>
      <c r="E82" s="152"/>
      <c r="F82"/>
      <c r="G82"/>
      <c r="H82" s="150"/>
      <c r="I82" s="126"/>
      <c r="J82" t="s">
        <v>87</v>
      </c>
      <c r="K82" s="107" t="e">
        <f>GETPIVOTDATA("DCF",$J$52,"Year",Table5[[#Headers],[0]],"Company",$J82)</f>
        <v>#REF!</v>
      </c>
      <c r="L82" s="107" t="e">
        <f>GETPIVOTDATA("DCF",$J$52,"Year",Table5[[#Headers],[1]],"Company",$J82)</f>
        <v>#REF!</v>
      </c>
      <c r="M82" s="107" t="e">
        <f>GETPIVOTDATA("DCF",$J$52,"Year",Table5[[#Headers],[2]],"Company",$J82)</f>
        <v>#REF!</v>
      </c>
      <c r="N82" s="107" t="e">
        <f>GETPIVOTDATA("DCF",$J$52,"Year",Table5[[#Headers],[3]],"Company",$J82)</f>
        <v>#REF!</v>
      </c>
      <c r="O82" s="107" t="e">
        <f>GETPIVOTDATA("DCF",$J$52,"Year",Table5[[#Headers],[4]],"Company",$J82)</f>
        <v>#REF!</v>
      </c>
      <c r="P82" s="107" t="e">
        <f>GETPIVOTDATA("DCF",$J$52,"Year",Table5[[#Headers],[5]],"Company",$J82)</f>
        <v>#REF!</v>
      </c>
      <c r="Q82" s="107" t="e">
        <f>GETPIVOTDATA("DCF",$J$52,"Year",Table5[[#Headers],[6]],"Company",$J82)</f>
        <v>#REF!</v>
      </c>
      <c r="R82" s="107" t="e">
        <f>GETPIVOTDATA("DCF",$J$52,"Year",Table5[[#Headers],[7]],"Company",$J82)</f>
        <v>#REF!</v>
      </c>
      <c r="S82" s="107" t="e">
        <f>GETPIVOTDATA("DCF",$J$52,"Year",Table5[[#Headers],[8]],"Company",$J82)</f>
        <v>#REF!</v>
      </c>
    </row>
    <row r="83" spans="1:19" x14ac:dyDescent="0.25">
      <c r="B83" s="123" t="s">
        <v>88</v>
      </c>
      <c r="C83" s="120" t="s">
        <v>106</v>
      </c>
      <c r="D83" s="107">
        <v>24000000</v>
      </c>
      <c r="E83" s="152"/>
      <c r="F83"/>
      <c r="G83"/>
      <c r="H83" s="150"/>
      <c r="I83" s="128"/>
      <c r="J83" t="s">
        <v>85</v>
      </c>
      <c r="K83" s="107" t="e">
        <f>GETPIVOTDATA("DCF",$J$52,"Year",Table5[[#Headers],[0]],"Company",$J83)</f>
        <v>#REF!</v>
      </c>
      <c r="L83" s="107" t="e">
        <f>GETPIVOTDATA("DCF",$J$52,"Year",Table5[[#Headers],[1]],"Company",$J83)</f>
        <v>#REF!</v>
      </c>
      <c r="M83" s="107" t="e">
        <f>GETPIVOTDATA("DCF",$J$52,"Year",Table5[[#Headers],[2]],"Company",$J83)</f>
        <v>#REF!</v>
      </c>
      <c r="N83" s="107" t="e">
        <f>GETPIVOTDATA("DCF",$J$52,"Year",Table5[[#Headers],[3]],"Company",$J83)</f>
        <v>#REF!</v>
      </c>
      <c r="O83" s="107" t="e">
        <f>GETPIVOTDATA("DCF",$J$52,"Year",Table5[[#Headers],[4]],"Company",$J83)</f>
        <v>#REF!</v>
      </c>
      <c r="P83" s="107" t="e">
        <f>GETPIVOTDATA("DCF",$J$52,"Year",Table5[[#Headers],[5]],"Company",$J83)</f>
        <v>#REF!</v>
      </c>
      <c r="Q83" s="107" t="e">
        <f>GETPIVOTDATA("DCF",$J$52,"Year",Table5[[#Headers],[6]],"Company",$J83)</f>
        <v>#REF!</v>
      </c>
      <c r="R83" s="107" t="e">
        <f>GETPIVOTDATA("DCF",$J$52,"Year",Table5[[#Headers],[7]],"Company",$J83)</f>
        <v>#REF!</v>
      </c>
      <c r="S83" s="107" t="e">
        <f>GETPIVOTDATA("DCF",$J$52,"Year",Table5[[#Headers],[8]],"Company",$J83)</f>
        <v>#REF!</v>
      </c>
    </row>
    <row r="84" spans="1:19" x14ac:dyDescent="0.25">
      <c r="B84" s="123" t="s">
        <v>89</v>
      </c>
      <c r="C84" s="120" t="s">
        <v>105</v>
      </c>
      <c r="D84" s="107">
        <v>350000</v>
      </c>
      <c r="E84" s="114"/>
      <c r="F84"/>
      <c r="G84"/>
      <c r="H84" s="153"/>
      <c r="I84" s="129"/>
      <c r="J84" t="s">
        <v>86</v>
      </c>
      <c r="K84" s="107" t="e">
        <f>GETPIVOTDATA("DCF",$J$52,"Year",Table5[[#Headers],[0]],"Company",$J84)</f>
        <v>#REF!</v>
      </c>
      <c r="L84" s="107" t="e">
        <f>GETPIVOTDATA("DCF",$J$52,"Year",Table5[[#Headers],[1]],"Company",$J84)</f>
        <v>#REF!</v>
      </c>
      <c r="M84" s="107" t="e">
        <f>GETPIVOTDATA("DCF",$J$52,"Year",Table5[[#Headers],[2]],"Company",$J84)</f>
        <v>#REF!</v>
      </c>
      <c r="N84" s="107" t="e">
        <f>GETPIVOTDATA("DCF",$J$52,"Year",Table5[[#Headers],[3]],"Company",$J84)</f>
        <v>#REF!</v>
      </c>
      <c r="O84" s="107" t="e">
        <f>GETPIVOTDATA("DCF",$J$52,"Year",Table5[[#Headers],[4]],"Company",$J84)</f>
        <v>#REF!</v>
      </c>
      <c r="P84" s="107" t="e">
        <f>GETPIVOTDATA("DCF",$J$52,"Year",Table5[[#Headers],[5]],"Company",$J84)</f>
        <v>#REF!</v>
      </c>
      <c r="Q84" s="107" t="e">
        <f>GETPIVOTDATA("DCF",$J$52,"Year",Table5[[#Headers],[6]],"Company",$J84)</f>
        <v>#REF!</v>
      </c>
      <c r="R84" s="107" t="e">
        <f>GETPIVOTDATA("DCF",$J$52,"Year",Table5[[#Headers],[7]],"Company",$J84)</f>
        <v>#REF!</v>
      </c>
      <c r="S84" s="107" t="e">
        <f>GETPIVOTDATA("DCF",$J$52,"Year",Table5[[#Headers],[8]],"Company",$J84)</f>
        <v>#REF!</v>
      </c>
    </row>
    <row r="85" spans="1:19" x14ac:dyDescent="0.25">
      <c r="B85" s="160" t="s">
        <v>89</v>
      </c>
      <c r="C85" s="120" t="s">
        <v>106</v>
      </c>
      <c r="D85" s="107">
        <v>11000000</v>
      </c>
      <c r="E85" s="149"/>
      <c r="F85"/>
      <c r="G85"/>
      <c r="H85" s="155"/>
      <c r="I85" s="130"/>
      <c r="J85" t="s">
        <v>89</v>
      </c>
      <c r="K85" s="107" t="e">
        <f>GETPIVOTDATA("DCF",$J$52,"Year",Table5[[#Headers],[0]],"Company",$J85)</f>
        <v>#REF!</v>
      </c>
      <c r="L85" s="107" t="e">
        <f>GETPIVOTDATA("DCF",$J$52,"Year",Table5[[#Headers],[1]],"Company",$J85)</f>
        <v>#REF!</v>
      </c>
      <c r="M85" s="107" t="e">
        <f>GETPIVOTDATA("DCF",$J$52,"Year",Table5[[#Headers],[2]],"Company",$J85)</f>
        <v>#REF!</v>
      </c>
      <c r="N85" s="107" t="e">
        <f>GETPIVOTDATA("DCF",$J$52,"Year",Table5[[#Headers],[3]],"Company",$J85)</f>
        <v>#REF!</v>
      </c>
      <c r="O85" s="107" t="e">
        <f>GETPIVOTDATA("DCF",$J$52,"Year",Table5[[#Headers],[4]],"Company",$J85)</f>
        <v>#REF!</v>
      </c>
      <c r="P85" s="107" t="e">
        <f>GETPIVOTDATA("DCF",$J$52,"Year",Table5[[#Headers],[5]],"Company",$J85)</f>
        <v>#REF!</v>
      </c>
      <c r="Q85" s="107" t="e">
        <f>GETPIVOTDATA("DCF",$J$52,"Year",Table5[[#Headers],[6]],"Company",$J85)</f>
        <v>#REF!</v>
      </c>
      <c r="R85" s="107" t="e">
        <f>GETPIVOTDATA("DCF",$J$52,"Year",Table5[[#Headers],[7]],"Company",$J85)</f>
        <v>#REF!</v>
      </c>
      <c r="S85" s="107" t="e">
        <f>GETPIVOTDATA("DCF",$J$52,"Year",Table5[[#Headers],[8]],"Company",$J85)</f>
        <v>#REF!</v>
      </c>
    </row>
    <row r="86" spans="1:19" x14ac:dyDescent="0.25">
      <c r="A86" s="131"/>
      <c r="B86" s="156"/>
      <c r="C86" s="159"/>
      <c r="D86" s="114"/>
      <c r="E86" s="152"/>
      <c r="F86"/>
      <c r="G86"/>
      <c r="H86" s="150"/>
      <c r="I86" s="126"/>
      <c r="J86"/>
      <c r="K86"/>
    </row>
    <row r="87" spans="1:19" x14ac:dyDescent="0.25">
      <c r="B87" s="156"/>
      <c r="D87" s="114"/>
      <c r="E87" s="158"/>
      <c r="F87"/>
      <c r="G87"/>
      <c r="H87" s="157"/>
      <c r="I87" s="132"/>
      <c r="J87"/>
      <c r="K87"/>
    </row>
    <row r="88" spans="1:19" x14ac:dyDescent="0.25">
      <c r="E88" s="114"/>
      <c r="F88"/>
      <c r="G88"/>
      <c r="H88" s="157"/>
      <c r="I88" s="129"/>
      <c r="J88"/>
      <c r="K88"/>
    </row>
    <row r="89" spans="1:19" x14ac:dyDescent="0.25">
      <c r="E89" s="152"/>
      <c r="F89"/>
      <c r="G89"/>
      <c r="H89" s="150"/>
      <c r="I89" s="128"/>
      <c r="J89"/>
      <c r="K89"/>
    </row>
    <row r="90" spans="1:19" x14ac:dyDescent="0.25">
      <c r="E90" s="114"/>
      <c r="F90"/>
      <c r="G90"/>
      <c r="H90" s="155"/>
      <c r="I90" s="129"/>
      <c r="J90"/>
      <c r="K90"/>
    </row>
    <row r="91" spans="1:19" x14ac:dyDescent="0.25">
      <c r="E91" s="152"/>
      <c r="F91"/>
      <c r="G91"/>
      <c r="H91" s="150"/>
      <c r="I91" s="128"/>
      <c r="J91"/>
      <c r="K91"/>
    </row>
    <row r="92" spans="1:19" x14ac:dyDescent="0.25">
      <c r="E92" s="114"/>
      <c r="F92"/>
      <c r="G92"/>
      <c r="H92" s="153"/>
      <c r="I92" s="129"/>
      <c r="J92"/>
      <c r="K92"/>
    </row>
    <row r="93" spans="1:19" x14ac:dyDescent="0.25">
      <c r="E93" s="152"/>
      <c r="F93"/>
      <c r="G93"/>
      <c r="H93" s="150"/>
      <c r="I93" s="128"/>
      <c r="J93"/>
      <c r="K93"/>
    </row>
    <row r="94" spans="1:19" x14ac:dyDescent="0.25">
      <c r="E94" s="114"/>
      <c r="F94"/>
      <c r="G94"/>
      <c r="H94" s="153"/>
      <c r="I94" s="129"/>
      <c r="J94"/>
      <c r="K94"/>
    </row>
    <row r="95" spans="1:19" x14ac:dyDescent="0.25">
      <c r="E95" s="152"/>
      <c r="F95"/>
      <c r="G95"/>
      <c r="H95" s="150"/>
      <c r="I95" s="128"/>
      <c r="J95"/>
      <c r="K95"/>
    </row>
    <row r="96" spans="1:19" x14ac:dyDescent="0.25">
      <c r="E96" s="152"/>
      <c r="F96"/>
      <c r="G96"/>
      <c r="H96" s="150"/>
      <c r="I96" s="126"/>
      <c r="J96"/>
      <c r="K96"/>
    </row>
    <row r="97" spans="6:11" x14ac:dyDescent="0.25">
      <c r="F97"/>
      <c r="G97"/>
      <c r="H97" s="136"/>
      <c r="I97" s="137"/>
      <c r="J97"/>
      <c r="K97"/>
    </row>
    <row r="98" spans="6:11" x14ac:dyDescent="0.25">
      <c r="F98"/>
      <c r="G98"/>
      <c r="I98" s="137"/>
      <c r="J98"/>
      <c r="K98"/>
    </row>
    <row r="99" spans="6:11" x14ac:dyDescent="0.25">
      <c r="F99"/>
      <c r="G99"/>
      <c r="I99" s="137"/>
      <c r="J99"/>
      <c r="K99"/>
    </row>
    <row r="100" spans="6:11" x14ac:dyDescent="0.25">
      <c r="F100"/>
      <c r="G100"/>
      <c r="I100" s="137"/>
      <c r="J100"/>
      <c r="K100"/>
    </row>
    <row r="101" spans="6:11" x14ac:dyDescent="0.25">
      <c r="F101"/>
      <c r="G101"/>
      <c r="I101" s="137"/>
      <c r="J101"/>
      <c r="K101"/>
    </row>
    <row r="102" spans="6:11" x14ac:dyDescent="0.25">
      <c r="F102"/>
      <c r="G102"/>
      <c r="I102" s="137"/>
      <c r="J102"/>
      <c r="K102"/>
    </row>
    <row r="103" spans="6:11" x14ac:dyDescent="0.25">
      <c r="F103"/>
      <c r="G103"/>
      <c r="I103" s="137"/>
      <c r="J103"/>
      <c r="K103"/>
    </row>
    <row r="104" spans="6:11" x14ac:dyDescent="0.25">
      <c r="F104"/>
      <c r="G104"/>
      <c r="I104" s="137"/>
      <c r="J104"/>
      <c r="K104"/>
    </row>
    <row r="105" spans="6:11" x14ac:dyDescent="0.25">
      <c r="F105"/>
      <c r="G105"/>
      <c r="I105" s="137"/>
    </row>
    <row r="106" spans="6:11" x14ac:dyDescent="0.25">
      <c r="F106"/>
      <c r="G106"/>
      <c r="I106" s="137"/>
    </row>
    <row r="107" spans="6:11" x14ac:dyDescent="0.25">
      <c r="I107" s="137"/>
    </row>
    <row r="108" spans="6:11" x14ac:dyDescent="0.25">
      <c r="I108" s="137"/>
    </row>
    <row r="109" spans="6:11" x14ac:dyDescent="0.25">
      <c r="I109" s="137"/>
    </row>
    <row r="110" spans="6:11" x14ac:dyDescent="0.25">
      <c r="I110" s="137"/>
    </row>
    <row r="111" spans="6:11" x14ac:dyDescent="0.25">
      <c r="I111" s="137"/>
    </row>
    <row r="112" spans="6:11" x14ac:dyDescent="0.25">
      <c r="I112" s="137"/>
    </row>
    <row r="113" spans="9:9" x14ac:dyDescent="0.25">
      <c r="I113" s="137"/>
    </row>
    <row r="114" spans="9:9" x14ac:dyDescent="0.25">
      <c r="I114" s="137"/>
    </row>
    <row r="115" spans="9:9" x14ac:dyDescent="0.25">
      <c r="I115" s="137"/>
    </row>
    <row r="116" spans="9:9" x14ac:dyDescent="0.25">
      <c r="I116" s="137"/>
    </row>
    <row r="117" spans="9:9" x14ac:dyDescent="0.25">
      <c r="I117" s="137"/>
    </row>
    <row r="118" spans="9:9" x14ac:dyDescent="0.25">
      <c r="I118" s="137"/>
    </row>
    <row r="119" spans="9:9" x14ac:dyDescent="0.25">
      <c r="I119" s="137"/>
    </row>
    <row r="120" spans="9:9" x14ac:dyDescent="0.25">
      <c r="I120" s="137"/>
    </row>
    <row r="121" spans="9:9" x14ac:dyDescent="0.25">
      <c r="I121" s="137"/>
    </row>
    <row r="122" spans="9:9" x14ac:dyDescent="0.25">
      <c r="I122" s="137"/>
    </row>
    <row r="123" spans="9:9" x14ac:dyDescent="0.25">
      <c r="I123" s="137"/>
    </row>
    <row r="124" spans="9:9" x14ac:dyDescent="0.25">
      <c r="I124" s="137"/>
    </row>
    <row r="125" spans="9:9" x14ac:dyDescent="0.25">
      <c r="I125" s="137"/>
    </row>
    <row r="126" spans="9:9" x14ac:dyDescent="0.25">
      <c r="I126" s="137"/>
    </row>
    <row r="127" spans="9:9" x14ac:dyDescent="0.25">
      <c r="I127" s="137"/>
    </row>
    <row r="128" spans="9:9" x14ac:dyDescent="0.25">
      <c r="I128" s="137"/>
    </row>
    <row r="129" spans="9:9" x14ac:dyDescent="0.25">
      <c r="I129" s="137"/>
    </row>
    <row r="130" spans="9:9" x14ac:dyDescent="0.25">
      <c r="I130" s="137"/>
    </row>
    <row r="131" spans="9:9" x14ac:dyDescent="0.25">
      <c r="I131" s="137"/>
    </row>
    <row r="132" spans="9:9" x14ac:dyDescent="0.25">
      <c r="I132" s="137"/>
    </row>
    <row r="133" spans="9:9" x14ac:dyDescent="0.25">
      <c r="I133" s="137"/>
    </row>
    <row r="134" spans="9:9" x14ac:dyDescent="0.25">
      <c r="I134" s="137"/>
    </row>
    <row r="135" spans="9:9" x14ac:dyDescent="0.25">
      <c r="I135" s="137"/>
    </row>
    <row r="136" spans="9:9" x14ac:dyDescent="0.25">
      <c r="I136" s="137"/>
    </row>
    <row r="137" spans="9:9" x14ac:dyDescent="0.25">
      <c r="I137" s="137"/>
    </row>
    <row r="138" spans="9:9" x14ac:dyDescent="0.25">
      <c r="I138" s="137"/>
    </row>
    <row r="139" spans="9:9" x14ac:dyDescent="0.25">
      <c r="I139" s="137"/>
    </row>
    <row r="140" spans="9:9" x14ac:dyDescent="0.25">
      <c r="I140" s="137"/>
    </row>
    <row r="141" spans="9:9" x14ac:dyDescent="0.25">
      <c r="I141" s="137"/>
    </row>
    <row r="142" spans="9:9" x14ac:dyDescent="0.25">
      <c r="I142" s="137"/>
    </row>
    <row r="143" spans="9:9" x14ac:dyDescent="0.25">
      <c r="I143" s="137"/>
    </row>
    <row r="144" spans="9:9" x14ac:dyDescent="0.25">
      <c r="I144" s="137"/>
    </row>
    <row r="145" spans="9:9" x14ac:dyDescent="0.25">
      <c r="I145" s="137"/>
    </row>
    <row r="146" spans="9:9" x14ac:dyDescent="0.25">
      <c r="I146" s="137"/>
    </row>
    <row r="147" spans="9:9" x14ac:dyDescent="0.25">
      <c r="I147" s="137"/>
    </row>
    <row r="148" spans="9:9" x14ac:dyDescent="0.25">
      <c r="I148" s="137"/>
    </row>
    <row r="149" spans="9:9" x14ac:dyDescent="0.25">
      <c r="I149" s="137"/>
    </row>
    <row r="150" spans="9:9" x14ac:dyDescent="0.25">
      <c r="I150" s="137"/>
    </row>
    <row r="151" spans="9:9" x14ac:dyDescent="0.25">
      <c r="I151" s="137"/>
    </row>
    <row r="152" spans="9:9" x14ac:dyDescent="0.25">
      <c r="I152" s="137"/>
    </row>
    <row r="153" spans="9:9" x14ac:dyDescent="0.25">
      <c r="I153" s="137"/>
    </row>
    <row r="154" spans="9:9" x14ac:dyDescent="0.25">
      <c r="I154" s="137"/>
    </row>
    <row r="155" spans="9:9" x14ac:dyDescent="0.25">
      <c r="I155" s="137"/>
    </row>
    <row r="156" spans="9:9" x14ac:dyDescent="0.25">
      <c r="I156" s="137"/>
    </row>
    <row r="157" spans="9:9" x14ac:dyDescent="0.25">
      <c r="I157" s="137"/>
    </row>
    <row r="158" spans="9:9" x14ac:dyDescent="0.25">
      <c r="I158" s="137"/>
    </row>
    <row r="159" spans="9:9" x14ac:dyDescent="0.25">
      <c r="I159" s="136"/>
    </row>
  </sheetData>
  <pageMargins left="0.7" right="0.7" top="0.75" bottom="0.75" header="0.3" footer="0.3"/>
  <pageSetup scale="42" fitToHeight="0" orientation="landscape" horizontalDpi="300" verticalDpi="300" r:id="rId6"/>
  <headerFooter>
    <oddHeader>&amp;C&amp;"-,Bold"&amp;28&amp;A&amp;R&amp;"-,Bold"&amp;28&amp;P</oddHeader>
  </headerFooter>
  <drawing r:id="rId7"/>
  <tableParts count="4">
    <tablePart r:id="rId8"/>
    <tablePart r:id="rId9"/>
    <tablePart r:id="rId10"/>
    <tablePart r:id="rId11"/>
  </tableParts>
  <extLst>
    <ext xmlns:x14="http://schemas.microsoft.com/office/spreadsheetml/2009/9/main" uri="{A8765BA9-456A-4dab-B4F3-ACF838C121DE}">
      <x14:slicerList>
        <x14:slicer r:id="rId1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77D9-95EF-4BC2-8405-75ED88FDE81D}">
  <sheetPr codeName="Sheet10">
    <pageSetUpPr fitToPage="1"/>
  </sheetPr>
  <dimension ref="A1:G49"/>
  <sheetViews>
    <sheetView workbookViewId="0">
      <selection activeCell="W53" sqref="W53"/>
    </sheetView>
  </sheetViews>
  <sheetFormatPr defaultRowHeight="13.2" x14ac:dyDescent="0.25"/>
  <cols>
    <col min="1" max="1" width="13.33203125" bestFit="1" customWidth="1"/>
    <col min="2" max="2" width="16.21875" bestFit="1" customWidth="1"/>
    <col min="3" max="3" width="15.44140625" bestFit="1" customWidth="1"/>
    <col min="4" max="4" width="12.109375" bestFit="1" customWidth="1"/>
    <col min="5" max="5" width="19.44140625" bestFit="1" customWidth="1"/>
    <col min="6" max="6" width="20.44140625" bestFit="1" customWidth="1"/>
    <col min="7" max="10" width="12.109375" bestFit="1" customWidth="1"/>
    <col min="11" max="11" width="12.33203125" bestFit="1" customWidth="1"/>
    <col min="12" max="12" width="25.6640625" bestFit="1" customWidth="1"/>
    <col min="13" max="13" width="17.44140625" bestFit="1" customWidth="1"/>
  </cols>
  <sheetData>
    <row r="1" spans="1:7" x14ac:dyDescent="0.25">
      <c r="B1" s="115" t="s">
        <v>92</v>
      </c>
    </row>
    <row r="2" spans="1:7" x14ac:dyDescent="0.25">
      <c r="B2" t="s">
        <v>93</v>
      </c>
      <c r="C2" t="s">
        <v>95</v>
      </c>
      <c r="D2" t="s">
        <v>97</v>
      </c>
      <c r="E2" t="s">
        <v>94</v>
      </c>
      <c r="F2" t="s">
        <v>96</v>
      </c>
      <c r="G2" t="s">
        <v>98</v>
      </c>
    </row>
    <row r="3" spans="1:7" x14ac:dyDescent="0.25">
      <c r="A3" s="115" t="s">
        <v>90</v>
      </c>
      <c r="B3" t="s">
        <v>88</v>
      </c>
      <c r="C3" t="s">
        <v>88</v>
      </c>
      <c r="D3" t="s">
        <v>88</v>
      </c>
    </row>
    <row r="4" spans="1:7" x14ac:dyDescent="0.25">
      <c r="A4" s="116">
        <v>1</v>
      </c>
      <c r="B4" s="107">
        <v>82000000</v>
      </c>
      <c r="C4" s="107">
        <v>82000000</v>
      </c>
      <c r="D4" s="107">
        <v>37745675.466666698</v>
      </c>
      <c r="E4" s="107">
        <v>82000000</v>
      </c>
      <c r="F4" s="107">
        <v>82000000</v>
      </c>
      <c r="G4" s="107">
        <v>37745675.466666698</v>
      </c>
    </row>
    <row r="5" spans="1:7" x14ac:dyDescent="0.25">
      <c r="A5" s="116">
        <v>2</v>
      </c>
      <c r="B5" s="107">
        <v>98625500</v>
      </c>
      <c r="C5" s="107">
        <v>98625500</v>
      </c>
      <c r="D5" s="107">
        <v>52874880.466666698</v>
      </c>
      <c r="E5" s="107">
        <v>98625500</v>
      </c>
      <c r="F5" s="107">
        <v>98625500</v>
      </c>
      <c r="G5" s="107">
        <v>52874880.466666698</v>
      </c>
    </row>
    <row r="6" spans="1:7" x14ac:dyDescent="0.25">
      <c r="A6" s="116">
        <v>3</v>
      </c>
      <c r="B6" s="107">
        <v>100969265</v>
      </c>
      <c r="C6" s="107">
        <v>100969265</v>
      </c>
      <c r="D6" s="107">
        <v>55007706.616666704</v>
      </c>
      <c r="E6" s="107">
        <v>100969265</v>
      </c>
      <c r="F6" s="107">
        <v>100969265</v>
      </c>
      <c r="G6" s="107">
        <v>55007706.616666704</v>
      </c>
    </row>
    <row r="7" spans="1:7" x14ac:dyDescent="0.25">
      <c r="A7" s="116">
        <v>4</v>
      </c>
      <c r="B7" s="107">
        <v>103383342.95</v>
      </c>
      <c r="C7" s="107">
        <v>103383342.95</v>
      </c>
      <c r="D7" s="107">
        <v>57204517.551166698</v>
      </c>
      <c r="E7" s="107">
        <v>103383342.95</v>
      </c>
      <c r="F7" s="107">
        <v>103383342.95</v>
      </c>
      <c r="G7" s="107">
        <v>57204517.551166698</v>
      </c>
    </row>
    <row r="8" spans="1:7" x14ac:dyDescent="0.25">
      <c r="A8" s="116">
        <v>5</v>
      </c>
      <c r="B8" s="107">
        <v>105869843.2385</v>
      </c>
      <c r="C8" s="107">
        <v>105869843.2385</v>
      </c>
      <c r="D8" s="107">
        <v>59467232.813701704</v>
      </c>
      <c r="E8" s="107">
        <v>105869843.2385</v>
      </c>
      <c r="F8" s="107">
        <v>105869843.2385</v>
      </c>
      <c r="G8" s="107">
        <v>59467232.813701704</v>
      </c>
    </row>
    <row r="9" spans="1:7" x14ac:dyDescent="0.25">
      <c r="A9" s="116">
        <v>6</v>
      </c>
      <c r="B9" s="107">
        <v>108430938.53565501</v>
      </c>
      <c r="C9" s="107">
        <v>108430938.53565501</v>
      </c>
      <c r="D9" s="107">
        <v>61797829.534112751</v>
      </c>
      <c r="E9" s="107">
        <v>108430938.53565501</v>
      </c>
      <c r="F9" s="107">
        <v>108430938.53565501</v>
      </c>
      <c r="G9" s="107">
        <v>61797829.534112751</v>
      </c>
    </row>
    <row r="10" spans="1:7" x14ac:dyDescent="0.25">
      <c r="A10" s="116">
        <v>7</v>
      </c>
      <c r="B10" s="107">
        <v>111068866.691725</v>
      </c>
      <c r="C10" s="107">
        <v>111068866.691725</v>
      </c>
      <c r="D10" s="107">
        <v>64198344.156136453</v>
      </c>
      <c r="E10" s="107">
        <v>111068866.691725</v>
      </c>
      <c r="F10" s="107">
        <v>111068866.691725</v>
      </c>
      <c r="G10" s="107">
        <v>64198344.156136453</v>
      </c>
    </row>
    <row r="11" spans="1:7" x14ac:dyDescent="0.25">
      <c r="A11" s="116">
        <v>8</v>
      </c>
      <c r="B11" s="107">
        <v>119417340.05</v>
      </c>
      <c r="C11" s="107">
        <v>119417340.05</v>
      </c>
      <c r="D11" s="107">
        <v>71795454.9121667</v>
      </c>
      <c r="E11" s="107">
        <v>119417340.05</v>
      </c>
      <c r="F11" s="107">
        <v>119417340.05</v>
      </c>
      <c r="G11" s="107">
        <v>71795454.9121667</v>
      </c>
    </row>
    <row r="12" spans="1:7" x14ac:dyDescent="0.25">
      <c r="A12" s="116" t="s">
        <v>91</v>
      </c>
      <c r="B12" s="107">
        <v>829765096.46587992</v>
      </c>
      <c r="C12" s="107">
        <v>829765096.46587992</v>
      </c>
      <c r="D12" s="107">
        <v>460091641.51728439</v>
      </c>
      <c r="E12" s="107">
        <v>829765096.46587992</v>
      </c>
      <c r="F12" s="107">
        <v>829765096.46587992</v>
      </c>
      <c r="G12" s="107">
        <v>460091641.51728439</v>
      </c>
    </row>
    <row r="14" spans="1:7" x14ac:dyDescent="0.25">
      <c r="A14" s="142"/>
      <c r="B14" s="143"/>
      <c r="C14" s="144"/>
    </row>
    <row r="15" spans="1:7" x14ac:dyDescent="0.25">
      <c r="A15" s="134"/>
      <c r="B15" s="124"/>
      <c r="C15" s="125"/>
    </row>
    <row r="16" spans="1:7" x14ac:dyDescent="0.25">
      <c r="A16" s="134"/>
      <c r="B16" s="118"/>
      <c r="C16" s="128"/>
    </row>
    <row r="17" spans="1:3" x14ac:dyDescent="0.25">
      <c r="A17" s="134"/>
      <c r="B17" s="117"/>
      <c r="C17" s="129"/>
    </row>
    <row r="18" spans="1:3" x14ac:dyDescent="0.25">
      <c r="A18" s="134"/>
      <c r="B18" s="119"/>
      <c r="C18" s="128"/>
    </row>
    <row r="19" spans="1:3" x14ac:dyDescent="0.25">
      <c r="A19" s="134"/>
      <c r="B19" s="117"/>
      <c r="C19" s="129"/>
    </row>
    <row r="20" spans="1:3" x14ac:dyDescent="0.25">
      <c r="A20" s="134"/>
      <c r="B20" s="119"/>
      <c r="C20" s="128"/>
    </row>
    <row r="21" spans="1:3" x14ac:dyDescent="0.25">
      <c r="A21" s="134"/>
      <c r="B21" s="117"/>
      <c r="C21" s="129"/>
    </row>
    <row r="22" spans="1:3" x14ac:dyDescent="0.25">
      <c r="A22" s="138"/>
      <c r="B22" s="124"/>
      <c r="C22" s="128"/>
    </row>
    <row r="23" spans="1:3" x14ac:dyDescent="0.25">
      <c r="A23" s="138"/>
      <c r="B23" s="118"/>
      <c r="C23" s="129"/>
    </row>
    <row r="24" spans="1:3" x14ac:dyDescent="0.25">
      <c r="A24" s="138"/>
      <c r="B24" s="117"/>
      <c r="C24" s="128"/>
    </row>
    <row r="25" spans="1:3" x14ac:dyDescent="0.25">
      <c r="A25" s="138"/>
      <c r="B25" s="119"/>
      <c r="C25" s="129"/>
    </row>
    <row r="26" spans="1:3" x14ac:dyDescent="0.25">
      <c r="A26" s="138"/>
      <c r="B26" s="117"/>
      <c r="C26" s="128"/>
    </row>
    <row r="27" spans="1:3" x14ac:dyDescent="0.25">
      <c r="A27" s="138"/>
      <c r="B27" s="119"/>
      <c r="C27" s="129"/>
    </row>
    <row r="28" spans="1:3" x14ac:dyDescent="0.25">
      <c r="A28" s="138"/>
      <c r="B28" s="117"/>
      <c r="C28" s="128"/>
    </row>
    <row r="29" spans="1:3" x14ac:dyDescent="0.25">
      <c r="A29" s="139"/>
      <c r="B29" s="124"/>
      <c r="C29" s="129"/>
    </row>
    <row r="30" spans="1:3" x14ac:dyDescent="0.25">
      <c r="A30" s="139"/>
      <c r="B30" s="118"/>
      <c r="C30" s="128"/>
    </row>
    <row r="31" spans="1:3" x14ac:dyDescent="0.25">
      <c r="A31" s="139"/>
      <c r="B31" s="117"/>
      <c r="C31" s="129"/>
    </row>
    <row r="32" spans="1:3" x14ac:dyDescent="0.25">
      <c r="A32" s="139"/>
      <c r="B32" s="119"/>
      <c r="C32" s="130"/>
    </row>
    <row r="33" spans="1:3" x14ac:dyDescent="0.25">
      <c r="A33" s="139"/>
      <c r="B33" s="117"/>
      <c r="C33" s="126"/>
    </row>
    <row r="34" spans="1:3" x14ac:dyDescent="0.25">
      <c r="A34" s="139"/>
      <c r="B34" s="119"/>
      <c r="C34" s="132"/>
    </row>
    <row r="35" spans="1:3" x14ac:dyDescent="0.25">
      <c r="A35" s="139"/>
      <c r="B35" s="117"/>
      <c r="C35" s="126"/>
    </row>
    <row r="36" spans="1:3" x14ac:dyDescent="0.25">
      <c r="A36" s="140"/>
      <c r="B36" s="124"/>
      <c r="C36" s="133"/>
    </row>
    <row r="37" spans="1:3" x14ac:dyDescent="0.25">
      <c r="A37" s="140"/>
      <c r="B37" s="118"/>
      <c r="C37" s="127"/>
    </row>
    <row r="38" spans="1:3" x14ac:dyDescent="0.25">
      <c r="A38" s="140"/>
      <c r="B38" s="117"/>
      <c r="C38" s="128"/>
    </row>
    <row r="39" spans="1:3" x14ac:dyDescent="0.25">
      <c r="A39" s="140"/>
      <c r="B39" s="119"/>
      <c r="C39" s="135"/>
    </row>
    <row r="40" spans="1:3" x14ac:dyDescent="0.25">
      <c r="A40" s="140"/>
      <c r="B40" s="117"/>
      <c r="C40" s="133"/>
    </row>
    <row r="41" spans="1:3" x14ac:dyDescent="0.25">
      <c r="A41" s="140"/>
      <c r="B41" s="119"/>
      <c r="C41" s="126"/>
    </row>
    <row r="42" spans="1:3" x14ac:dyDescent="0.25">
      <c r="A42" s="140"/>
      <c r="B42" s="117"/>
      <c r="C42" s="133"/>
    </row>
    <row r="43" spans="1:3" x14ac:dyDescent="0.25">
      <c r="A43" s="141"/>
      <c r="B43" s="124"/>
      <c r="C43" s="126"/>
    </row>
    <row r="44" spans="1:3" x14ac:dyDescent="0.25">
      <c r="A44" s="141"/>
      <c r="B44" s="118"/>
      <c r="C44" s="133"/>
    </row>
    <row r="45" spans="1:3" x14ac:dyDescent="0.25">
      <c r="A45" s="141"/>
      <c r="B45" s="117"/>
      <c r="C45" s="126"/>
    </row>
    <row r="46" spans="1:3" x14ac:dyDescent="0.25">
      <c r="A46" s="141"/>
      <c r="B46" s="119"/>
      <c r="C46" s="128"/>
    </row>
    <row r="47" spans="1:3" x14ac:dyDescent="0.25">
      <c r="A47" s="141"/>
      <c r="B47" s="117"/>
      <c r="C47" s="129"/>
    </row>
    <row r="48" spans="1:3" x14ac:dyDescent="0.25">
      <c r="A48" s="141"/>
      <c r="B48" s="119"/>
      <c r="C48" s="130"/>
    </row>
    <row r="49" spans="1:3" x14ac:dyDescent="0.25">
      <c r="A49" s="141"/>
      <c r="B49" s="117"/>
      <c r="C49" s="126"/>
    </row>
  </sheetData>
  <pageMargins left="0.7" right="0.7" top="0.75" bottom="0.75" header="0.3" footer="0.3"/>
  <pageSetup scale="84" fitToHeight="0" orientation="portrait" horizontalDpi="300" verticalDpi="300" r:id="rId2"/>
  <headerFooter>
    <oddHeader>&amp;C&amp;"-,Bold"&amp;28&amp;A&amp;R&amp;"-,Bold"&amp;28&amp;P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Exe Sum &amp; Dashboard</vt:lpstr>
      <vt:lpstr>Memo</vt:lpstr>
      <vt:lpstr>Capital Requirements</vt:lpstr>
      <vt:lpstr>Family</vt:lpstr>
      <vt:lpstr>RPG</vt:lpstr>
      <vt:lpstr>Craft</vt:lpstr>
      <vt:lpstr>Action</vt:lpstr>
      <vt:lpstr>Starting New</vt:lpstr>
      <vt:lpstr>Chart Data1</vt:lpstr>
      <vt:lpstr>Chart Data2</vt:lpstr>
      <vt:lpstr>Action!Print_Area</vt:lpstr>
      <vt:lpstr>'Capital Requirements'!Print_Area</vt:lpstr>
      <vt:lpstr>'Chart Data1'!Print_Area</vt:lpstr>
      <vt:lpstr>'Chart Data2'!Print_Area</vt:lpstr>
      <vt:lpstr>Craft!Print_Area</vt:lpstr>
      <vt:lpstr>'Exe Sum &amp; Dashboard'!Print_Area</vt:lpstr>
      <vt:lpstr>Family!Print_Area</vt:lpstr>
      <vt:lpstr>Memo!Print_Area</vt:lpstr>
      <vt:lpstr>RPG!Print_Area</vt:lpstr>
      <vt:lpstr>'Starting New'!Print_Area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MNugent</dc:creator>
  <cp:lastModifiedBy>MJ Sanacore</cp:lastModifiedBy>
  <cp:lastPrinted>2025-04-07T01:36:56Z</cp:lastPrinted>
  <dcterms:created xsi:type="dcterms:W3CDTF">2003-08-25T17:40:55Z</dcterms:created>
  <dcterms:modified xsi:type="dcterms:W3CDTF">2025-11-13T18:02:18Z</dcterms:modified>
</cp:coreProperties>
</file>