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autoCompressPictures="0"/>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13_ncr:1_{D4CDF859-202D-40C3-943D-4F971893D122}" xr6:coauthVersionLast="47" xr6:coauthVersionMax="47" xr10:uidLastSave="{00000000-0000-0000-0000-000000000000}"/>
  <bookViews>
    <workbookView xWindow="-9550" yWindow="-21710" windowWidth="38620" windowHeight="21100" firstSheet="1" xr2:uid="{00000000-000D-0000-FFFF-FFFF00000000}"/>
  </bookViews>
  <sheets>
    <sheet name="Exe Sum &amp; Dashboard" sheetId="7" r:id="rId1"/>
    <sheet name="Memo" sheetId="4" r:id="rId2"/>
    <sheet name="Stock Pivot Table" sheetId="10" r:id="rId3"/>
    <sheet name="Sector Pivot Table" sheetId="16" r:id="rId4"/>
    <sheet name="Portfolio" sheetId="1" r:id="rId5"/>
    <sheet name="Sectors &amp; Company Names" sheetId="2" r:id="rId6"/>
    <sheet name="RUA" sheetId="9" r:id="rId7"/>
  </sheets>
  <definedNames>
    <definedName name="_xlnm._FilterDatabase" localSheetId="4" hidden="1">Portfolio!$A$8:$M$308</definedName>
    <definedName name="_xlchart.v2.0" hidden="1">'Stock Pivot Table'!$H$24:$H$28</definedName>
    <definedName name="_xlchart.v2.1" hidden="1">'Stock Pivot Table'!$I$23</definedName>
    <definedName name="_xlchart.v2.2" hidden="1">'Stock Pivot Table'!$I$24:$I$28</definedName>
    <definedName name="_xlchart.v2.3" hidden="1">'Sector Pivot Table'!$H$5:$H$9</definedName>
    <definedName name="_xlchart.v2.4" hidden="1">'Sector Pivot Table'!$I$3:$I$4</definedName>
    <definedName name="_xlchart.v2.5" hidden="1">'Sector Pivot Table'!$I$5:$I$9</definedName>
    <definedName name="_xlchart.v2.6" hidden="1">'Stock Pivot Table'!$H$6:$H$10</definedName>
    <definedName name="_xlchart.v2.7" hidden="1">'Stock Pivot Table'!$I$5</definedName>
    <definedName name="_xlchart.v2.8" hidden="1">'Stock Pivot Table'!$I$6:$I$10</definedName>
    <definedName name="_xlnm.Print_Area" localSheetId="1">Memo!$B$2:$M$82</definedName>
    <definedName name="_xlnm.Print_Area" localSheetId="4">Portfolio!$A$1:$M$307</definedName>
    <definedName name="_xlnm.Print_Area" localSheetId="6">RUA!$A$1:$F$252</definedName>
    <definedName name="_xlnm.Print_Area" localSheetId="3">'Sector Pivot Table'!$H$3:$I$33,'Sector Pivot Table'!$A$3:$F$214</definedName>
    <definedName name="_xlnm.Print_Area" localSheetId="5">'Sectors &amp; Company Names'!$A$1:$C$2814</definedName>
    <definedName name="_xlnm.Print_Area" localSheetId="2">'Stock Pivot Table'!$H$4:$I$37,'Stock Pivot Table'!$A$3:$F$607</definedName>
    <definedName name="_xlnm.Print_Titles" localSheetId="4">Portfolio!$8:$8</definedName>
    <definedName name="_xlnm.Print_Titles" localSheetId="6">RUA!$1:$1</definedName>
    <definedName name="_xlnm.Print_Titles" localSheetId="3">'Sector Pivot Table'!$3:$3</definedName>
    <definedName name="_xlnm.Print_Titles" localSheetId="5">'Sectors &amp; Company Names'!$1:$1</definedName>
    <definedName name="_xlnm.Print_Titles" localSheetId="2">'Stock Pivot Table'!$4:$4</definedName>
    <definedName name="Top5Stocks">'Stock Pivot Table'!$F$5:$F$9</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16" l="1" a="1"/>
  <c r="I29" i="16" s="1"/>
  <c r="H29" i="16" a="1"/>
  <c r="H29" i="16" s="1"/>
  <c r="I21" i="16" a="1"/>
  <c r="I21" i="16" s="1"/>
  <c r="H21" i="16" a="1"/>
  <c r="H21" i="16" s="1"/>
  <c r="I13" i="16" a="1"/>
  <c r="I13" i="16" s="1"/>
  <c r="H13" i="16" a="1"/>
  <c r="H13" i="16" s="1"/>
  <c r="I5" i="16" a="1"/>
  <c r="I5" i="16" s="1"/>
  <c r="H5" i="16" a="1"/>
  <c r="H5" i="16" s="1"/>
  <c r="I33" i="10" a="1"/>
  <c r="I33" i="10" s="1"/>
  <c r="I24" i="10" a="1"/>
  <c r="I24" i="10" s="1"/>
  <c r="L70" i="1"/>
  <c r="F70" i="1"/>
  <c r="H33" i="10" a="1"/>
  <c r="H33" i="10" s="1"/>
  <c r="H24" i="10" a="1"/>
  <c r="H24" i="10" s="1"/>
  <c r="I15" i="10" a="1"/>
  <c r="I15" i="10" s="1"/>
  <c r="H15" i="10" a="1"/>
  <c r="H15" i="10" s="1"/>
  <c r="L73" i="1"/>
  <c r="I6" i="10" a="1"/>
  <c r="I6" i="10" s="1"/>
  <c r="H6" i="10" a="1"/>
  <c r="H6" i="10" s="1"/>
  <c r="L9" i="1"/>
  <c r="C6" i="1"/>
  <c r="C5" i="1"/>
  <c r="A21" i="1" l="1"/>
  <c r="E9" i="1"/>
  <c r="A10" i="1"/>
  <c r="A11" i="1"/>
  <c r="A12" i="1"/>
  <c r="A13" i="1"/>
  <c r="A14" i="1"/>
  <c r="A15" i="1"/>
  <c r="A16" i="1"/>
  <c r="A17" i="1"/>
  <c r="A18" i="1"/>
  <c r="A19" i="1"/>
  <c r="A20"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9" i="1"/>
  <c r="E11" i="1"/>
  <c r="E12" i="1"/>
  <c r="E13" i="1"/>
  <c r="E14" i="1"/>
  <c r="E15" i="1"/>
  <c r="E16" i="1"/>
  <c r="E17" i="1"/>
  <c r="E18" i="1"/>
  <c r="E20" i="1"/>
  <c r="E21" i="1"/>
  <c r="E24" i="1"/>
  <c r="E25" i="1"/>
  <c r="E26" i="1"/>
  <c r="E27" i="1"/>
  <c r="E28" i="1"/>
  <c r="E29" i="1"/>
  <c r="E30" i="1"/>
  <c r="E31" i="1"/>
  <c r="E32" i="1"/>
  <c r="E34" i="1"/>
  <c r="E36" i="1"/>
  <c r="E70" i="1"/>
  <c r="E42" i="1"/>
  <c r="E205" i="1"/>
  <c r="E37" i="1"/>
  <c r="E38" i="1"/>
  <c r="E217" i="1"/>
  <c r="E39" i="1"/>
  <c r="E40" i="1"/>
  <c r="E41" i="1"/>
  <c r="E43" i="1"/>
  <c r="E44" i="1"/>
  <c r="E45" i="1"/>
  <c r="E46" i="1"/>
  <c r="E47" i="1"/>
  <c r="E48" i="1"/>
  <c r="E49" i="1"/>
  <c r="E50" i="1"/>
  <c r="E23" i="1"/>
  <c r="E51" i="1"/>
  <c r="E52" i="1"/>
  <c r="E54" i="1"/>
  <c r="E55" i="1"/>
  <c r="E56" i="1"/>
  <c r="E57" i="1"/>
  <c r="E58" i="1"/>
  <c r="E59" i="1"/>
  <c r="E60" i="1"/>
  <c r="E61" i="1"/>
  <c r="E62" i="1"/>
  <c r="E63" i="1"/>
  <c r="E64" i="1"/>
  <c r="E65" i="1"/>
  <c r="E19" i="1"/>
  <c r="E66" i="1"/>
  <c r="E278" i="1"/>
  <c r="E302" i="1"/>
  <c r="E67" i="1"/>
  <c r="E68" i="1"/>
  <c r="E74" i="1"/>
  <c r="E33" i="1"/>
  <c r="E69" i="1"/>
  <c r="E71" i="1"/>
  <c r="E72" i="1"/>
  <c r="E73" i="1"/>
  <c r="E75" i="1"/>
  <c r="E77" i="1"/>
  <c r="E78" i="1"/>
  <c r="E79" i="1"/>
  <c r="E80" i="1"/>
  <c r="E81" i="1"/>
  <c r="E82" i="1"/>
  <c r="E83" i="1"/>
  <c r="E84" i="1"/>
  <c r="E86" i="1"/>
  <c r="E87" i="1"/>
  <c r="E88" i="1"/>
  <c r="E89" i="1"/>
  <c r="E90" i="1"/>
  <c r="E91" i="1"/>
  <c r="E92" i="1"/>
  <c r="E93" i="1"/>
  <c r="E94" i="1"/>
  <c r="E95" i="1"/>
  <c r="E97" i="1"/>
  <c r="E98" i="1"/>
  <c r="E99" i="1"/>
  <c r="E100" i="1"/>
  <c r="E101" i="1"/>
  <c r="E102" i="1"/>
  <c r="E103" i="1"/>
  <c r="E104" i="1"/>
  <c r="E105" i="1"/>
  <c r="E106" i="1"/>
  <c r="E107" i="1"/>
  <c r="E108" i="1"/>
  <c r="E109" i="1"/>
  <c r="E112" i="1"/>
  <c r="E113" i="1"/>
  <c r="E114" i="1"/>
  <c r="E115" i="1"/>
  <c r="E116" i="1"/>
  <c r="E117" i="1"/>
  <c r="E174" i="1"/>
  <c r="E118" i="1"/>
  <c r="E119" i="1"/>
  <c r="E121" i="1"/>
  <c r="E76" i="1"/>
  <c r="E122" i="1"/>
  <c r="E123" i="1"/>
  <c r="E124" i="1"/>
  <c r="E125" i="1"/>
  <c r="E126" i="1"/>
  <c r="E127" i="1"/>
  <c r="E128" i="1"/>
  <c r="E129" i="1"/>
  <c r="E130" i="1"/>
  <c r="E131" i="1"/>
  <c r="E132" i="1"/>
  <c r="E133" i="1"/>
  <c r="E135" i="1"/>
  <c r="E137" i="1"/>
  <c r="E138" i="1"/>
  <c r="E139" i="1"/>
  <c r="E140" i="1"/>
  <c r="E141" i="1"/>
  <c r="E142" i="1"/>
  <c r="E143" i="1"/>
  <c r="E144" i="1"/>
  <c r="E145" i="1"/>
  <c r="E147" i="1"/>
  <c r="E148" i="1"/>
  <c r="E149" i="1"/>
  <c r="E150" i="1"/>
  <c r="E151" i="1"/>
  <c r="E152" i="1"/>
  <c r="E153" i="1"/>
  <c r="E154" i="1"/>
  <c r="E155" i="1"/>
  <c r="E157" i="1"/>
  <c r="E158" i="1"/>
  <c r="E173" i="1"/>
  <c r="E159" i="1"/>
  <c r="E160" i="1"/>
  <c r="E161" i="1"/>
  <c r="E162" i="1"/>
  <c r="E163" i="1"/>
  <c r="E164" i="1"/>
  <c r="E165" i="1"/>
  <c r="E166" i="1"/>
  <c r="E167" i="1"/>
  <c r="E168" i="1"/>
  <c r="E169" i="1"/>
  <c r="E170" i="1"/>
  <c r="E171" i="1"/>
  <c r="E172" i="1"/>
  <c r="E176" i="1"/>
  <c r="E177" i="1"/>
  <c r="E178" i="1"/>
  <c r="E179" i="1"/>
  <c r="E180" i="1"/>
  <c r="E181" i="1"/>
  <c r="E182" i="1"/>
  <c r="E183" i="1"/>
  <c r="E134" i="1"/>
  <c r="E184" i="1"/>
  <c r="E185" i="1"/>
  <c r="E186" i="1"/>
  <c r="E187" i="1"/>
  <c r="E188" i="1"/>
  <c r="E189" i="1"/>
  <c r="E190" i="1"/>
  <c r="E191" i="1"/>
  <c r="E192" i="1"/>
  <c r="E193" i="1"/>
  <c r="E194" i="1"/>
  <c r="E195" i="1"/>
  <c r="E196" i="1"/>
  <c r="E197" i="1"/>
  <c r="E198" i="1"/>
  <c r="E199" i="1"/>
  <c r="E200" i="1"/>
  <c r="E201" i="1"/>
  <c r="E202" i="1"/>
  <c r="E203" i="1"/>
  <c r="E204" i="1"/>
  <c r="E207" i="1"/>
  <c r="E208" i="1"/>
  <c r="E209" i="1"/>
  <c r="E210" i="1"/>
  <c r="E212" i="1"/>
  <c r="E213" i="1"/>
  <c r="E211" i="1"/>
  <c r="E214" i="1"/>
  <c r="E215" i="1"/>
  <c r="E216" i="1"/>
  <c r="E218" i="1"/>
  <c r="E219" i="1"/>
  <c r="E220" i="1"/>
  <c r="E221" i="1"/>
  <c r="E222" i="1"/>
  <c r="E223" i="1"/>
  <c r="E224" i="1"/>
  <c r="E226" i="1"/>
  <c r="E228" i="1"/>
  <c r="E229" i="1"/>
  <c r="E230" i="1"/>
  <c r="E231" i="1"/>
  <c r="E232" i="1"/>
  <c r="E233" i="1"/>
  <c r="E234" i="1"/>
  <c r="E235" i="1"/>
  <c r="E236" i="1"/>
  <c r="E237" i="1"/>
  <c r="E238" i="1"/>
  <c r="E239" i="1"/>
  <c r="E240" i="1"/>
  <c r="E242" i="1"/>
  <c r="E243" i="1"/>
  <c r="E244" i="1"/>
  <c r="E245" i="1"/>
  <c r="E246" i="1"/>
  <c r="E225" i="1"/>
  <c r="E247" i="1"/>
  <c r="E248" i="1"/>
  <c r="E249" i="1"/>
  <c r="E250" i="1"/>
  <c r="E251" i="1"/>
  <c r="E252" i="1"/>
  <c r="E253" i="1"/>
  <c r="E254" i="1"/>
  <c r="E256" i="1"/>
  <c r="E257" i="1"/>
  <c r="E258" i="1"/>
  <c r="E259" i="1"/>
  <c r="E260" i="1"/>
  <c r="E262" i="1"/>
  <c r="E263" i="1"/>
  <c r="E264" i="1"/>
  <c r="E265" i="1"/>
  <c r="E266" i="1"/>
  <c r="E275" i="1"/>
  <c r="E267" i="1"/>
  <c r="E268" i="1"/>
  <c r="E269" i="1"/>
  <c r="E270" i="1"/>
  <c r="E271" i="1"/>
  <c r="E272" i="1"/>
  <c r="E273" i="1"/>
  <c r="E274" i="1"/>
  <c r="E276" i="1"/>
  <c r="E277" i="1"/>
  <c r="E279" i="1"/>
  <c r="E280" i="1"/>
  <c r="E281" i="1"/>
  <c r="E282" i="1"/>
  <c r="E283" i="1"/>
  <c r="E284" i="1"/>
  <c r="E285" i="1"/>
  <c r="E286" i="1"/>
  <c r="E288" i="1"/>
  <c r="E289" i="1"/>
  <c r="E290" i="1"/>
  <c r="E291" i="1"/>
  <c r="E292" i="1"/>
  <c r="E293" i="1"/>
  <c r="E294" i="1"/>
  <c r="E295" i="1"/>
  <c r="E297" i="1"/>
  <c r="E298" i="1"/>
  <c r="E299" i="1"/>
  <c r="E300" i="1"/>
  <c r="E301" i="1"/>
  <c r="E110" i="1"/>
  <c r="E303" i="1"/>
  <c r="E304" i="1"/>
  <c r="E305" i="1"/>
  <c r="E306" i="1"/>
  <c r="E22" i="1"/>
  <c r="E35" i="1"/>
  <c r="E53" i="1"/>
  <c r="E85" i="1"/>
  <c r="E96" i="1"/>
  <c r="E111" i="1"/>
  <c r="E120" i="1"/>
  <c r="E136" i="1"/>
  <c r="E307" i="1"/>
  <c r="E146" i="1"/>
  <c r="E156" i="1"/>
  <c r="E175" i="1"/>
  <c r="E227" i="1"/>
  <c r="E241" i="1"/>
  <c r="E261" i="1"/>
  <c r="E255" i="1"/>
  <c r="E287" i="1"/>
  <c r="E296" i="1"/>
  <c r="E206" i="1"/>
  <c r="E10" i="1"/>
  <c r="L11" i="1"/>
  <c r="L12" i="1"/>
  <c r="L13" i="1"/>
  <c r="L14" i="1"/>
  <c r="L15" i="1"/>
  <c r="L16" i="1"/>
  <c r="L17" i="1"/>
  <c r="L18" i="1"/>
  <c r="L20" i="1"/>
  <c r="L21" i="1"/>
  <c r="F21" i="1" s="1"/>
  <c r="H21" i="1" s="1"/>
  <c r="L24" i="1"/>
  <c r="L25" i="1"/>
  <c r="L26" i="1"/>
  <c r="L27" i="1"/>
  <c r="L28" i="1"/>
  <c r="L29" i="1"/>
  <c r="L30" i="1"/>
  <c r="L31" i="1"/>
  <c r="L32" i="1"/>
  <c r="L34" i="1"/>
  <c r="L36" i="1"/>
  <c r="L42" i="1"/>
  <c r="L205" i="1"/>
  <c r="L37" i="1"/>
  <c r="L38" i="1"/>
  <c r="L217" i="1"/>
  <c r="L39" i="1"/>
  <c r="L40" i="1"/>
  <c r="L41" i="1"/>
  <c r="L43" i="1"/>
  <c r="L44" i="1"/>
  <c r="L45" i="1"/>
  <c r="L46" i="1"/>
  <c r="L47" i="1"/>
  <c r="L48" i="1"/>
  <c r="L49" i="1"/>
  <c r="L50" i="1"/>
  <c r="L23" i="1"/>
  <c r="L51" i="1"/>
  <c r="L52" i="1"/>
  <c r="L54" i="1"/>
  <c r="L55" i="1"/>
  <c r="L56" i="1"/>
  <c r="L57" i="1"/>
  <c r="L58" i="1"/>
  <c r="L59" i="1"/>
  <c r="L60" i="1"/>
  <c r="L61" i="1"/>
  <c r="L62" i="1"/>
  <c r="L63" i="1"/>
  <c r="L64" i="1"/>
  <c r="L65" i="1"/>
  <c r="L19" i="1"/>
  <c r="L66" i="1"/>
  <c r="L278" i="1"/>
  <c r="L302" i="1"/>
  <c r="L67" i="1"/>
  <c r="L68" i="1"/>
  <c r="L74" i="1"/>
  <c r="L33" i="1"/>
  <c r="L69" i="1"/>
  <c r="L71" i="1"/>
  <c r="L72" i="1"/>
  <c r="L75" i="1"/>
  <c r="L77" i="1"/>
  <c r="L78" i="1"/>
  <c r="L79" i="1"/>
  <c r="L80" i="1"/>
  <c r="L81" i="1"/>
  <c r="L82" i="1"/>
  <c r="L83" i="1"/>
  <c r="L84" i="1"/>
  <c r="L86" i="1"/>
  <c r="L87" i="1"/>
  <c r="L88" i="1"/>
  <c r="L89" i="1"/>
  <c r="L90" i="1"/>
  <c r="L91" i="1"/>
  <c r="L92" i="1"/>
  <c r="L93" i="1"/>
  <c r="L94" i="1"/>
  <c r="L95" i="1"/>
  <c r="L97" i="1"/>
  <c r="L98" i="1"/>
  <c r="L99" i="1"/>
  <c r="L100" i="1"/>
  <c r="L101" i="1"/>
  <c r="L102" i="1"/>
  <c r="L103" i="1"/>
  <c r="L104" i="1"/>
  <c r="L105" i="1"/>
  <c r="L106" i="1"/>
  <c r="L107" i="1"/>
  <c r="L108" i="1"/>
  <c r="L109" i="1"/>
  <c r="L112" i="1"/>
  <c r="L113" i="1"/>
  <c r="L114" i="1"/>
  <c r="L115" i="1"/>
  <c r="L116" i="1"/>
  <c r="L117" i="1"/>
  <c r="L174" i="1"/>
  <c r="L118" i="1"/>
  <c r="L119" i="1"/>
  <c r="L121" i="1"/>
  <c r="L76" i="1"/>
  <c r="L122" i="1"/>
  <c r="L123" i="1"/>
  <c r="L124" i="1"/>
  <c r="L125" i="1"/>
  <c r="L126" i="1"/>
  <c r="L127" i="1"/>
  <c r="L128" i="1"/>
  <c r="L129" i="1"/>
  <c r="L130" i="1"/>
  <c r="L131" i="1"/>
  <c r="L132" i="1"/>
  <c r="L133" i="1"/>
  <c r="L135" i="1"/>
  <c r="L137" i="1"/>
  <c r="L138" i="1"/>
  <c r="L139" i="1"/>
  <c r="L140" i="1"/>
  <c r="L141" i="1"/>
  <c r="L142" i="1"/>
  <c r="L143" i="1"/>
  <c r="L144" i="1"/>
  <c r="L145" i="1"/>
  <c r="L147" i="1"/>
  <c r="L148" i="1"/>
  <c r="L149" i="1"/>
  <c r="L150" i="1"/>
  <c r="L151" i="1"/>
  <c r="L152" i="1"/>
  <c r="L153" i="1"/>
  <c r="L154" i="1"/>
  <c r="L155" i="1"/>
  <c r="L157" i="1"/>
  <c r="L158" i="1"/>
  <c r="L173" i="1"/>
  <c r="L159" i="1"/>
  <c r="L160" i="1"/>
  <c r="L161" i="1"/>
  <c r="L162" i="1"/>
  <c r="L163" i="1"/>
  <c r="L164" i="1"/>
  <c r="L165" i="1"/>
  <c r="L166" i="1"/>
  <c r="L167" i="1"/>
  <c r="L168" i="1"/>
  <c r="L169" i="1"/>
  <c r="L170" i="1"/>
  <c r="L171" i="1"/>
  <c r="L172" i="1"/>
  <c r="L176" i="1"/>
  <c r="L177" i="1"/>
  <c r="L178" i="1"/>
  <c r="L179" i="1"/>
  <c r="L180" i="1"/>
  <c r="L181" i="1"/>
  <c r="L182" i="1"/>
  <c r="L183" i="1"/>
  <c r="L134" i="1"/>
  <c r="L184" i="1"/>
  <c r="L185" i="1"/>
  <c r="L186" i="1"/>
  <c r="L187" i="1"/>
  <c r="L188" i="1"/>
  <c r="L189" i="1"/>
  <c r="L190" i="1"/>
  <c r="L191" i="1"/>
  <c r="L192" i="1"/>
  <c r="L193" i="1"/>
  <c r="L194" i="1"/>
  <c r="L195" i="1"/>
  <c r="L196" i="1"/>
  <c r="L197" i="1"/>
  <c r="L198" i="1"/>
  <c r="L199" i="1"/>
  <c r="L200" i="1"/>
  <c r="L201" i="1"/>
  <c r="L202" i="1"/>
  <c r="L203" i="1"/>
  <c r="L204" i="1"/>
  <c r="L207" i="1"/>
  <c r="L208" i="1"/>
  <c r="L209" i="1"/>
  <c r="L210" i="1"/>
  <c r="L212" i="1"/>
  <c r="L213" i="1"/>
  <c r="L211" i="1"/>
  <c r="L214" i="1"/>
  <c r="L215" i="1"/>
  <c r="L216" i="1"/>
  <c r="L218" i="1"/>
  <c r="L219" i="1"/>
  <c r="L220" i="1"/>
  <c r="L221" i="1"/>
  <c r="L222" i="1"/>
  <c r="L223" i="1"/>
  <c r="L224" i="1"/>
  <c r="L226" i="1"/>
  <c r="L228" i="1"/>
  <c r="L229" i="1"/>
  <c r="L230" i="1"/>
  <c r="L231" i="1"/>
  <c r="L232" i="1"/>
  <c r="L233" i="1"/>
  <c r="L234" i="1"/>
  <c r="L235" i="1"/>
  <c r="L236" i="1"/>
  <c r="L237" i="1"/>
  <c r="L238" i="1"/>
  <c r="L239" i="1"/>
  <c r="L240" i="1"/>
  <c r="L242" i="1"/>
  <c r="L243" i="1"/>
  <c r="L244" i="1"/>
  <c r="L245" i="1"/>
  <c r="L246" i="1"/>
  <c r="L225" i="1"/>
  <c r="L247" i="1"/>
  <c r="L248" i="1"/>
  <c r="L249" i="1"/>
  <c r="L250" i="1"/>
  <c r="L251" i="1"/>
  <c r="L252" i="1"/>
  <c r="L253" i="1"/>
  <c r="L254" i="1"/>
  <c r="L256" i="1"/>
  <c r="L257" i="1"/>
  <c r="L258" i="1"/>
  <c r="L259" i="1"/>
  <c r="L260" i="1"/>
  <c r="L262" i="1"/>
  <c r="L263" i="1"/>
  <c r="L264" i="1"/>
  <c r="L265" i="1"/>
  <c r="L266" i="1"/>
  <c r="L275" i="1"/>
  <c r="L267" i="1"/>
  <c r="L268" i="1"/>
  <c r="L269" i="1"/>
  <c r="L270" i="1"/>
  <c r="L271" i="1"/>
  <c r="L272" i="1"/>
  <c r="L273" i="1"/>
  <c r="L274" i="1"/>
  <c r="L276" i="1"/>
  <c r="L277" i="1"/>
  <c r="L279" i="1"/>
  <c r="L280" i="1"/>
  <c r="L281" i="1"/>
  <c r="L282" i="1"/>
  <c r="L283" i="1"/>
  <c r="L284" i="1"/>
  <c r="L285" i="1"/>
  <c r="L286" i="1"/>
  <c r="L288" i="1"/>
  <c r="L289" i="1"/>
  <c r="L290" i="1"/>
  <c r="L291" i="1"/>
  <c r="L292" i="1"/>
  <c r="L293" i="1"/>
  <c r="L294" i="1"/>
  <c r="L295" i="1"/>
  <c r="L297" i="1"/>
  <c r="L298" i="1"/>
  <c r="L299" i="1"/>
  <c r="L300" i="1"/>
  <c r="L301" i="1"/>
  <c r="L110" i="1"/>
  <c r="L303" i="1"/>
  <c r="L304" i="1"/>
  <c r="L305" i="1"/>
  <c r="L306" i="1"/>
  <c r="L22" i="1"/>
  <c r="L35" i="1"/>
  <c r="L53" i="1"/>
  <c r="L85" i="1"/>
  <c r="L96" i="1"/>
  <c r="L111" i="1"/>
  <c r="L120" i="1"/>
  <c r="L136" i="1"/>
  <c r="L307" i="1"/>
  <c r="L146" i="1"/>
  <c r="L156" i="1"/>
  <c r="L175" i="1"/>
  <c r="L227" i="1"/>
  <c r="L241" i="1"/>
  <c r="L261" i="1"/>
  <c r="L255" i="1"/>
  <c r="L287" i="1"/>
  <c r="L296" i="1"/>
  <c r="L206" i="1"/>
  <c r="L10" i="1"/>
  <c r="F238" i="1" l="1"/>
  <c r="F49" i="1"/>
  <c r="H49" i="1" s="1"/>
  <c r="F265" i="1"/>
  <c r="F288" i="1"/>
  <c r="F53" i="1"/>
  <c r="H53" i="1" s="1"/>
  <c r="F292" i="1"/>
  <c r="F273" i="1"/>
  <c r="F240" i="1"/>
  <c r="F222" i="1"/>
  <c r="F169" i="1"/>
  <c r="F153" i="1"/>
  <c r="F135" i="1"/>
  <c r="F118" i="1"/>
  <c r="F83" i="1"/>
  <c r="F302" i="1"/>
  <c r="F52" i="1"/>
  <c r="F37" i="1"/>
  <c r="F20" i="1"/>
  <c r="H20" i="1" s="1"/>
  <c r="F16" i="1"/>
  <c r="F35" i="1"/>
  <c r="F291" i="1"/>
  <c r="F272" i="1"/>
  <c r="F168" i="1"/>
  <c r="F152" i="1"/>
  <c r="F133" i="1"/>
  <c r="F174" i="1"/>
  <c r="F82" i="1"/>
  <c r="F278" i="1"/>
  <c r="F205" i="1"/>
  <c r="F18" i="1"/>
  <c r="F178" i="1"/>
  <c r="F262" i="1"/>
  <c r="F191" i="1"/>
  <c r="H191" i="1" s="1"/>
  <c r="F40" i="1"/>
  <c r="H40" i="1" s="1"/>
  <c r="F22" i="1"/>
  <c r="F254" i="1"/>
  <c r="F151" i="1"/>
  <c r="F99" i="1"/>
  <c r="F66" i="1"/>
  <c r="F17" i="1"/>
  <c r="F259" i="1"/>
  <c r="F243" i="1"/>
  <c r="F224" i="1"/>
  <c r="F103" i="1"/>
  <c r="F68" i="1"/>
  <c r="F134" i="1"/>
  <c r="F79" i="1"/>
  <c r="F281" i="1"/>
  <c r="F193" i="1"/>
  <c r="H193" i="1" s="1"/>
  <c r="F71" i="1"/>
  <c r="H71" i="1" s="1"/>
  <c r="F271" i="1"/>
  <c r="F185" i="1"/>
  <c r="F117" i="1"/>
  <c r="F244" i="1"/>
  <c r="F104" i="1"/>
  <c r="F258" i="1"/>
  <c r="F9" i="1"/>
  <c r="F212" i="1"/>
  <c r="F142" i="1"/>
  <c r="F120" i="1"/>
  <c r="F228" i="1"/>
  <c r="F105" i="1"/>
  <c r="F287" i="1"/>
  <c r="F290" i="1"/>
  <c r="F201" i="1"/>
  <c r="F167" i="1"/>
  <c r="F132" i="1"/>
  <c r="F81" i="1"/>
  <c r="F23" i="1"/>
  <c r="F206" i="1"/>
  <c r="F257" i="1"/>
  <c r="F101" i="1"/>
  <c r="F296" i="1"/>
  <c r="F256" i="1"/>
  <c r="F239" i="1"/>
  <c r="F221" i="1"/>
  <c r="F100" i="1"/>
  <c r="F51" i="1"/>
  <c r="F202" i="1"/>
  <c r="H202" i="1" s="1"/>
  <c r="F270" i="1"/>
  <c r="F200" i="1"/>
  <c r="F116" i="1"/>
  <c r="F50" i="1"/>
  <c r="F261" i="1"/>
  <c r="F305" i="1"/>
  <c r="F269" i="1"/>
  <c r="F252" i="1"/>
  <c r="F236" i="1"/>
  <c r="F218" i="1"/>
  <c r="F199" i="1"/>
  <c r="F165" i="1"/>
  <c r="F149" i="1"/>
  <c r="F130" i="1"/>
  <c r="F115" i="1"/>
  <c r="F97" i="1"/>
  <c r="F65" i="1"/>
  <c r="F36" i="1"/>
  <c r="F15" i="1"/>
  <c r="H15" i="1" s="1"/>
  <c r="F307" i="1"/>
  <c r="F225" i="1"/>
  <c r="F159" i="1"/>
  <c r="M167" i="1"/>
  <c r="F253" i="1"/>
  <c r="F184" i="1"/>
  <c r="F98" i="1"/>
  <c r="F241" i="1"/>
  <c r="F251" i="1"/>
  <c r="F164" i="1"/>
  <c r="F95" i="1"/>
  <c r="F48" i="1"/>
  <c r="F136" i="1"/>
  <c r="F246" i="1"/>
  <c r="F192" i="1"/>
  <c r="F141" i="1"/>
  <c r="F89" i="1"/>
  <c r="F41" i="1"/>
  <c r="F227" i="1"/>
  <c r="F303" i="1"/>
  <c r="F285" i="1"/>
  <c r="F267" i="1"/>
  <c r="F250" i="1"/>
  <c r="F234" i="1"/>
  <c r="F215" i="1"/>
  <c r="F197" i="1"/>
  <c r="F182" i="1"/>
  <c r="F163" i="1"/>
  <c r="F147" i="1"/>
  <c r="F128" i="1"/>
  <c r="F113" i="1"/>
  <c r="F94" i="1"/>
  <c r="F77" i="1"/>
  <c r="F63" i="1"/>
  <c r="F47" i="1"/>
  <c r="F32" i="1"/>
  <c r="F13" i="1"/>
  <c r="F279" i="1"/>
  <c r="F176" i="1"/>
  <c r="F158" i="1"/>
  <c r="F33" i="1"/>
  <c r="F57" i="1"/>
  <c r="G37" i="1"/>
  <c r="F255" i="1"/>
  <c r="F237" i="1"/>
  <c r="F150" i="1"/>
  <c r="F19" i="1"/>
  <c r="F304" i="1"/>
  <c r="F216" i="1"/>
  <c r="F148" i="1"/>
  <c r="F78" i="1"/>
  <c r="F175" i="1"/>
  <c r="F110" i="1"/>
  <c r="F284" i="1"/>
  <c r="F275" i="1"/>
  <c r="F249" i="1"/>
  <c r="F233" i="1"/>
  <c r="F214" i="1"/>
  <c r="F196" i="1"/>
  <c r="F181" i="1"/>
  <c r="F162" i="1"/>
  <c r="H162" i="1" s="1"/>
  <c r="F145" i="1"/>
  <c r="F127" i="1"/>
  <c r="F112" i="1"/>
  <c r="F93" i="1"/>
  <c r="F75" i="1"/>
  <c r="F62" i="1"/>
  <c r="F46" i="1"/>
  <c r="F31" i="1"/>
  <c r="F12" i="1"/>
  <c r="F111" i="1"/>
  <c r="F157" i="1"/>
  <c r="F56" i="1"/>
  <c r="F25" i="1"/>
  <c r="F306" i="1"/>
  <c r="F219" i="1"/>
  <c r="F166" i="1"/>
  <c r="H166" i="1" s="1"/>
  <c r="F80" i="1"/>
  <c r="F268" i="1"/>
  <c r="F198" i="1"/>
  <c r="F114" i="1"/>
  <c r="F34" i="1"/>
  <c r="F280" i="1"/>
  <c r="F210" i="1"/>
  <c r="F301" i="1"/>
  <c r="F266" i="1"/>
  <c r="F211" i="1"/>
  <c r="H211" i="1" s="1"/>
  <c r="F180" i="1"/>
  <c r="F144" i="1"/>
  <c r="F109" i="1"/>
  <c r="F61" i="1"/>
  <c r="F11" i="1"/>
  <c r="H11" i="1" s="1"/>
  <c r="F55" i="1"/>
  <c r="F186" i="1"/>
  <c r="H186" i="1" s="1"/>
  <c r="F289" i="1"/>
  <c r="F131" i="1"/>
  <c r="F286" i="1"/>
  <c r="F235" i="1"/>
  <c r="F183" i="1"/>
  <c r="F129" i="1"/>
  <c r="F64" i="1"/>
  <c r="F14" i="1"/>
  <c r="F263" i="1"/>
  <c r="F229" i="1"/>
  <c r="F177" i="1"/>
  <c r="F173" i="1"/>
  <c r="F69" i="1"/>
  <c r="F156" i="1"/>
  <c r="F283" i="1"/>
  <c r="F248" i="1"/>
  <c r="F232" i="1"/>
  <c r="F195" i="1"/>
  <c r="F161" i="1"/>
  <c r="H161" i="1" s="1"/>
  <c r="F126" i="1"/>
  <c r="F92" i="1"/>
  <c r="F73" i="1"/>
  <c r="F45" i="1"/>
  <c r="F30" i="1"/>
  <c r="H30" i="1" s="1"/>
  <c r="F96" i="1"/>
  <c r="F217" i="1"/>
  <c r="F146" i="1"/>
  <c r="F300" i="1"/>
  <c r="F282" i="1"/>
  <c r="F247" i="1"/>
  <c r="F231" i="1"/>
  <c r="F213" i="1"/>
  <c r="F194" i="1"/>
  <c r="F179" i="1"/>
  <c r="F160" i="1"/>
  <c r="F143" i="1"/>
  <c r="F125" i="1"/>
  <c r="F108" i="1"/>
  <c r="F91" i="1"/>
  <c r="F72" i="1"/>
  <c r="F60" i="1"/>
  <c r="F44" i="1"/>
  <c r="H44" i="1" s="1"/>
  <c r="F29" i="1"/>
  <c r="F293" i="1"/>
  <c r="F242" i="1"/>
  <c r="F223" i="1"/>
  <c r="F119" i="1"/>
  <c r="F84" i="1"/>
  <c r="F54" i="1"/>
  <c r="M21" i="1"/>
  <c r="M193" i="1"/>
  <c r="G193" i="1"/>
  <c r="G20" i="1"/>
  <c r="M20" i="1"/>
  <c r="G40" i="1"/>
  <c r="M40" i="1"/>
  <c r="G117" i="1"/>
  <c r="M53" i="1"/>
  <c r="G53" i="1"/>
  <c r="G191" i="1"/>
  <c r="M191" i="1"/>
  <c r="E308" i="1"/>
  <c r="F299" i="1"/>
  <c r="H299" i="1" s="1"/>
  <c r="F264" i="1"/>
  <c r="H264" i="1" s="1"/>
  <c r="F230" i="1"/>
  <c r="H230" i="1" s="1"/>
  <c r="F124" i="1"/>
  <c r="H124" i="1" s="1"/>
  <c r="F107" i="1"/>
  <c r="H107" i="1" s="1"/>
  <c r="F90" i="1"/>
  <c r="H90" i="1" s="1"/>
  <c r="F59" i="1"/>
  <c r="H59" i="1" s="1"/>
  <c r="F43" i="1"/>
  <c r="H43" i="1" s="1"/>
  <c r="F28" i="1"/>
  <c r="H28" i="1" s="1"/>
  <c r="G113" i="1"/>
  <c r="M238" i="1"/>
  <c r="G291" i="1"/>
  <c r="F297" i="1"/>
  <c r="H297" i="1" s="1"/>
  <c r="F245" i="1"/>
  <c r="H245" i="1" s="1"/>
  <c r="F209" i="1"/>
  <c r="H209" i="1" s="1"/>
  <c r="F140" i="1"/>
  <c r="H140" i="1" s="1"/>
  <c r="F122" i="1"/>
  <c r="H122" i="1" s="1"/>
  <c r="F88" i="1"/>
  <c r="H88" i="1" s="1"/>
  <c r="F26" i="1"/>
  <c r="H26" i="1" s="1"/>
  <c r="F295" i="1"/>
  <c r="H295" i="1" s="1"/>
  <c r="F277" i="1"/>
  <c r="H277" i="1" s="1"/>
  <c r="F260" i="1"/>
  <c r="H260" i="1" s="1"/>
  <c r="F226" i="1"/>
  <c r="H226" i="1" s="1"/>
  <c r="F208" i="1"/>
  <c r="H208" i="1" s="1"/>
  <c r="F190" i="1"/>
  <c r="H190" i="1" s="1"/>
  <c r="F172" i="1"/>
  <c r="H172" i="1" s="1"/>
  <c r="F139" i="1"/>
  <c r="H139" i="1" s="1"/>
  <c r="F76" i="1"/>
  <c r="H76" i="1" s="1"/>
  <c r="F87" i="1"/>
  <c r="H87" i="1" s="1"/>
  <c r="F74" i="1"/>
  <c r="H74" i="1" s="1"/>
  <c r="F39" i="1"/>
  <c r="H39" i="1" s="1"/>
  <c r="F294" i="1"/>
  <c r="H294" i="1" s="1"/>
  <c r="F276" i="1"/>
  <c r="H276" i="1" s="1"/>
  <c r="F207" i="1"/>
  <c r="H207" i="1" s="1"/>
  <c r="F189" i="1"/>
  <c r="H189" i="1" s="1"/>
  <c r="F171" i="1"/>
  <c r="H171" i="1" s="1"/>
  <c r="F155" i="1"/>
  <c r="H155" i="1" s="1"/>
  <c r="F138" i="1"/>
  <c r="H138" i="1" s="1"/>
  <c r="F121" i="1"/>
  <c r="H121" i="1" s="1"/>
  <c r="F86" i="1"/>
  <c r="H86" i="1" s="1"/>
  <c r="F24" i="1"/>
  <c r="H24" i="1" s="1"/>
  <c r="F85" i="1"/>
  <c r="H85" i="1" s="1"/>
  <c r="F274" i="1"/>
  <c r="H274" i="1" s="1"/>
  <c r="F137" i="1"/>
  <c r="H137" i="1" s="1"/>
  <c r="F38" i="1"/>
  <c r="H38" i="1" s="1"/>
  <c r="M23" i="1"/>
  <c r="G71" i="1"/>
  <c r="M71" i="1"/>
  <c r="M265" i="1"/>
  <c r="G49" i="1"/>
  <c r="M49" i="1"/>
  <c r="F10" i="1"/>
  <c r="H10" i="1" s="1"/>
  <c r="F204" i="1"/>
  <c r="H204" i="1" s="1"/>
  <c r="F188" i="1"/>
  <c r="H188" i="1" s="1"/>
  <c r="F170" i="1"/>
  <c r="H170" i="1" s="1"/>
  <c r="F154" i="1"/>
  <c r="H154" i="1" s="1"/>
  <c r="F102" i="1"/>
  <c r="H102" i="1" s="1"/>
  <c r="F67" i="1"/>
  <c r="H67" i="1" s="1"/>
  <c r="F203" i="1"/>
  <c r="H203" i="1" s="1"/>
  <c r="F187" i="1"/>
  <c r="H187" i="1" s="1"/>
  <c r="F220" i="1"/>
  <c r="H220" i="1" s="1"/>
  <c r="F42" i="1"/>
  <c r="H42" i="1" s="1"/>
  <c r="F298" i="1"/>
  <c r="H298" i="1" s="1"/>
  <c r="F123" i="1"/>
  <c r="H123" i="1" s="1"/>
  <c r="F106" i="1"/>
  <c r="H106" i="1" s="1"/>
  <c r="F58" i="1"/>
  <c r="H58" i="1" s="1"/>
  <c r="F27" i="1"/>
  <c r="H27" i="1" s="1"/>
  <c r="A110" i="2"/>
  <c r="A196" i="2"/>
  <c r="A326" i="2"/>
  <c r="A421" i="2"/>
  <c r="A435" i="2"/>
  <c r="A529" i="2"/>
  <c r="A396" i="2"/>
  <c r="A994" i="2"/>
  <c r="A1003" i="2"/>
  <c r="A265" i="2"/>
  <c r="A614" i="2"/>
  <c r="A821" i="2"/>
  <c r="A931" i="2"/>
  <c r="A923" i="2"/>
  <c r="A686" i="2"/>
  <c r="A268" i="2"/>
  <c r="A898" i="2"/>
  <c r="J2" i="1"/>
  <c r="G231" i="1" l="1"/>
  <c r="H231" i="1"/>
  <c r="G55" i="1"/>
  <c r="H55" i="1"/>
  <c r="M237" i="1"/>
  <c r="H237" i="1"/>
  <c r="G287" i="1"/>
  <c r="H287" i="1"/>
  <c r="G302" i="1"/>
  <c r="H302" i="1"/>
  <c r="M223" i="1"/>
  <c r="H223" i="1"/>
  <c r="M219" i="1"/>
  <c r="H219" i="1"/>
  <c r="M48" i="1"/>
  <c r="H48" i="1"/>
  <c r="M115" i="1"/>
  <c r="H115" i="1"/>
  <c r="G51" i="1"/>
  <c r="H51" i="1"/>
  <c r="G83" i="1"/>
  <c r="H83" i="1"/>
  <c r="M242" i="1"/>
  <c r="H242" i="1"/>
  <c r="M306" i="1"/>
  <c r="H306" i="1"/>
  <c r="G182" i="1"/>
  <c r="H182" i="1"/>
  <c r="M228" i="1"/>
  <c r="H228" i="1"/>
  <c r="M25" i="1"/>
  <c r="H25" i="1"/>
  <c r="G57" i="1"/>
  <c r="H57" i="1"/>
  <c r="M149" i="1"/>
  <c r="H149" i="1"/>
  <c r="G120" i="1"/>
  <c r="H120" i="1"/>
  <c r="M177" i="1"/>
  <c r="H177" i="1"/>
  <c r="M33" i="1"/>
  <c r="H33" i="1"/>
  <c r="M251" i="1"/>
  <c r="H251" i="1"/>
  <c r="G239" i="1"/>
  <c r="H239" i="1"/>
  <c r="M153" i="1"/>
  <c r="H153" i="1"/>
  <c r="M180" i="1"/>
  <c r="H180" i="1"/>
  <c r="M158" i="1"/>
  <c r="H158" i="1"/>
  <c r="M199" i="1"/>
  <c r="H199" i="1"/>
  <c r="M212" i="1"/>
  <c r="H212" i="1"/>
  <c r="M60" i="1"/>
  <c r="H60" i="1"/>
  <c r="G263" i="1"/>
  <c r="H263" i="1"/>
  <c r="G111" i="1"/>
  <c r="H111" i="1"/>
  <c r="G275" i="1"/>
  <c r="H275" i="1"/>
  <c r="M176" i="1"/>
  <c r="H176" i="1"/>
  <c r="M250" i="1"/>
  <c r="H250" i="1"/>
  <c r="G98" i="1"/>
  <c r="H98" i="1"/>
  <c r="M218" i="1"/>
  <c r="H218" i="1"/>
  <c r="G296" i="1"/>
  <c r="H296" i="1"/>
  <c r="G9" i="1"/>
  <c r="H9" i="1"/>
  <c r="G259" i="1"/>
  <c r="H259" i="1"/>
  <c r="M133" i="1"/>
  <c r="H133" i="1"/>
  <c r="M222" i="1"/>
  <c r="H222" i="1"/>
  <c r="G72" i="1"/>
  <c r="H72" i="1"/>
  <c r="M14" i="1"/>
  <c r="H14" i="1"/>
  <c r="M266" i="1"/>
  <c r="H266" i="1"/>
  <c r="M12" i="1"/>
  <c r="H12" i="1"/>
  <c r="M284" i="1"/>
  <c r="H284" i="1"/>
  <c r="M279" i="1"/>
  <c r="H279" i="1"/>
  <c r="M267" i="1"/>
  <c r="H267" i="1"/>
  <c r="G184" i="1"/>
  <c r="H184" i="1"/>
  <c r="G236" i="1"/>
  <c r="H236" i="1"/>
  <c r="G101" i="1"/>
  <c r="H101" i="1"/>
  <c r="G258" i="1"/>
  <c r="H258" i="1"/>
  <c r="M17" i="1"/>
  <c r="H17" i="1"/>
  <c r="G152" i="1"/>
  <c r="H152" i="1"/>
  <c r="G240" i="1"/>
  <c r="H240" i="1"/>
  <c r="M91" i="1"/>
  <c r="H91" i="1"/>
  <c r="M45" i="1"/>
  <c r="H45" i="1"/>
  <c r="M64" i="1"/>
  <c r="H64" i="1"/>
  <c r="G301" i="1"/>
  <c r="H301" i="1"/>
  <c r="M31" i="1"/>
  <c r="H31" i="1"/>
  <c r="M110" i="1"/>
  <c r="H110" i="1"/>
  <c r="M13" i="1"/>
  <c r="H13" i="1"/>
  <c r="G285" i="1"/>
  <c r="H285" i="1"/>
  <c r="M253" i="1"/>
  <c r="H253" i="1"/>
  <c r="M252" i="1"/>
  <c r="H252" i="1"/>
  <c r="M257" i="1"/>
  <c r="H257" i="1"/>
  <c r="M104" i="1"/>
  <c r="H104" i="1"/>
  <c r="M66" i="1"/>
  <c r="H66" i="1"/>
  <c r="G168" i="1"/>
  <c r="H168" i="1"/>
  <c r="M273" i="1"/>
  <c r="H273" i="1"/>
  <c r="M160" i="1"/>
  <c r="H160" i="1"/>
  <c r="M286" i="1"/>
  <c r="H286" i="1"/>
  <c r="M114" i="1"/>
  <c r="H114" i="1"/>
  <c r="G93" i="1"/>
  <c r="H93" i="1"/>
  <c r="M216" i="1"/>
  <c r="H216" i="1"/>
  <c r="G77" i="1"/>
  <c r="H77" i="1"/>
  <c r="G89" i="1"/>
  <c r="H89" i="1"/>
  <c r="G307" i="1"/>
  <c r="H307" i="1"/>
  <c r="G50" i="1"/>
  <c r="H50" i="1"/>
  <c r="G132" i="1"/>
  <c r="H132" i="1"/>
  <c r="M271" i="1"/>
  <c r="H271" i="1"/>
  <c r="G22" i="1"/>
  <c r="H22" i="1"/>
  <c r="M16" i="1"/>
  <c r="H16" i="1"/>
  <c r="G70" i="1"/>
  <c r="H70" i="1"/>
  <c r="M156" i="1"/>
  <c r="H156" i="1"/>
  <c r="G255" i="1"/>
  <c r="H255" i="1"/>
  <c r="G105" i="1"/>
  <c r="H105" i="1"/>
  <c r="M69" i="1"/>
  <c r="H69" i="1"/>
  <c r="G100" i="1"/>
  <c r="H100" i="1"/>
  <c r="G118" i="1"/>
  <c r="H118" i="1"/>
  <c r="M293" i="1"/>
  <c r="H293" i="1"/>
  <c r="M109" i="1"/>
  <c r="H109" i="1"/>
  <c r="M164" i="1"/>
  <c r="H164" i="1"/>
  <c r="G103" i="1"/>
  <c r="H103" i="1"/>
  <c r="G146" i="1"/>
  <c r="H146" i="1"/>
  <c r="M233" i="1"/>
  <c r="H233" i="1"/>
  <c r="M165" i="1"/>
  <c r="H165" i="1"/>
  <c r="M82" i="1"/>
  <c r="H82" i="1"/>
  <c r="G249" i="1"/>
  <c r="H249" i="1"/>
  <c r="G256" i="1"/>
  <c r="H256" i="1"/>
  <c r="M169" i="1"/>
  <c r="H169" i="1"/>
  <c r="G129" i="1"/>
  <c r="H129" i="1"/>
  <c r="M32" i="1"/>
  <c r="H32" i="1"/>
  <c r="M99" i="1"/>
  <c r="H99" i="1"/>
  <c r="G92" i="1"/>
  <c r="H92" i="1"/>
  <c r="M62" i="1"/>
  <c r="H62" i="1"/>
  <c r="G227" i="1"/>
  <c r="H227" i="1"/>
  <c r="G23" i="1"/>
  <c r="H23" i="1"/>
  <c r="M291" i="1"/>
  <c r="H291" i="1"/>
  <c r="M34" i="1"/>
  <c r="H34" i="1"/>
  <c r="M185" i="1"/>
  <c r="H185" i="1"/>
  <c r="G195" i="1"/>
  <c r="H195" i="1"/>
  <c r="G198" i="1"/>
  <c r="H198" i="1"/>
  <c r="G112" i="1"/>
  <c r="H112" i="1"/>
  <c r="M304" i="1"/>
  <c r="H304" i="1"/>
  <c r="M94" i="1"/>
  <c r="H94" i="1"/>
  <c r="M141" i="1"/>
  <c r="H141" i="1"/>
  <c r="M116" i="1"/>
  <c r="H116" i="1"/>
  <c r="G167" i="1"/>
  <c r="H167" i="1"/>
  <c r="G265" i="1"/>
  <c r="H265" i="1"/>
  <c r="M119" i="1"/>
  <c r="H119" i="1"/>
  <c r="G147" i="1"/>
  <c r="H147" i="1"/>
  <c r="G97" i="1"/>
  <c r="H97" i="1"/>
  <c r="G178" i="1"/>
  <c r="H178" i="1"/>
  <c r="G163" i="1"/>
  <c r="H163" i="1"/>
  <c r="G18" i="1"/>
  <c r="H18" i="1"/>
  <c r="M282" i="1"/>
  <c r="H282" i="1"/>
  <c r="G196" i="1"/>
  <c r="H196" i="1"/>
  <c r="M95" i="1"/>
  <c r="H95" i="1"/>
  <c r="G68" i="1"/>
  <c r="H68" i="1"/>
  <c r="M173" i="1"/>
  <c r="H173" i="1"/>
  <c r="M214" i="1"/>
  <c r="H214" i="1"/>
  <c r="M221" i="1"/>
  <c r="H221" i="1"/>
  <c r="G278" i="1"/>
  <c r="H278" i="1"/>
  <c r="G56" i="1"/>
  <c r="H56" i="1"/>
  <c r="M224" i="1"/>
  <c r="H224" i="1"/>
  <c r="G229" i="1"/>
  <c r="H229" i="1"/>
  <c r="G234" i="1"/>
  <c r="H234" i="1"/>
  <c r="G174" i="1"/>
  <c r="H174" i="1"/>
  <c r="G96" i="1"/>
  <c r="H96" i="1"/>
  <c r="M108" i="1"/>
  <c r="H108" i="1"/>
  <c r="G210" i="1"/>
  <c r="H210" i="1"/>
  <c r="G175" i="1"/>
  <c r="H175" i="1"/>
  <c r="M206" i="1"/>
  <c r="H206" i="1"/>
  <c r="M292" i="1"/>
  <c r="H292" i="1"/>
  <c r="G125" i="1"/>
  <c r="H125" i="1"/>
  <c r="G280" i="1"/>
  <c r="H280" i="1"/>
  <c r="G47" i="1"/>
  <c r="H47" i="1"/>
  <c r="M305" i="1"/>
  <c r="H305" i="1"/>
  <c r="M151" i="1"/>
  <c r="H151" i="1"/>
  <c r="M126" i="1"/>
  <c r="H126" i="1"/>
  <c r="M148" i="1"/>
  <c r="H148" i="1"/>
  <c r="M35" i="1"/>
  <c r="H35" i="1"/>
  <c r="G232" i="1"/>
  <c r="H232" i="1"/>
  <c r="G127" i="1"/>
  <c r="H127" i="1"/>
  <c r="M113" i="1"/>
  <c r="H113" i="1"/>
  <c r="M192" i="1"/>
  <c r="H192" i="1"/>
  <c r="M36" i="1"/>
  <c r="H36" i="1"/>
  <c r="G200" i="1"/>
  <c r="H200" i="1"/>
  <c r="M201" i="1"/>
  <c r="H201" i="1"/>
  <c r="M37" i="1"/>
  <c r="H37" i="1"/>
  <c r="M283" i="1"/>
  <c r="H283" i="1"/>
  <c r="M136" i="1"/>
  <c r="H136" i="1"/>
  <c r="G79" i="1"/>
  <c r="H79" i="1"/>
  <c r="G247" i="1"/>
  <c r="H247" i="1"/>
  <c r="G181" i="1"/>
  <c r="H181" i="1"/>
  <c r="G134" i="1"/>
  <c r="H134" i="1"/>
  <c r="M61" i="1"/>
  <c r="H61" i="1"/>
  <c r="M130" i="1"/>
  <c r="H130" i="1"/>
  <c r="M205" i="1"/>
  <c r="H205" i="1"/>
  <c r="M300" i="1"/>
  <c r="H300" i="1"/>
  <c r="M197" i="1"/>
  <c r="H197" i="1"/>
  <c r="G135" i="1"/>
  <c r="H135" i="1"/>
  <c r="G29" i="1"/>
  <c r="H29" i="1"/>
  <c r="M144" i="1"/>
  <c r="H144" i="1"/>
  <c r="M215" i="1"/>
  <c r="H215" i="1"/>
  <c r="M142" i="1"/>
  <c r="H142" i="1"/>
  <c r="G217" i="1"/>
  <c r="H217" i="1"/>
  <c r="M157" i="1"/>
  <c r="H157" i="1"/>
  <c r="G241" i="1"/>
  <c r="H241" i="1"/>
  <c r="M243" i="1"/>
  <c r="H243" i="1"/>
  <c r="M73" i="1"/>
  <c r="H73" i="1"/>
  <c r="G46" i="1"/>
  <c r="H46" i="1"/>
  <c r="G303" i="1"/>
  <c r="H303" i="1"/>
  <c r="M269" i="1"/>
  <c r="H269" i="1"/>
  <c r="M244" i="1"/>
  <c r="H244" i="1"/>
  <c r="M272" i="1"/>
  <c r="H272" i="1"/>
  <c r="G183" i="1"/>
  <c r="H183" i="1"/>
  <c r="G78" i="1"/>
  <c r="H78" i="1"/>
  <c r="M159" i="1"/>
  <c r="H159" i="1"/>
  <c r="M117" i="1"/>
  <c r="H117" i="1"/>
  <c r="M143" i="1"/>
  <c r="H143" i="1"/>
  <c r="M235" i="1"/>
  <c r="H235" i="1"/>
  <c r="G75" i="1"/>
  <c r="H75" i="1"/>
  <c r="G63" i="1"/>
  <c r="H63" i="1"/>
  <c r="M41" i="1"/>
  <c r="H41" i="1"/>
  <c r="G225" i="1"/>
  <c r="H225" i="1"/>
  <c r="M261" i="1"/>
  <c r="H261" i="1"/>
  <c r="M81" i="1"/>
  <c r="H81" i="1"/>
  <c r="G254" i="1"/>
  <c r="H254" i="1"/>
  <c r="M288" i="1"/>
  <c r="H288" i="1"/>
  <c r="G179" i="1"/>
  <c r="H179" i="1"/>
  <c r="M131" i="1"/>
  <c r="H131" i="1"/>
  <c r="M54" i="1"/>
  <c r="H54" i="1"/>
  <c r="G194" i="1"/>
  <c r="H194" i="1"/>
  <c r="G289" i="1"/>
  <c r="H289" i="1"/>
  <c r="M268" i="1"/>
  <c r="H268" i="1"/>
  <c r="M19" i="1"/>
  <c r="H19" i="1"/>
  <c r="M84" i="1"/>
  <c r="H84" i="1"/>
  <c r="M213" i="1"/>
  <c r="H213" i="1"/>
  <c r="G248" i="1"/>
  <c r="H248" i="1"/>
  <c r="M80" i="1"/>
  <c r="H80" i="1"/>
  <c r="G145" i="1"/>
  <c r="H145" i="1"/>
  <c r="M150" i="1"/>
  <c r="H150" i="1"/>
  <c r="G128" i="1"/>
  <c r="H128" i="1"/>
  <c r="G246" i="1"/>
  <c r="H246" i="1"/>
  <c r="M65" i="1"/>
  <c r="H65" i="1"/>
  <c r="G270" i="1"/>
  <c r="H270" i="1"/>
  <c r="G290" i="1"/>
  <c r="H290" i="1"/>
  <c r="M281" i="1"/>
  <c r="H281" i="1"/>
  <c r="G262" i="1"/>
  <c r="H262" i="1"/>
  <c r="M52" i="1"/>
  <c r="H52" i="1"/>
  <c r="G238" i="1"/>
  <c r="H238" i="1"/>
  <c r="G30" i="1"/>
  <c r="M30" i="1"/>
  <c r="M78" i="1"/>
  <c r="G151" i="1"/>
  <c r="G35" i="1"/>
  <c r="M70" i="1"/>
  <c r="G16" i="1"/>
  <c r="M89" i="1"/>
  <c r="M198" i="1"/>
  <c r="G160" i="1"/>
  <c r="M22" i="1"/>
  <c r="G271" i="1"/>
  <c r="G81" i="1"/>
  <c r="M174" i="1"/>
  <c r="G288" i="1"/>
  <c r="M93" i="1"/>
  <c r="M152" i="1"/>
  <c r="M18" i="1"/>
  <c r="G114" i="1"/>
  <c r="M75" i="1"/>
  <c r="M175" i="1"/>
  <c r="G272" i="1"/>
  <c r="M101" i="1"/>
  <c r="M240" i="1"/>
  <c r="M234" i="1"/>
  <c r="M258" i="1"/>
  <c r="M92" i="1"/>
  <c r="G252" i="1"/>
  <c r="G41" i="1"/>
  <c r="M129" i="1"/>
  <c r="G273" i="1"/>
  <c r="G108" i="1"/>
  <c r="G144" i="1"/>
  <c r="G153" i="1"/>
  <c r="M217" i="1"/>
  <c r="M278" i="1"/>
  <c r="M210" i="1"/>
  <c r="G126" i="1"/>
  <c r="M146" i="1"/>
  <c r="M9" i="1"/>
  <c r="M195" i="1"/>
  <c r="G201" i="1"/>
  <c r="M302" i="1"/>
  <c r="M57" i="1"/>
  <c r="M168" i="1"/>
  <c r="M63" i="1"/>
  <c r="G292" i="1"/>
  <c r="M290" i="1"/>
  <c r="G180" i="1"/>
  <c r="G95" i="1"/>
  <c r="G73" i="1"/>
  <c r="G133" i="1"/>
  <c r="G64" i="1"/>
  <c r="G143" i="1"/>
  <c r="G99" i="1"/>
  <c r="M83" i="1"/>
  <c r="M262" i="1"/>
  <c r="G52" i="1"/>
  <c r="M135" i="1"/>
  <c r="G13" i="1"/>
  <c r="M118" i="1"/>
  <c r="G169" i="1"/>
  <c r="G235" i="1"/>
  <c r="M303" i="1"/>
  <c r="G21" i="1"/>
  <c r="G216" i="1"/>
  <c r="G286" i="1"/>
  <c r="M125" i="1"/>
  <c r="G31" i="1"/>
  <c r="M227" i="1"/>
  <c r="G131" i="1"/>
  <c r="G12" i="1"/>
  <c r="G62" i="1"/>
  <c r="M178" i="1"/>
  <c r="G199" i="1"/>
  <c r="M111" i="1"/>
  <c r="G269" i="1"/>
  <c r="G205" i="1"/>
  <c r="M96" i="1"/>
  <c r="M259" i="1"/>
  <c r="G110" i="1"/>
  <c r="G148" i="1"/>
  <c r="M179" i="1"/>
  <c r="G176" i="1"/>
  <c r="G244" i="1"/>
  <c r="G212" i="1"/>
  <c r="G104" i="1"/>
  <c r="M241" i="1"/>
  <c r="G158" i="1"/>
  <c r="G45" i="1"/>
  <c r="G279" i="1"/>
  <c r="M236" i="1"/>
  <c r="M47" i="1"/>
  <c r="G32" i="1"/>
  <c r="M256" i="1"/>
  <c r="G82" i="1"/>
  <c r="G243" i="1"/>
  <c r="G222" i="1"/>
  <c r="G267" i="1"/>
  <c r="M285" i="1"/>
  <c r="G17" i="1"/>
  <c r="M79" i="1"/>
  <c r="M77" i="1"/>
  <c r="G253" i="1"/>
  <c r="M46" i="1"/>
  <c r="G281" i="1"/>
  <c r="M287" i="1"/>
  <c r="G218" i="1"/>
  <c r="G228" i="1"/>
  <c r="G116" i="1"/>
  <c r="M181" i="1"/>
  <c r="G48" i="1"/>
  <c r="G69" i="1"/>
  <c r="G215" i="1"/>
  <c r="G219" i="1"/>
  <c r="M100" i="1"/>
  <c r="M105" i="1"/>
  <c r="G214" i="1"/>
  <c r="G173" i="1"/>
  <c r="M289" i="1"/>
  <c r="G136" i="1"/>
  <c r="G242" i="1"/>
  <c r="G306" i="1"/>
  <c r="G206" i="1"/>
  <c r="M255" i="1"/>
  <c r="G221" i="1"/>
  <c r="M239" i="1"/>
  <c r="G257" i="1"/>
  <c r="G293" i="1"/>
  <c r="M249" i="1"/>
  <c r="G177" i="1"/>
  <c r="G197" i="1"/>
  <c r="G300" i="1"/>
  <c r="M120" i="1"/>
  <c r="M29" i="1"/>
  <c r="M275" i="1"/>
  <c r="G284" i="1"/>
  <c r="G224" i="1"/>
  <c r="G142" i="1"/>
  <c r="M254" i="1"/>
  <c r="M103" i="1"/>
  <c r="M296" i="1"/>
  <c r="M51" i="1"/>
  <c r="G185" i="1"/>
  <c r="M231" i="1"/>
  <c r="G36" i="1"/>
  <c r="M72" i="1"/>
  <c r="M68" i="1"/>
  <c r="G34" i="1"/>
  <c r="M98" i="1"/>
  <c r="M132" i="1"/>
  <c r="M134" i="1"/>
  <c r="G250" i="1"/>
  <c r="G115" i="1"/>
  <c r="G157" i="1"/>
  <c r="G66" i="1"/>
  <c r="M225" i="1"/>
  <c r="M248" i="1"/>
  <c r="G25" i="1"/>
  <c r="G80" i="1"/>
  <c r="G54" i="1"/>
  <c r="M97" i="1"/>
  <c r="G109" i="1"/>
  <c r="M232" i="1"/>
  <c r="M194" i="1"/>
  <c r="G84" i="1"/>
  <c r="G304" i="1"/>
  <c r="G130" i="1"/>
  <c r="G305" i="1"/>
  <c r="G283" i="1"/>
  <c r="G213" i="1"/>
  <c r="G233" i="1"/>
  <c r="M263" i="1"/>
  <c r="M184" i="1"/>
  <c r="G60" i="1"/>
  <c r="M229" i="1"/>
  <c r="G119" i="1"/>
  <c r="G149" i="1"/>
  <c r="G150" i="1"/>
  <c r="M186" i="1"/>
  <c r="G186" i="1"/>
  <c r="G159" i="1"/>
  <c r="M55" i="1"/>
  <c r="G261" i="1"/>
  <c r="M307" i="1"/>
  <c r="G192" i="1"/>
  <c r="M202" i="1"/>
  <c r="G202" i="1"/>
  <c r="M145" i="1"/>
  <c r="M196" i="1"/>
  <c r="G19" i="1"/>
  <c r="M128" i="1"/>
  <c r="G266" i="1"/>
  <c r="G156" i="1"/>
  <c r="G223" i="1"/>
  <c r="M247" i="1"/>
  <c r="M301" i="1"/>
  <c r="G33" i="1"/>
  <c r="M127" i="1"/>
  <c r="M182" i="1"/>
  <c r="M280" i="1"/>
  <c r="M270" i="1"/>
  <c r="G165" i="1"/>
  <c r="G237" i="1"/>
  <c r="G166" i="1"/>
  <c r="M166" i="1"/>
  <c r="G268" i="1"/>
  <c r="M11" i="1"/>
  <c r="G11" i="1"/>
  <c r="M162" i="1"/>
  <c r="G162" i="1"/>
  <c r="M15" i="1"/>
  <c r="G15" i="1"/>
  <c r="M147" i="1"/>
  <c r="M112" i="1"/>
  <c r="M50" i="1"/>
  <c r="M44" i="1"/>
  <c r="G44" i="1"/>
  <c r="G164" i="1"/>
  <c r="G141" i="1"/>
  <c r="G211" i="1"/>
  <c r="M211" i="1"/>
  <c r="M56" i="1"/>
  <c r="M246" i="1"/>
  <c r="G282" i="1"/>
  <c r="G14" i="1"/>
  <c r="M200" i="1"/>
  <c r="M183" i="1"/>
  <c r="G91" i="1"/>
  <c r="M161" i="1"/>
  <c r="G161" i="1"/>
  <c r="G94" i="1"/>
  <c r="G65" i="1"/>
  <c r="G251" i="1"/>
  <c r="G61" i="1"/>
  <c r="M163" i="1"/>
  <c r="G67" i="1"/>
  <c r="M67" i="1"/>
  <c r="M171" i="1"/>
  <c r="G171" i="1"/>
  <c r="M139" i="1"/>
  <c r="G139" i="1"/>
  <c r="G88" i="1"/>
  <c r="M88" i="1"/>
  <c r="J4" i="1"/>
  <c r="G102" i="1"/>
  <c r="M102" i="1"/>
  <c r="M189" i="1"/>
  <c r="G189" i="1"/>
  <c r="M172" i="1"/>
  <c r="G172" i="1"/>
  <c r="M122" i="1"/>
  <c r="G122" i="1"/>
  <c r="M154" i="1"/>
  <c r="G154" i="1"/>
  <c r="G38" i="1"/>
  <c r="M38" i="1"/>
  <c r="G207" i="1"/>
  <c r="M207" i="1"/>
  <c r="M190" i="1"/>
  <c r="G190" i="1"/>
  <c r="M140" i="1"/>
  <c r="G140" i="1"/>
  <c r="M170" i="1"/>
  <c r="G170" i="1"/>
  <c r="M137" i="1"/>
  <c r="G137" i="1"/>
  <c r="G276" i="1"/>
  <c r="M276" i="1"/>
  <c r="M208" i="1"/>
  <c r="G208" i="1"/>
  <c r="M209" i="1"/>
  <c r="G209" i="1"/>
  <c r="M28" i="1"/>
  <c r="G28" i="1"/>
  <c r="M188" i="1"/>
  <c r="G188" i="1"/>
  <c r="G274" i="1"/>
  <c r="M274" i="1"/>
  <c r="G294" i="1"/>
  <c r="M294" i="1"/>
  <c r="M226" i="1"/>
  <c r="G226" i="1"/>
  <c r="M245" i="1"/>
  <c r="G245" i="1"/>
  <c r="M43" i="1"/>
  <c r="G43" i="1"/>
  <c r="M204" i="1"/>
  <c r="G204" i="1"/>
  <c r="G85" i="1"/>
  <c r="M85" i="1"/>
  <c r="G260" i="1"/>
  <c r="M260" i="1"/>
  <c r="M297" i="1"/>
  <c r="G297" i="1"/>
  <c r="M59" i="1"/>
  <c r="G59" i="1"/>
  <c r="M27" i="1"/>
  <c r="G27" i="1"/>
  <c r="M10" i="1"/>
  <c r="G10" i="1"/>
  <c r="G277" i="1"/>
  <c r="M277" i="1"/>
  <c r="M90" i="1"/>
  <c r="G90" i="1"/>
  <c r="M58" i="1"/>
  <c r="G58" i="1"/>
  <c r="G295" i="1"/>
  <c r="M295" i="1"/>
  <c r="M107" i="1"/>
  <c r="G107" i="1"/>
  <c r="M106" i="1"/>
  <c r="G106" i="1"/>
  <c r="M124" i="1"/>
  <c r="G124" i="1"/>
  <c r="M123" i="1"/>
  <c r="G123" i="1"/>
  <c r="G230" i="1"/>
  <c r="M230" i="1"/>
  <c r="M298" i="1"/>
  <c r="G298" i="1"/>
  <c r="G264" i="1"/>
  <c r="M264" i="1"/>
  <c r="M42" i="1"/>
  <c r="G42" i="1"/>
  <c r="G24" i="1"/>
  <c r="M24" i="1"/>
  <c r="M299" i="1"/>
  <c r="G299" i="1"/>
  <c r="M220" i="1"/>
  <c r="G220" i="1"/>
  <c r="G86" i="1"/>
  <c r="M86" i="1"/>
  <c r="G39" i="1"/>
  <c r="M39" i="1"/>
  <c r="M121" i="1"/>
  <c r="G121" i="1"/>
  <c r="M74" i="1"/>
  <c r="G74" i="1"/>
  <c r="M187" i="1"/>
  <c r="G187" i="1"/>
  <c r="M138" i="1"/>
  <c r="G138" i="1"/>
  <c r="G87" i="1"/>
  <c r="M87" i="1"/>
  <c r="M203" i="1"/>
  <c r="G203" i="1"/>
  <c r="M155" i="1"/>
  <c r="G155" i="1"/>
  <c r="M76" i="1"/>
  <c r="G76" i="1"/>
  <c r="M26" i="1"/>
  <c r="G26" i="1"/>
  <c r="J5" i="1" l="1"/>
  <c r="J7" i="1"/>
  <c r="J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B5" authorId="0" shapeId="0" xr:uid="{681D7A44-0885-4B2B-B06F-BCBA02230BBA}">
      <text>
        <r>
          <rPr>
            <b/>
            <sz val="9"/>
            <color indexed="81"/>
            <rFont val="Tahoma"/>
            <family val="2"/>
          </rPr>
          <t>Michael Nugent:</t>
        </r>
        <r>
          <rPr>
            <sz val="9"/>
            <color indexed="81"/>
            <rFont val="Tahoma"/>
            <family val="2"/>
          </rPr>
          <t xml:space="preserve">
use the RUA worksheet to calculate the benchmark 7 year cumulative return</t>
        </r>
      </text>
    </comment>
    <comment ref="A8" authorId="0" shapeId="0" xr:uid="{2DE19FEB-348D-2A4C-BC25-D7ECEC8FD66F}">
      <text>
        <r>
          <rPr>
            <b/>
            <sz val="10"/>
            <color rgb="FF000000"/>
            <rFont val="Tahoma"/>
            <family val="2"/>
          </rPr>
          <t>Michael Nugent:</t>
        </r>
        <r>
          <rPr>
            <sz val="10"/>
            <color rgb="FF000000"/>
            <rFont val="Tahoma"/>
            <family val="2"/>
          </rPr>
          <t xml:space="preserve">
</t>
        </r>
        <r>
          <rPr>
            <sz val="10"/>
            <color rgb="FF000000"/>
            <rFont val="Tahoma"/>
            <family val="2"/>
          </rPr>
          <t xml:space="preserve">USE 
</t>
        </r>
        <r>
          <rPr>
            <sz val="10"/>
            <color rgb="FF000000"/>
            <rFont val="Tahoma"/>
            <family val="2"/>
          </rPr>
          <t xml:space="preserve">XLOOKUP </t>
        </r>
      </text>
    </comment>
    <comment ref="B8" authorId="0" shapeId="0" xr:uid="{0FDA1513-1F95-EA48-BC4C-2DA00BBFB9AC}">
      <text>
        <r>
          <rPr>
            <b/>
            <sz val="10"/>
            <color rgb="FF000000"/>
            <rFont val="Tahoma"/>
            <family val="2"/>
          </rPr>
          <t>Michael Nugent:</t>
        </r>
        <r>
          <rPr>
            <sz val="10"/>
            <color rgb="FF000000"/>
            <rFont val="Tahoma"/>
            <family val="2"/>
          </rPr>
          <t xml:space="preserve">
</t>
        </r>
        <r>
          <rPr>
            <sz val="10"/>
            <color rgb="FF000000"/>
            <rFont val="Tahoma"/>
            <family val="2"/>
          </rPr>
          <t xml:space="preserve">Use XLOOKUP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<sst xmlns="http://schemas.openxmlformats.org/spreadsheetml/2006/main" count="9618" uniqueCount="5803">
  <si>
    <r>
      <rPr>
        <b/>
        <sz val="10"/>
        <rFont val="Verdana"/>
        <family val="2"/>
      </rPr>
      <t>Grouping</t>
    </r>
    <r>
      <rPr>
        <sz val="10"/>
        <rFont val="Verdana"/>
        <family val="2"/>
      </rPr>
      <t>:Morningstar Industry</t>
    </r>
  </si>
  <si>
    <t>Weights %</t>
  </si>
  <si>
    <t>Ticker</t>
  </si>
  <si>
    <t>Portfolio</t>
  </si>
  <si>
    <t>Advertising Agencies</t>
  </si>
  <si>
    <t>OMC</t>
  </si>
  <si>
    <t>IPG</t>
  </si>
  <si>
    <t>Aerospace &amp; Defense</t>
  </si>
  <si>
    <t>AJRD</t>
  </si>
  <si>
    <t>ATRO</t>
  </si>
  <si>
    <t>BWXT</t>
  </si>
  <si>
    <t>CUB</t>
  </si>
  <si>
    <t>HEI.A</t>
  </si>
  <si>
    <t>HII</t>
  </si>
  <si>
    <t>OA</t>
  </si>
  <si>
    <t>TXT</t>
  </si>
  <si>
    <t>WWD</t>
  </si>
  <si>
    <t>AIR</t>
  </si>
  <si>
    <t>AVAV</t>
  </si>
  <si>
    <t>AOBC</t>
  </si>
  <si>
    <t>AAXN</t>
  </si>
  <si>
    <t>BA</t>
  </si>
  <si>
    <t>DGI</t>
  </si>
  <si>
    <t>DCO</t>
  </si>
  <si>
    <t>ESL</t>
  </si>
  <si>
    <t>GD</t>
  </si>
  <si>
    <t>HEI</t>
  </si>
  <si>
    <t>HXL</t>
  </si>
  <si>
    <t>KAMN</t>
  </si>
  <si>
    <t>KLXI</t>
  </si>
  <si>
    <t>LLL</t>
  </si>
  <si>
    <t>LMT</t>
  </si>
  <si>
    <t>MOG.A</t>
  </si>
  <si>
    <t>NPK</t>
  </si>
  <si>
    <t>NOC</t>
  </si>
  <si>
    <t>RTN</t>
  </si>
  <si>
    <t>COL</t>
  </si>
  <si>
    <t>SPR</t>
  </si>
  <si>
    <t>RGR</t>
  </si>
  <si>
    <t>TDG</t>
  </si>
  <si>
    <t>TGI</t>
  </si>
  <si>
    <t>UTX</t>
  </si>
  <si>
    <t>Agricultural Inputs</t>
  </si>
  <si>
    <t>MOS</t>
  </si>
  <si>
    <t>AGFS</t>
  </si>
  <si>
    <t>AVD</t>
  </si>
  <si>
    <t>CF</t>
  </si>
  <si>
    <t>DD</t>
  </si>
  <si>
    <t>MON</t>
  </si>
  <si>
    <t>SMG</t>
  </si>
  <si>
    <t>Airlines</t>
  </si>
  <si>
    <t>ALGT</t>
  </si>
  <si>
    <t>ALK</t>
  </si>
  <si>
    <t>AAL</t>
  </si>
  <si>
    <t>CPA</t>
  </si>
  <si>
    <t>DAL</t>
  </si>
  <si>
    <t>HA</t>
  </si>
  <si>
    <t>JBLU</t>
  </si>
  <si>
    <t>SKYW</t>
  </si>
  <si>
    <t>LUV</t>
  </si>
  <si>
    <t>SAVE</t>
  </si>
  <si>
    <t>UAL</t>
  </si>
  <si>
    <t>Airports &amp; Air Services</t>
  </si>
  <si>
    <t>ATSG</t>
  </si>
  <si>
    <t>AAWW</t>
  </si>
  <si>
    <t>ERA</t>
  </si>
  <si>
    <t>MIC</t>
  </si>
  <si>
    <t>PHIIK</t>
  </si>
  <si>
    <t>Aluminum</t>
  </si>
  <si>
    <t>AA</t>
  </si>
  <si>
    <t>CENX</t>
  </si>
  <si>
    <t>KALU</t>
  </si>
  <si>
    <t>Apparel Manufacturing</t>
  </si>
  <si>
    <t>PERY</t>
  </si>
  <si>
    <t>CRI</t>
  </si>
  <si>
    <t>COLM</t>
  </si>
  <si>
    <t>DLA</t>
  </si>
  <si>
    <t>GIII</t>
  </si>
  <si>
    <t>HBI</t>
  </si>
  <si>
    <t>ICON</t>
  </si>
  <si>
    <t>KATE</t>
  </si>
  <si>
    <t>KORS</t>
  </si>
  <si>
    <t>OXM</t>
  </si>
  <si>
    <t>PVH</t>
  </si>
  <si>
    <t>RL</t>
  </si>
  <si>
    <t>SQBG</t>
  </si>
  <si>
    <t>SGC</t>
  </si>
  <si>
    <t>UAA</t>
  </si>
  <si>
    <t>UA</t>
  </si>
  <si>
    <t>UNF</t>
  </si>
  <si>
    <t>VFC</t>
  </si>
  <si>
    <t>Apparel Stores</t>
  </si>
  <si>
    <t>PLCE</t>
  </si>
  <si>
    <t>EXPR</t>
  </si>
  <si>
    <t>GCO</t>
  </si>
  <si>
    <t>ANF</t>
  </si>
  <si>
    <t>AEO</t>
  </si>
  <si>
    <t>ASNA</t>
  </si>
  <si>
    <t>BOOT</t>
  </si>
  <si>
    <t>BKE</t>
  </si>
  <si>
    <t>CATO</t>
  </si>
  <si>
    <t>CHS</t>
  </si>
  <si>
    <t>CTRN</t>
  </si>
  <si>
    <t>DSW</t>
  </si>
  <si>
    <t>DLTH</t>
  </si>
  <si>
    <t>FRAN</t>
  </si>
  <si>
    <t>GPS</t>
  </si>
  <si>
    <t>GES</t>
  </si>
  <si>
    <t>LB</t>
  </si>
  <si>
    <t>LULU</t>
  </si>
  <si>
    <t>ROST</t>
  </si>
  <si>
    <t>SCVL</t>
  </si>
  <si>
    <t>TLRD</t>
  </si>
  <si>
    <t>TLYS</t>
  </si>
  <si>
    <t>TJX</t>
  </si>
  <si>
    <t>URBN</t>
  </si>
  <si>
    <t>Asset Management</t>
  </si>
  <si>
    <t>AMP</t>
  </si>
  <si>
    <t>CNS</t>
  </si>
  <si>
    <t>FII</t>
  </si>
  <si>
    <t>FNGN</t>
  </si>
  <si>
    <t>PJC</t>
  </si>
  <si>
    <t>AMG</t>
  </si>
  <si>
    <t>APAM</t>
  </si>
  <si>
    <t>RILY</t>
  </si>
  <si>
    <t>BK</t>
  </si>
  <si>
    <t>BLK</t>
  </si>
  <si>
    <t>DHIL</t>
  </si>
  <si>
    <t>EV</t>
  </si>
  <si>
    <t>ECPG</t>
  </si>
  <si>
    <t>FSAM</t>
  </si>
  <si>
    <t>BEN</t>
  </si>
  <si>
    <t>GBL</t>
  </si>
  <si>
    <t>IVZ</t>
  </si>
  <si>
    <t>LM</t>
  </si>
  <si>
    <t>MDLY</t>
  </si>
  <si>
    <t>MC</t>
  </si>
  <si>
    <t>NTRS</t>
  </si>
  <si>
    <t>OMAM</t>
  </si>
  <si>
    <t>PZN</t>
  </si>
  <si>
    <t>SFE</t>
  </si>
  <si>
    <t>SEIC</t>
  </si>
  <si>
    <t>SAMG</t>
  </si>
  <si>
    <t>STT</t>
  </si>
  <si>
    <t>TROW</t>
  </si>
  <si>
    <t>VRTS</t>
  </si>
  <si>
    <t>VOYA</t>
  </si>
  <si>
    <t>WDR</t>
  </si>
  <si>
    <t>WHG</t>
  </si>
  <si>
    <t>WINS</t>
  </si>
  <si>
    <t>WETF</t>
  </si>
  <si>
    <t>Auto &amp; Truck Dealerships</t>
  </si>
  <si>
    <t>CRMT</t>
  </si>
  <si>
    <t>ABG</t>
  </si>
  <si>
    <t>AN</t>
  </si>
  <si>
    <t>KMX</t>
  </si>
  <si>
    <t>CPRT</t>
  </si>
  <si>
    <t>GPI</t>
  </si>
  <si>
    <t>LAD</t>
  </si>
  <si>
    <t>PAG</t>
  </si>
  <si>
    <t>RUSHA</t>
  </si>
  <si>
    <t>RUSHB</t>
  </si>
  <si>
    <t>SAH</t>
  </si>
  <si>
    <t>Auto Manufacturers</t>
  </si>
  <si>
    <t>F</t>
  </si>
  <si>
    <t>BLBD</t>
  </si>
  <si>
    <t>GM</t>
  </si>
  <si>
    <t>TSLA</t>
  </si>
  <si>
    <t>Auto Parts</t>
  </si>
  <si>
    <t>ADNT</t>
  </si>
  <si>
    <t>BWA</t>
  </si>
  <si>
    <t>DORM</t>
  </si>
  <si>
    <t>GNTX</t>
  </si>
  <si>
    <t>MLR</t>
  </si>
  <si>
    <t>MNRO</t>
  </si>
  <si>
    <t>MPAA</t>
  </si>
  <si>
    <t>TOWR</t>
  </si>
  <si>
    <t>ALSN</t>
  </si>
  <si>
    <t>AXL</t>
  </si>
  <si>
    <t>CPS</t>
  </si>
  <si>
    <t>DAN</t>
  </si>
  <si>
    <t>DLPH</t>
  </si>
  <si>
    <t>PLOW</t>
  </si>
  <si>
    <t>THRM</t>
  </si>
  <si>
    <t>LEA</t>
  </si>
  <si>
    <t>LKQ</t>
  </si>
  <si>
    <t>LDL</t>
  </si>
  <si>
    <t>MTOR</t>
  </si>
  <si>
    <t>MOD</t>
  </si>
  <si>
    <t>SMP</t>
  </si>
  <si>
    <t>SRI</t>
  </si>
  <si>
    <t>SUP</t>
  </si>
  <si>
    <t>TEN</t>
  </si>
  <si>
    <t>VC</t>
  </si>
  <si>
    <t>WBC</t>
  </si>
  <si>
    <t>Banks - Global</t>
  </si>
  <si>
    <t>WFC</t>
  </si>
  <si>
    <t>BAC</t>
  </si>
  <si>
    <t>C</t>
  </si>
  <si>
    <t>EWBC</t>
  </si>
  <si>
    <t>JPM</t>
  </si>
  <si>
    <t>Banks - Regional - Latin America</t>
  </si>
  <si>
    <t>BLX</t>
  </si>
  <si>
    <t>Banks - Regional - US</t>
  </si>
  <si>
    <t>BMRC</t>
  </si>
  <si>
    <t>BKU</t>
  </si>
  <si>
    <t>BPFH</t>
  </si>
  <si>
    <t>BRKL</t>
  </si>
  <si>
    <t>CBF</t>
  </si>
  <si>
    <t>CSFL</t>
  </si>
  <si>
    <t>CUNB</t>
  </si>
  <si>
    <t>CUBI</t>
  </si>
  <si>
    <t>EQBK</t>
  </si>
  <si>
    <t>FCF</t>
  </si>
  <si>
    <t>FHN</t>
  </si>
  <si>
    <t>HTLF</t>
  </si>
  <si>
    <t>LCNB</t>
  </si>
  <si>
    <t>MBTF</t>
  </si>
  <si>
    <t>MBWM</t>
  </si>
  <si>
    <t>PACW</t>
  </si>
  <si>
    <t>PWOD</t>
  </si>
  <si>
    <t>PNFP</t>
  </si>
  <si>
    <t>PB</t>
  </si>
  <si>
    <t>SHBI</t>
  </si>
  <si>
    <t>BSRR</t>
  </si>
  <si>
    <t>SFNC</t>
  </si>
  <si>
    <t>SSB</t>
  </si>
  <si>
    <t>OKSB</t>
  </si>
  <si>
    <t>TCF</t>
  </si>
  <si>
    <t>TCBI</t>
  </si>
  <si>
    <t>UBSI</t>
  </si>
  <si>
    <t>VBTX</t>
  </si>
  <si>
    <t>SRCE</t>
  </si>
  <si>
    <t>ANCX</t>
  </si>
  <si>
    <t>ACNB</t>
  </si>
  <si>
    <t>ABTX</t>
  </si>
  <si>
    <t>AMNB</t>
  </si>
  <si>
    <t>ABCB</t>
  </si>
  <si>
    <t>ATLO</t>
  </si>
  <si>
    <t>AROW</t>
  </si>
  <si>
    <t>ASB</t>
  </si>
  <si>
    <t>ACBI</t>
  </si>
  <si>
    <t>BANC</t>
  </si>
  <si>
    <t>BANF</t>
  </si>
  <si>
    <t>BXS</t>
  </si>
  <si>
    <t>BOH</t>
  </si>
  <si>
    <t>OZRK</t>
  </si>
  <si>
    <t>BFIN</t>
  </si>
  <si>
    <t>BWFG</t>
  </si>
  <si>
    <t>BANR</t>
  </si>
  <si>
    <t>BHB</t>
  </si>
  <si>
    <t>BBT</t>
  </si>
  <si>
    <t>BNCL</t>
  </si>
  <si>
    <t>BHLB</t>
  </si>
  <si>
    <t>BHBK</t>
  </si>
  <si>
    <t>BOKF</t>
  </si>
  <si>
    <t>BDGE</t>
  </si>
  <si>
    <t>BMTC</t>
  </si>
  <si>
    <t>BLMT</t>
  </si>
  <si>
    <t>CFFI</t>
  </si>
  <si>
    <t>CFNB</t>
  </si>
  <si>
    <t>CAC</t>
  </si>
  <si>
    <t>CCBG</t>
  </si>
  <si>
    <t>CSTR</t>
  </si>
  <si>
    <t>CARO</t>
  </si>
  <si>
    <t>CATY</t>
  </si>
  <si>
    <t>CPF</t>
  </si>
  <si>
    <t>CVCY</t>
  </si>
  <si>
    <t>CNBKA</t>
  </si>
  <si>
    <t>CHFN</t>
  </si>
  <si>
    <t>CHFC</t>
  </si>
  <si>
    <t>CHMG</t>
  </si>
  <si>
    <t>CIT</t>
  </si>
  <si>
    <t>CZNC</t>
  </si>
  <si>
    <t>CFG</t>
  </si>
  <si>
    <t>CHCO</t>
  </si>
  <si>
    <t>CCNE</t>
  </si>
  <si>
    <t>COBZ</t>
  </si>
  <si>
    <t>CVLY</t>
  </si>
  <si>
    <t>COLB</t>
  </si>
  <si>
    <t>CMA</t>
  </si>
  <si>
    <t>CBSH</t>
  </si>
  <si>
    <t>CBU</t>
  </si>
  <si>
    <t>CTBI</t>
  </si>
  <si>
    <t>CNOB</t>
  </si>
  <si>
    <t>CFR</t>
  </si>
  <si>
    <t>CVBF</t>
  </si>
  <si>
    <t>EGBN</t>
  </si>
  <si>
    <t>EFSC</t>
  </si>
  <si>
    <t>FNB</t>
  </si>
  <si>
    <t>FFKT</t>
  </si>
  <si>
    <t>FMNB</t>
  </si>
  <si>
    <t>FBK</t>
  </si>
  <si>
    <t>FCB</t>
  </si>
  <si>
    <t>LION</t>
  </si>
  <si>
    <t>FITB</t>
  </si>
  <si>
    <t>FISI</t>
  </si>
  <si>
    <t>FBP</t>
  </si>
  <si>
    <t>FBNC</t>
  </si>
  <si>
    <t>FNLC</t>
  </si>
  <si>
    <t>BUSE</t>
  </si>
  <si>
    <t>FBIZ</t>
  </si>
  <si>
    <t>FCNCA</t>
  </si>
  <si>
    <t>FCBC</t>
  </si>
  <si>
    <t>FCFP</t>
  </si>
  <si>
    <t>FBNK</t>
  </si>
  <si>
    <t>FFBC</t>
  </si>
  <si>
    <t>FFIN</t>
  </si>
  <si>
    <t>THFF</t>
  </si>
  <si>
    <t>FFNW</t>
  </si>
  <si>
    <t>FFWM</t>
  </si>
  <si>
    <t>FHB</t>
  </si>
  <si>
    <t>INBK</t>
  </si>
  <si>
    <t>FIBK</t>
  </si>
  <si>
    <t>FRME</t>
  </si>
  <si>
    <t>FMBH</t>
  </si>
  <si>
    <t>FMBI</t>
  </si>
  <si>
    <t>FLIC</t>
  </si>
  <si>
    <t>FRC</t>
  </si>
  <si>
    <t>FSB</t>
  </si>
  <si>
    <t>FULT</t>
  </si>
  <si>
    <t>GABC</t>
  </si>
  <si>
    <t>GBCI</t>
  </si>
  <si>
    <t>GSBC</t>
  </si>
  <si>
    <t>GWB</t>
  </si>
  <si>
    <t>GNBC</t>
  </si>
  <si>
    <t>GBNK</t>
  </si>
  <si>
    <t>HBHC</t>
  </si>
  <si>
    <t>HAFC</t>
  </si>
  <si>
    <t>HTBK</t>
  </si>
  <si>
    <t>HFWA</t>
  </si>
  <si>
    <t>HOMB</t>
  </si>
  <si>
    <t>HTBI</t>
  </si>
  <si>
    <t>HOPE</t>
  </si>
  <si>
    <t>HBNC</t>
  </si>
  <si>
    <t>HBAN</t>
  </si>
  <si>
    <t>IBKC</t>
  </si>
  <si>
    <t>INDB</t>
  </si>
  <si>
    <t>IBCP</t>
  </si>
  <si>
    <t>IBTX</t>
  </si>
  <si>
    <t>IBOC</t>
  </si>
  <si>
    <t>KEY</t>
  </si>
  <si>
    <t>LBAI</t>
  </si>
  <si>
    <t>LKFN</t>
  </si>
  <si>
    <t>LTXB</t>
  </si>
  <si>
    <t>MTB</t>
  </si>
  <si>
    <t>MCBC</t>
  </si>
  <si>
    <t>MSFG</t>
  </si>
  <si>
    <t>MBFI</t>
  </si>
  <si>
    <t>MSBI</t>
  </si>
  <si>
    <t>MOFG</t>
  </si>
  <si>
    <t>MFSF</t>
  </si>
  <si>
    <t>NBHC</t>
  </si>
  <si>
    <t>NKSH</t>
  </si>
  <si>
    <t>NCOM</t>
  </si>
  <si>
    <t>NBTB</t>
  </si>
  <si>
    <t>NCBS</t>
  </si>
  <si>
    <t>NFBK</t>
  </si>
  <si>
    <t>NRIM</t>
  </si>
  <si>
    <t>OFG</t>
  </si>
  <si>
    <t>OLBK</t>
  </si>
  <si>
    <t>ONB</t>
  </si>
  <si>
    <t>OSBC</t>
  </si>
  <si>
    <t>OPB</t>
  </si>
  <si>
    <t>ORIT</t>
  </si>
  <si>
    <t>ORRF</t>
  </si>
  <si>
    <t>PCBK</t>
  </si>
  <si>
    <t>PMBC</t>
  </si>
  <si>
    <t>PPBI</t>
  </si>
  <si>
    <t>PBNC</t>
  </si>
  <si>
    <t>PRK</t>
  </si>
  <si>
    <t>PSTB</t>
  </si>
  <si>
    <t>PGC</t>
  </si>
  <si>
    <t>PBCT</t>
  </si>
  <si>
    <t>PUB</t>
  </si>
  <si>
    <t>PEBO</t>
  </si>
  <si>
    <t>PFIS</t>
  </si>
  <si>
    <t>PNC</t>
  </si>
  <si>
    <t>BPOP</t>
  </si>
  <si>
    <t>PFBC</t>
  </si>
  <si>
    <t>PFBI</t>
  </si>
  <si>
    <t>PVBC</t>
  </si>
  <si>
    <t>QCRH</t>
  </si>
  <si>
    <t>RF</t>
  </si>
  <si>
    <t>RNST</t>
  </si>
  <si>
    <t>RBCAA</t>
  </si>
  <si>
    <t>FRBK</t>
  </si>
  <si>
    <t>STBA</t>
  </si>
  <si>
    <t>SASR</t>
  </si>
  <si>
    <t>SBCF</t>
  </si>
  <si>
    <t>SFBS</t>
  </si>
  <si>
    <t>SBNY</t>
  </si>
  <si>
    <t>SFST</t>
  </si>
  <si>
    <t>SONA</t>
  </si>
  <si>
    <t>SBSI</t>
  </si>
  <si>
    <t>STBZ</t>
  </si>
  <si>
    <t>STL</t>
  </si>
  <si>
    <t>SYBT</t>
  </si>
  <si>
    <t>SGBK</t>
  </si>
  <si>
    <t>SMMF</t>
  </si>
  <si>
    <t>SNBC</t>
  </si>
  <si>
    <t>STI</t>
  </si>
  <si>
    <t>SIVB</t>
  </si>
  <si>
    <t>SNV</t>
  </si>
  <si>
    <t>TFSL</t>
  </si>
  <si>
    <t>TBBK</t>
  </si>
  <si>
    <t>TMP</t>
  </si>
  <si>
    <t>TOWN</t>
  </si>
  <si>
    <t>TCBK</t>
  </si>
  <si>
    <t>TSC</t>
  </si>
  <si>
    <t>TBK</t>
  </si>
  <si>
    <t>TRST</t>
  </si>
  <si>
    <t>TRMK</t>
  </si>
  <si>
    <t>UMBF</t>
  </si>
  <si>
    <t>UMPQ</t>
  </si>
  <si>
    <t>UBSH</t>
  </si>
  <si>
    <t>UNB</t>
  </si>
  <si>
    <t>UCBI</t>
  </si>
  <si>
    <t>UVSP</t>
  </si>
  <si>
    <t>USB</t>
  </si>
  <si>
    <t>VLY</t>
  </si>
  <si>
    <t>WASH</t>
  </si>
  <si>
    <t>WFBI</t>
  </si>
  <si>
    <t>WBS</t>
  </si>
  <si>
    <t>WSBC</t>
  </si>
  <si>
    <t>WTBA</t>
  </si>
  <si>
    <t>WABC</t>
  </si>
  <si>
    <t>WAL</t>
  </si>
  <si>
    <t>WNEB</t>
  </si>
  <si>
    <t>WTFC</t>
  </si>
  <si>
    <t>WSFS</t>
  </si>
  <si>
    <t>XBKS</t>
  </si>
  <si>
    <t>ZION</t>
  </si>
  <si>
    <t>Beverages - Brewers</t>
  </si>
  <si>
    <t>SAM</t>
  </si>
  <si>
    <t>BREW</t>
  </si>
  <si>
    <t>TAP</t>
  </si>
  <si>
    <t>Beverages - Soft Drinks</t>
  </si>
  <si>
    <t>DPS</t>
  </si>
  <si>
    <t>COKE</t>
  </si>
  <si>
    <t>KO</t>
  </si>
  <si>
    <t>MNST</t>
  </si>
  <si>
    <t>FIZZ</t>
  </si>
  <si>
    <t>PEP</t>
  </si>
  <si>
    <t>PRMW</t>
  </si>
  <si>
    <t>Beverages - Wineries &amp; Distilleries</t>
  </si>
  <si>
    <t>BF.A</t>
  </si>
  <si>
    <t>BF.B</t>
  </si>
  <si>
    <t>STZ</t>
  </si>
  <si>
    <t>Biotechnology</t>
  </si>
  <si>
    <t>ACAD</t>
  </si>
  <si>
    <t>AGIO</t>
  </si>
  <si>
    <t>ALDR</t>
  </si>
  <si>
    <t>ARRY</t>
  </si>
  <si>
    <t>ATRA</t>
  </si>
  <si>
    <t>ATHX</t>
  </si>
  <si>
    <t>BCRX</t>
  </si>
  <si>
    <t>BIIB</t>
  </si>
  <si>
    <t>BTX</t>
  </si>
  <si>
    <t>CLDX</t>
  </si>
  <si>
    <t>CERS</t>
  </si>
  <si>
    <t>CRIS</t>
  </si>
  <si>
    <t>CTMX</t>
  </si>
  <si>
    <t>DERM</t>
  </si>
  <si>
    <t>FPRX</t>
  </si>
  <si>
    <t>GBT</t>
  </si>
  <si>
    <t>IDRA</t>
  </si>
  <si>
    <t>NLNK</t>
  </si>
  <si>
    <t>PGNX</t>
  </si>
  <si>
    <t>PRTA</t>
  </si>
  <si>
    <t>TRVN</t>
  </si>
  <si>
    <t>VYGR</t>
  </si>
  <si>
    <t>VTVT</t>
  </si>
  <si>
    <t>WVE</t>
  </si>
  <si>
    <t>XBIT</t>
  </si>
  <si>
    <t>XLRN</t>
  </si>
  <si>
    <t>ACHN</t>
  </si>
  <si>
    <t>ACRS</t>
  </si>
  <si>
    <t>ACOR</t>
  </si>
  <si>
    <t>ADRO</t>
  </si>
  <si>
    <t>ADXS</t>
  </si>
  <si>
    <t>AGEN</t>
  </si>
  <si>
    <t>AIMT</t>
  </si>
  <si>
    <t>AKBA</t>
  </si>
  <si>
    <t>AMRI</t>
  </si>
  <si>
    <t>ALXN</t>
  </si>
  <si>
    <t>ALKS</t>
  </si>
  <si>
    <t>ALNY</t>
  </si>
  <si>
    <t>AMAG</t>
  </si>
  <si>
    <t>AMGN</t>
  </si>
  <si>
    <t>FOLD</t>
  </si>
  <si>
    <t>ANAB</t>
  </si>
  <si>
    <t>AVXL</t>
  </si>
  <si>
    <t>ANIP</t>
  </si>
  <si>
    <t>ANIK</t>
  </si>
  <si>
    <t>PETX</t>
  </si>
  <si>
    <t>ARDX</t>
  </si>
  <si>
    <t>ARNA</t>
  </si>
  <si>
    <t>AST</t>
  </si>
  <si>
    <t>BOLD</t>
  </si>
  <si>
    <t>AVXS</t>
  </si>
  <si>
    <t>AXON</t>
  </si>
  <si>
    <t>BLCM</t>
  </si>
  <si>
    <t>TECH</t>
  </si>
  <si>
    <t>BMRN</t>
  </si>
  <si>
    <t>BSTC</t>
  </si>
  <si>
    <t>BIVV</t>
  </si>
  <si>
    <t>BLUE</t>
  </si>
  <si>
    <t>BPMC</t>
  </si>
  <si>
    <t>CBM</t>
  </si>
  <si>
    <t>CARA</t>
  </si>
  <si>
    <t>CELG</t>
  </si>
  <si>
    <t>CEMP</t>
  </si>
  <si>
    <t>CCXI</t>
  </si>
  <si>
    <t>CMRX</t>
  </si>
  <si>
    <t>CLSD</t>
  </si>
  <si>
    <t>CLVS</t>
  </si>
  <si>
    <t>CDXS</t>
  </si>
  <si>
    <t>CHRS</t>
  </si>
  <si>
    <t>CNCE</t>
  </si>
  <si>
    <t>CORT</t>
  </si>
  <si>
    <t>CRVS</t>
  </si>
  <si>
    <t>CYTK</t>
  </si>
  <si>
    <t>DVAX</t>
  </si>
  <si>
    <t>EDGE</t>
  </si>
  <si>
    <t>EDIT</t>
  </si>
  <si>
    <t>EBS</t>
  </si>
  <si>
    <t>ENTA</t>
  </si>
  <si>
    <t>EPZM</t>
  </si>
  <si>
    <t>ESPR</t>
  </si>
  <si>
    <t>EXEL</t>
  </si>
  <si>
    <t>FGEN</t>
  </si>
  <si>
    <t>FBIO</t>
  </si>
  <si>
    <t>GERN</t>
  </si>
  <si>
    <t>GILD</t>
  </si>
  <si>
    <t>HALO</t>
  </si>
  <si>
    <t>RXDX</t>
  </si>
  <si>
    <t>IMDZ</t>
  </si>
  <si>
    <t>IMGN</t>
  </si>
  <si>
    <t>IMMU</t>
  </si>
  <si>
    <t>INCY</t>
  </si>
  <si>
    <t>INVA</t>
  </si>
  <si>
    <t>INO</t>
  </si>
  <si>
    <t>INSM</t>
  </si>
  <si>
    <t>INSY</t>
  </si>
  <si>
    <t>NTLA</t>
  </si>
  <si>
    <t>ICPT</t>
  </si>
  <si>
    <t>ITCI</t>
  </si>
  <si>
    <t>XON</t>
  </si>
  <si>
    <t>IONS</t>
  </si>
  <si>
    <t>JNCE</t>
  </si>
  <si>
    <t>JUNO</t>
  </si>
  <si>
    <t>KERX</t>
  </si>
  <si>
    <t>KITE</t>
  </si>
  <si>
    <t>LJPC</t>
  </si>
  <si>
    <t>LXRX</t>
  </si>
  <si>
    <t>LGND</t>
  </si>
  <si>
    <t>LOXO</t>
  </si>
  <si>
    <t>MGNX</t>
  </si>
  <si>
    <t>MNOV</t>
  </si>
  <si>
    <t>MACK</t>
  </si>
  <si>
    <t>NERV</t>
  </si>
  <si>
    <t>MYOK</t>
  </si>
  <si>
    <t>NSTG</t>
  </si>
  <si>
    <t>NK</t>
  </si>
  <si>
    <t>NKTR</t>
  </si>
  <si>
    <t>NBIX</t>
  </si>
  <si>
    <t>NVAX</t>
  </si>
  <si>
    <t>OCUL</t>
  </si>
  <si>
    <t>OMER</t>
  </si>
  <si>
    <t>OTIC</t>
  </si>
  <si>
    <t>PRTK</t>
  </si>
  <si>
    <t>PDLI</t>
  </si>
  <si>
    <t>PTLA</t>
  </si>
  <si>
    <t>PTGX</t>
  </si>
  <si>
    <t>PTCT</t>
  </si>
  <si>
    <t>PBYI</t>
  </si>
  <si>
    <t>RARX</t>
  </si>
  <si>
    <t>RETA</t>
  </si>
  <si>
    <t>REGN</t>
  </si>
  <si>
    <t>RGNX</t>
  </si>
  <si>
    <t>RGEN</t>
  </si>
  <si>
    <t>RVNC</t>
  </si>
  <si>
    <t>SAGE</t>
  </si>
  <si>
    <t>SGMO</t>
  </si>
  <si>
    <t>SRPT</t>
  </si>
  <si>
    <t>SGEN</t>
  </si>
  <si>
    <t>SELB</t>
  </si>
  <si>
    <t>MCRB</t>
  </si>
  <si>
    <t>ONCE</t>
  </si>
  <si>
    <t>SPPI</t>
  </si>
  <si>
    <t>STML</t>
  </si>
  <si>
    <t>SYRS</t>
  </si>
  <si>
    <t>TSRO</t>
  </si>
  <si>
    <t>TGTX</t>
  </si>
  <si>
    <t>TBPH</t>
  </si>
  <si>
    <t>RARE</t>
  </si>
  <si>
    <t>UTHR</t>
  </si>
  <si>
    <t>VNDA</t>
  </si>
  <si>
    <t>VCYT</t>
  </si>
  <si>
    <t>VSAR</t>
  </si>
  <si>
    <t>VRTX</t>
  </si>
  <si>
    <t>XNCR</t>
  </si>
  <si>
    <t>ZIOP</t>
  </si>
  <si>
    <t>Broadcasting - Radio</t>
  </si>
  <si>
    <t>ETM</t>
  </si>
  <si>
    <t>P</t>
  </si>
  <si>
    <t>LSXMA</t>
  </si>
  <si>
    <t>LSXMK</t>
  </si>
  <si>
    <t>SGA</t>
  </si>
  <si>
    <t>SALM</t>
  </si>
  <si>
    <t>SIRI</t>
  </si>
  <si>
    <t>TSQ</t>
  </si>
  <si>
    <t>Broadcasting - TV</t>
  </si>
  <si>
    <t>SBGI</t>
  </si>
  <si>
    <t>CETV</t>
  </si>
  <si>
    <t>EVC</t>
  </si>
  <si>
    <t>GTN</t>
  </si>
  <si>
    <t>FWONA</t>
  </si>
  <si>
    <t>FWONK</t>
  </si>
  <si>
    <t>NWSA</t>
  </si>
  <si>
    <t>NWS</t>
  </si>
  <si>
    <t>NXST</t>
  </si>
  <si>
    <t>SNI</t>
  </si>
  <si>
    <t>TGNA</t>
  </si>
  <si>
    <t>SSP</t>
  </si>
  <si>
    <t>TRCO</t>
  </si>
  <si>
    <t>Building Materials</t>
  </si>
  <si>
    <t>BECN</t>
  </si>
  <si>
    <t>EXP</t>
  </si>
  <si>
    <t>GFF</t>
  </si>
  <si>
    <t>USG</t>
  </si>
  <si>
    <t>AAON</t>
  </si>
  <si>
    <t>APOG</t>
  </si>
  <si>
    <t>AFI</t>
  </si>
  <si>
    <t>AWI</t>
  </si>
  <si>
    <t>BMCH</t>
  </si>
  <si>
    <t>BLDR</t>
  </si>
  <si>
    <t>CSTE</t>
  </si>
  <si>
    <t>CBPX</t>
  </si>
  <si>
    <t>FRTA</t>
  </si>
  <si>
    <t>ROCK</t>
  </si>
  <si>
    <t>GMS</t>
  </si>
  <si>
    <t>IBP</t>
  </si>
  <si>
    <t>JELD</t>
  </si>
  <si>
    <t>JCI</t>
  </si>
  <si>
    <t>LPX</t>
  </si>
  <si>
    <t>MLM</t>
  </si>
  <si>
    <t>MAS</t>
  </si>
  <si>
    <t>DOOR</t>
  </si>
  <si>
    <t>MDU</t>
  </si>
  <si>
    <t>OC</t>
  </si>
  <si>
    <t>PGTI</t>
  </si>
  <si>
    <t>PGEM</t>
  </si>
  <si>
    <t>NX</t>
  </si>
  <si>
    <t>SUM</t>
  </si>
  <si>
    <t>BLD</t>
  </si>
  <si>
    <t>TREX</t>
  </si>
  <si>
    <t>USLM</t>
  </si>
  <si>
    <t>USCR</t>
  </si>
  <si>
    <t>VMC</t>
  </si>
  <si>
    <t>Business Equipment</t>
  </si>
  <si>
    <t>HNI</t>
  </si>
  <si>
    <t>KNL</t>
  </si>
  <si>
    <t>ACCO</t>
  </si>
  <si>
    <t>AVY</t>
  </si>
  <si>
    <t>PMTS</t>
  </si>
  <si>
    <t>EBF</t>
  </si>
  <si>
    <t>ESND</t>
  </si>
  <si>
    <t>MLHR</t>
  </si>
  <si>
    <t>KBAL</t>
  </si>
  <si>
    <t>PBI</t>
  </si>
  <si>
    <t>SCS</t>
  </si>
  <si>
    <t>PAY</t>
  </si>
  <si>
    <t>VRTV</t>
  </si>
  <si>
    <t>Business Services</t>
  </si>
  <si>
    <t>ABM</t>
  </si>
  <si>
    <t>CATM</t>
  </si>
  <si>
    <t>CNDT</t>
  </si>
  <si>
    <t>PAYX</t>
  </si>
  <si>
    <t>TISI</t>
  </si>
  <si>
    <t>ACTG</t>
  </si>
  <si>
    <t>ASPS</t>
  </si>
  <si>
    <t>ARC</t>
  </si>
  <si>
    <t>ADP</t>
  </si>
  <si>
    <t>BAH</t>
  </si>
  <si>
    <t>BR</t>
  </si>
  <si>
    <t>CASS</t>
  </si>
  <si>
    <t>CBZ</t>
  </si>
  <si>
    <t>CTAS</t>
  </si>
  <si>
    <t>CLCT</t>
  </si>
  <si>
    <t>CVG</t>
  </si>
  <si>
    <t>CLGX</t>
  </si>
  <si>
    <t>CRAI</t>
  </si>
  <si>
    <t>DLX</t>
  </si>
  <si>
    <t>DNB</t>
  </si>
  <si>
    <t>EFX</t>
  </si>
  <si>
    <t>EEFT</t>
  </si>
  <si>
    <t>EXLS</t>
  </si>
  <si>
    <t>EXPO</t>
  </si>
  <si>
    <t>FIS</t>
  </si>
  <si>
    <t>FDC</t>
  </si>
  <si>
    <t>FISV</t>
  </si>
  <si>
    <t>FLT</t>
  </si>
  <si>
    <t>FORR</t>
  </si>
  <si>
    <t>FCN</t>
  </si>
  <si>
    <t>G</t>
  </si>
  <si>
    <t>GPN</t>
  </si>
  <si>
    <t>GSOL</t>
  </si>
  <si>
    <t>HCSG</t>
  </si>
  <si>
    <t>HIL</t>
  </si>
  <si>
    <t>HMSY</t>
  </si>
  <si>
    <t>HURN</t>
  </si>
  <si>
    <t>ICFI</t>
  </si>
  <si>
    <t>III</t>
  </si>
  <si>
    <t>NSP</t>
  </si>
  <si>
    <t>IRM</t>
  </si>
  <si>
    <t>JKHY</t>
  </si>
  <si>
    <t>LKSD</t>
  </si>
  <si>
    <t>MMS</t>
  </si>
  <si>
    <t>MORN</t>
  </si>
  <si>
    <t>LABL</t>
  </si>
  <si>
    <t>NCI</t>
  </si>
  <si>
    <t>NSR</t>
  </si>
  <si>
    <t>NLSN</t>
  </si>
  <si>
    <t>QUAD</t>
  </si>
  <si>
    <t>RRD</t>
  </si>
  <si>
    <t>REIS</t>
  </si>
  <si>
    <t>ROL</t>
  </si>
  <si>
    <t>RPXC</t>
  </si>
  <si>
    <t>SERV</t>
  </si>
  <si>
    <t>SP</t>
  </si>
  <si>
    <t>SNX</t>
  </si>
  <si>
    <t>TTEC</t>
  </si>
  <si>
    <t>ABCO</t>
  </si>
  <si>
    <t>HCKT</t>
  </si>
  <si>
    <t>TRU</t>
  </si>
  <si>
    <t>TNET</t>
  </si>
  <si>
    <t>VNTV</t>
  </si>
  <si>
    <t>VEC</t>
  </si>
  <si>
    <t>VRSK</t>
  </si>
  <si>
    <t>VVI</t>
  </si>
  <si>
    <t>WAGE</t>
  </si>
  <si>
    <t>WEX</t>
  </si>
  <si>
    <t>Capital Markets</t>
  </si>
  <si>
    <t>EVR</t>
  </si>
  <si>
    <t>GS</t>
  </si>
  <si>
    <t>GHL</t>
  </si>
  <si>
    <t>AC</t>
  </si>
  <si>
    <t>BGCP</t>
  </si>
  <si>
    <t>SCHW</t>
  </si>
  <si>
    <t>COWN</t>
  </si>
  <si>
    <t>DFIN</t>
  </si>
  <si>
    <t>ETFC</t>
  </si>
  <si>
    <t>ENV</t>
  </si>
  <si>
    <t>FDS</t>
  </si>
  <si>
    <t>GCAP</t>
  </si>
  <si>
    <t>HLI</t>
  </si>
  <si>
    <t>IBKR</t>
  </si>
  <si>
    <t>INTL</t>
  </si>
  <si>
    <t>ITG</t>
  </si>
  <si>
    <t>KCG</t>
  </si>
  <si>
    <t>LTS</t>
  </si>
  <si>
    <t>LAZ</t>
  </si>
  <si>
    <t>LPLA</t>
  </si>
  <si>
    <t>MKTX</t>
  </si>
  <si>
    <t>MCO</t>
  </si>
  <si>
    <t>MS</t>
  </si>
  <si>
    <t>MSCI</t>
  </si>
  <si>
    <t>OPY</t>
  </si>
  <si>
    <t>PJT</t>
  </si>
  <si>
    <t>RJF</t>
  </si>
  <si>
    <t>SPGI</t>
  </si>
  <si>
    <t>SF</t>
  </si>
  <si>
    <t>AMTD</t>
  </si>
  <si>
    <t>VIRT</t>
  </si>
  <si>
    <t>Chemicals</t>
  </si>
  <si>
    <t>BCPC</t>
  </si>
  <si>
    <t>DOW</t>
  </si>
  <si>
    <t>TROX</t>
  </si>
  <si>
    <t>SHLM</t>
  </si>
  <si>
    <t>ASIX</t>
  </si>
  <si>
    <t>APD</t>
  </si>
  <si>
    <t>ASH</t>
  </si>
  <si>
    <t>CE</t>
  </si>
  <si>
    <t>EMN</t>
  </si>
  <si>
    <t>FMC</t>
  </si>
  <si>
    <t>FF</t>
  </si>
  <si>
    <t>HUN</t>
  </si>
  <si>
    <t>LXU</t>
  </si>
  <si>
    <t>MTX</t>
  </si>
  <si>
    <t>RYAM</t>
  </si>
  <si>
    <t>TREC</t>
  </si>
  <si>
    <t>UNVR</t>
  </si>
  <si>
    <t>VHI</t>
  </si>
  <si>
    <t>VSM</t>
  </si>
  <si>
    <t>Coal</t>
  </si>
  <si>
    <t>METC</t>
  </si>
  <si>
    <t>WLB</t>
  </si>
  <si>
    <t>SXC</t>
  </si>
  <si>
    <t>Communication Equipment</t>
  </si>
  <si>
    <t>RNET</t>
  </si>
  <si>
    <t>ACIA</t>
  </si>
  <si>
    <t>ADTN</t>
  </si>
  <si>
    <t>HIVE</t>
  </si>
  <si>
    <t>ARRS</t>
  </si>
  <si>
    <t>CAMP</t>
  </si>
  <si>
    <t>CALX</t>
  </si>
  <si>
    <t>CIEN</t>
  </si>
  <si>
    <t>CSCO</t>
  </si>
  <si>
    <t>CLFD</t>
  </si>
  <si>
    <t>COMM</t>
  </si>
  <si>
    <t>CMTL</t>
  </si>
  <si>
    <t>DGII</t>
  </si>
  <si>
    <t>SATS</t>
  </si>
  <si>
    <t>EXTR</t>
  </si>
  <si>
    <t>FNSR</t>
  </si>
  <si>
    <t>GIMO</t>
  </si>
  <si>
    <t>HLIT</t>
  </si>
  <si>
    <t>HRS</t>
  </si>
  <si>
    <t>HPE</t>
  </si>
  <si>
    <t>INFN</t>
  </si>
  <si>
    <t>JNPR</t>
  </si>
  <si>
    <t>KN</t>
  </si>
  <si>
    <t>KVHI</t>
  </si>
  <si>
    <t>LORL</t>
  </si>
  <si>
    <t>LITE</t>
  </si>
  <si>
    <t>MSI</t>
  </si>
  <si>
    <t>NTGR</t>
  </si>
  <si>
    <t>PLT</t>
  </si>
  <si>
    <t>SHOR</t>
  </si>
  <si>
    <t>SMCI</t>
  </si>
  <si>
    <t>UBNT</t>
  </si>
  <si>
    <t>VSAT</t>
  </si>
  <si>
    <t>VIAV</t>
  </si>
  <si>
    <t>VCRA</t>
  </si>
  <si>
    <t>ZAYO</t>
  </si>
  <si>
    <t>Computer Distribution</t>
  </si>
  <si>
    <t>CNXN</t>
  </si>
  <si>
    <t>SCSC</t>
  </si>
  <si>
    <t>TECD</t>
  </si>
  <si>
    <t>Computer Systems</t>
  </si>
  <si>
    <t>DDD</t>
  </si>
  <si>
    <t>ANET</t>
  </si>
  <si>
    <t>CRAY</t>
  </si>
  <si>
    <t>DAKT</t>
  </si>
  <si>
    <t>EFII</t>
  </si>
  <si>
    <t>HPQ</t>
  </si>
  <si>
    <t>MRCY</t>
  </si>
  <si>
    <t>RSYS</t>
  </si>
  <si>
    <t>SSNI</t>
  </si>
  <si>
    <t>SSYS</t>
  </si>
  <si>
    <t>Confectioners</t>
  </si>
  <si>
    <t>MDLZ</t>
  </si>
  <si>
    <t>HSY</t>
  </si>
  <si>
    <t>TR</t>
  </si>
  <si>
    <t>Conglomerates</t>
  </si>
  <si>
    <t>SEB</t>
  </si>
  <si>
    <t>REX</t>
  </si>
  <si>
    <t>Consumer Electronics</t>
  </si>
  <si>
    <t>AAPL</t>
  </si>
  <si>
    <t>KODK</t>
  </si>
  <si>
    <t>FN</t>
  </si>
  <si>
    <t>GPRO</t>
  </si>
  <si>
    <t>IRBT</t>
  </si>
  <si>
    <t>UEIC</t>
  </si>
  <si>
    <t>Contract Manufacturers</t>
  </si>
  <si>
    <t>BHE</t>
  </si>
  <si>
    <t>JBL</t>
  </si>
  <si>
    <t>PLXS</t>
  </si>
  <si>
    <t>TTMI</t>
  </si>
  <si>
    <t>Copper</t>
  </si>
  <si>
    <t>FCX</t>
  </si>
  <si>
    <t>SCCO</t>
  </si>
  <si>
    <t>Credit Services</t>
  </si>
  <si>
    <t>WU</t>
  </si>
  <si>
    <t>ADS</t>
  </si>
  <si>
    <t>AXP</t>
  </si>
  <si>
    <t>HAWK</t>
  </si>
  <si>
    <t>COF</t>
  </si>
  <si>
    <t>CACC</t>
  </si>
  <si>
    <t>DFS</t>
  </si>
  <si>
    <t>ENVA</t>
  </si>
  <si>
    <t>EZPW</t>
  </si>
  <si>
    <t>AGM</t>
  </si>
  <si>
    <t>FCFS</t>
  </si>
  <si>
    <t>GDOT</t>
  </si>
  <si>
    <t>LC</t>
  </si>
  <si>
    <t>MA</t>
  </si>
  <si>
    <t>MGI</t>
  </si>
  <si>
    <t>NAVI</t>
  </si>
  <si>
    <t>NNI</t>
  </si>
  <si>
    <t>NEWS</t>
  </si>
  <si>
    <t>ONDK</t>
  </si>
  <si>
    <t>OMF</t>
  </si>
  <si>
    <t>PYPL</t>
  </si>
  <si>
    <t>PRAA</t>
  </si>
  <si>
    <t>RM</t>
  </si>
  <si>
    <t>SLM</t>
  </si>
  <si>
    <t>SYF</t>
  </si>
  <si>
    <t>TSS</t>
  </si>
  <si>
    <t>V</t>
  </si>
  <si>
    <t>WRLD</t>
  </si>
  <si>
    <t>Data Storage</t>
  </si>
  <si>
    <t>BRCD</t>
  </si>
  <si>
    <t>NTAP</t>
  </si>
  <si>
    <t>PSTG</t>
  </si>
  <si>
    <t>TDC</t>
  </si>
  <si>
    <t>WDC</t>
  </si>
  <si>
    <t>Department Stores</t>
  </si>
  <si>
    <t>JCP</t>
  </si>
  <si>
    <t>M</t>
  </si>
  <si>
    <t>DDS</t>
  </si>
  <si>
    <t>KSS</t>
  </si>
  <si>
    <t>JWN</t>
  </si>
  <si>
    <t>SHLD</t>
  </si>
  <si>
    <t>Diagnostics &amp; Research</t>
  </si>
  <si>
    <t>ALOG</t>
  </si>
  <si>
    <t>DHR</t>
  </si>
  <si>
    <t>FLDM</t>
  </si>
  <si>
    <t>ONVO</t>
  </si>
  <si>
    <t>VREX</t>
  </si>
  <si>
    <t>ABAX</t>
  </si>
  <si>
    <t>AXDX</t>
  </si>
  <si>
    <t>A</t>
  </si>
  <si>
    <t>ALR</t>
  </si>
  <si>
    <t>ARA</t>
  </si>
  <si>
    <t>BIO</t>
  </si>
  <si>
    <t>BEAT</t>
  </si>
  <si>
    <t>BRKR</t>
  </si>
  <si>
    <t>CRL</t>
  </si>
  <si>
    <t>DXCM</t>
  </si>
  <si>
    <t>ENZ</t>
  </si>
  <si>
    <t>EXAS</t>
  </si>
  <si>
    <t>FMI</t>
  </si>
  <si>
    <t>GHDX</t>
  </si>
  <si>
    <t>HSKA</t>
  </si>
  <si>
    <t>IDXX</t>
  </si>
  <si>
    <t>INCR</t>
  </si>
  <si>
    <t>NVTA</t>
  </si>
  <si>
    <t>LH</t>
  </si>
  <si>
    <t>MEDP</t>
  </si>
  <si>
    <t>VIVO</t>
  </si>
  <si>
    <t>MYGN</t>
  </si>
  <si>
    <t>NTRA</t>
  </si>
  <si>
    <t>NRCIA</t>
  </si>
  <si>
    <t>NEOG</t>
  </si>
  <si>
    <t>NEO</t>
  </si>
  <si>
    <t>OXFD</t>
  </si>
  <si>
    <t>PACB</t>
  </si>
  <si>
    <t>PRXL</t>
  </si>
  <si>
    <t>PKI</t>
  </si>
  <si>
    <t>PRAH</t>
  </si>
  <si>
    <t>QGEN</t>
  </si>
  <si>
    <t>DGX</t>
  </si>
  <si>
    <t>QDEL</t>
  </si>
  <si>
    <t>Q</t>
  </si>
  <si>
    <t>RDNT</t>
  </si>
  <si>
    <t>SRDX</t>
  </si>
  <si>
    <t>TMO</t>
  </si>
  <si>
    <t>VWR</t>
  </si>
  <si>
    <t>Discount Stores</t>
  </si>
  <si>
    <t>BIG</t>
  </si>
  <si>
    <t>BURL</t>
  </si>
  <si>
    <t>COST</t>
  </si>
  <si>
    <t>DG</t>
  </si>
  <si>
    <t>DLTR</t>
  </si>
  <si>
    <t>FRED</t>
  </si>
  <si>
    <t>OLLI</t>
  </si>
  <si>
    <t>PSMT</t>
  </si>
  <si>
    <t>TGT</t>
  </si>
  <si>
    <t>WMT</t>
  </si>
  <si>
    <t>Diversified Industrials</t>
  </si>
  <si>
    <t>GE</t>
  </si>
  <si>
    <t>POWL</t>
  </si>
  <si>
    <t>MIDD</t>
  </si>
  <si>
    <t>MMM</t>
  </si>
  <si>
    <t>AOS</t>
  </si>
  <si>
    <t>ATU</t>
  </si>
  <si>
    <t>AIMC</t>
  </si>
  <si>
    <t>AME</t>
  </si>
  <si>
    <t>AP</t>
  </si>
  <si>
    <t>ARNC</t>
  </si>
  <si>
    <t>ATKR</t>
  </si>
  <si>
    <t>AZZ</t>
  </si>
  <si>
    <t>B</t>
  </si>
  <si>
    <t>BGG</t>
  </si>
  <si>
    <t>CCF</t>
  </si>
  <si>
    <t>CIR</t>
  </si>
  <si>
    <t>CFX</t>
  </si>
  <si>
    <t>CR</t>
  </si>
  <si>
    <t>CSWI</t>
  </si>
  <si>
    <t>CMI</t>
  </si>
  <si>
    <t>CW</t>
  </si>
  <si>
    <t>DCI</t>
  </si>
  <si>
    <t>DOV</t>
  </si>
  <si>
    <t>ETN</t>
  </si>
  <si>
    <t>EMR</t>
  </si>
  <si>
    <t>NPO</t>
  </si>
  <si>
    <t>FLS</t>
  </si>
  <si>
    <t>FELE</t>
  </si>
  <si>
    <t>GNRC</t>
  </si>
  <si>
    <t>GRC</t>
  </si>
  <si>
    <t>GGG</t>
  </si>
  <si>
    <t>HI</t>
  </si>
  <si>
    <t>HON</t>
  </si>
  <si>
    <t>HUBB</t>
  </si>
  <si>
    <t>IEX</t>
  </si>
  <si>
    <t>ITW</t>
  </si>
  <si>
    <t>IR</t>
  </si>
  <si>
    <t>ITT</t>
  </si>
  <si>
    <t>JBT</t>
  </si>
  <si>
    <t>KAI</t>
  </si>
  <si>
    <t>LII</t>
  </si>
  <si>
    <t>MCRN</t>
  </si>
  <si>
    <t>MWA</t>
  </si>
  <si>
    <t>NDSN</t>
  </si>
  <si>
    <t>OFLX</t>
  </si>
  <si>
    <t>PH</t>
  </si>
  <si>
    <t>PNR</t>
  </si>
  <si>
    <t>RAVN</t>
  </si>
  <si>
    <t>RBC</t>
  </si>
  <si>
    <t>RXN</t>
  </si>
  <si>
    <t>ROK</t>
  </si>
  <si>
    <t>ROP</t>
  </si>
  <si>
    <t>SPXC</t>
  </si>
  <si>
    <t>FLOW</t>
  </si>
  <si>
    <t>SXI</t>
  </si>
  <si>
    <t>SNHY</t>
  </si>
  <si>
    <t>TNC</t>
  </si>
  <si>
    <t>XONE</t>
  </si>
  <si>
    <t>THR</t>
  </si>
  <si>
    <t>TPIC</t>
  </si>
  <si>
    <t>TRS</t>
  </si>
  <si>
    <t>WTS</t>
  </si>
  <si>
    <t>WBT</t>
  </si>
  <si>
    <t>XYL</t>
  </si>
  <si>
    <t>ZBRA</t>
  </si>
  <si>
    <t>Drug Manufacturers - Major</t>
  </si>
  <si>
    <t>PFE</t>
  </si>
  <si>
    <t>ABBV</t>
  </si>
  <si>
    <t>AERI</t>
  </si>
  <si>
    <t>BMY</t>
  </si>
  <si>
    <t>LLY</t>
  </si>
  <si>
    <t>JNJ</t>
  </si>
  <si>
    <t>MRK</t>
  </si>
  <si>
    <t>RTRX</t>
  </si>
  <si>
    <t>RMTI</t>
  </si>
  <si>
    <t>TXMD</t>
  </si>
  <si>
    <t>ZGNX</t>
  </si>
  <si>
    <t>Drug Manufacturers - Specialty &amp; Generic</t>
  </si>
  <si>
    <t>DEPO</t>
  </si>
  <si>
    <t>HRTX</t>
  </si>
  <si>
    <t>TTPH</t>
  </si>
  <si>
    <t>MDCO</t>
  </si>
  <si>
    <t>ACET</t>
  </si>
  <si>
    <t>ADMS</t>
  </si>
  <si>
    <t>AKRX</t>
  </si>
  <si>
    <t>AGN</t>
  </si>
  <si>
    <t>AMPH</t>
  </si>
  <si>
    <t>CTLT</t>
  </si>
  <si>
    <t>COLL</t>
  </si>
  <si>
    <t>DPLO</t>
  </si>
  <si>
    <t>DRRX</t>
  </si>
  <si>
    <t>EGRX</t>
  </si>
  <si>
    <t>ENDP</t>
  </si>
  <si>
    <t>FLXN</t>
  </si>
  <si>
    <t>HZNP</t>
  </si>
  <si>
    <t>IPXL</t>
  </si>
  <si>
    <t>IRWD</t>
  </si>
  <si>
    <t>KPTI</t>
  </si>
  <si>
    <t>LCI</t>
  </si>
  <si>
    <t>MNK</t>
  </si>
  <si>
    <t>MNTA</t>
  </si>
  <si>
    <t>MYL</t>
  </si>
  <si>
    <t>NEOS</t>
  </si>
  <si>
    <t>OPK</t>
  </si>
  <si>
    <t>PCRX</t>
  </si>
  <si>
    <t>PTHN</t>
  </si>
  <si>
    <t>PRGO</t>
  </si>
  <si>
    <t>PAHC</t>
  </si>
  <si>
    <t>RDUS</t>
  </si>
  <si>
    <t>RIGL</t>
  </si>
  <si>
    <t>SCLN</t>
  </si>
  <si>
    <t>SCMP</t>
  </si>
  <si>
    <t>SUPN</t>
  </si>
  <si>
    <t>SNDX</t>
  </si>
  <si>
    <t>SGYP</t>
  </si>
  <si>
    <t>TLGT</t>
  </si>
  <si>
    <t>ZTS</t>
  </si>
  <si>
    <t>Education &amp; Training Services</t>
  </si>
  <si>
    <t>FC</t>
  </si>
  <si>
    <t>GHC</t>
  </si>
  <si>
    <t>LRN</t>
  </si>
  <si>
    <t>ATGE</t>
  </si>
  <si>
    <t>APEI</t>
  </si>
  <si>
    <t>BPI</t>
  </si>
  <si>
    <t>ABCD</t>
  </si>
  <si>
    <t>CPLA</t>
  </si>
  <si>
    <t>CECO</t>
  </si>
  <si>
    <t>CHGG</t>
  </si>
  <si>
    <t>GPX</t>
  </si>
  <si>
    <t>LOPE</t>
  </si>
  <si>
    <t>HMHC</t>
  </si>
  <si>
    <t>LAUR</t>
  </si>
  <si>
    <t>STRA</t>
  </si>
  <si>
    <t>Electronic Components</t>
  </si>
  <si>
    <t>LYTS</t>
  </si>
  <si>
    <t>MEI</t>
  </si>
  <si>
    <t>PLPC</t>
  </si>
  <si>
    <t>AYI</t>
  </si>
  <si>
    <t>AEIS</t>
  </si>
  <si>
    <t>AMOT</t>
  </si>
  <si>
    <t>APH</t>
  </si>
  <si>
    <t>AVX</t>
  </si>
  <si>
    <t>BW</t>
  </si>
  <si>
    <t>BELFB</t>
  </si>
  <si>
    <t>BDC</t>
  </si>
  <si>
    <t>CTRL</t>
  </si>
  <si>
    <t>GLW</t>
  </si>
  <si>
    <t>CTS</t>
  </si>
  <si>
    <t>WIRE</t>
  </si>
  <si>
    <t>ENR</t>
  </si>
  <si>
    <t>WATT</t>
  </si>
  <si>
    <t>ENS</t>
  </si>
  <si>
    <t>PI</t>
  </si>
  <si>
    <t>KE</t>
  </si>
  <si>
    <t>MXWL</t>
  </si>
  <si>
    <t>OSIS</t>
  </si>
  <si>
    <t>PLUG</t>
  </si>
  <si>
    <t>ROG</t>
  </si>
  <si>
    <t>SANM</t>
  </si>
  <si>
    <t>SPA</t>
  </si>
  <si>
    <t>VICR</t>
  </si>
  <si>
    <t>Electronic Gaming &amp; Multimedia</t>
  </si>
  <si>
    <t>ATVI</t>
  </si>
  <si>
    <t>AVID</t>
  </si>
  <si>
    <t>EA</t>
  </si>
  <si>
    <t>GLUU</t>
  </si>
  <si>
    <t>RNWK</t>
  </si>
  <si>
    <t>TTWO</t>
  </si>
  <si>
    <t>ZNGA</t>
  </si>
  <si>
    <t>Electronics Distribution</t>
  </si>
  <si>
    <t>ARW</t>
  </si>
  <si>
    <t>AVT</t>
  </si>
  <si>
    <t>LFUS</t>
  </si>
  <si>
    <t>WSO</t>
  </si>
  <si>
    <t>Engineering &amp; Construction</t>
  </si>
  <si>
    <t>FLR</t>
  </si>
  <si>
    <t>AECOM</t>
  </si>
  <si>
    <t>ACM</t>
  </si>
  <si>
    <t>AEGN</t>
  </si>
  <si>
    <t>AMRC</t>
  </si>
  <si>
    <t>AGX</t>
  </si>
  <si>
    <t>CBI</t>
  </si>
  <si>
    <t>FIX</t>
  </si>
  <si>
    <t>DY</t>
  </si>
  <si>
    <t>EME</t>
  </si>
  <si>
    <t>GVA</t>
  </si>
  <si>
    <t>GLDD</t>
  </si>
  <si>
    <t>IESC</t>
  </si>
  <si>
    <t>JEC</t>
  </si>
  <si>
    <t>KBR</t>
  </si>
  <si>
    <t>LAYN</t>
  </si>
  <si>
    <t>MTZ</t>
  </si>
  <si>
    <t>MYRG</t>
  </si>
  <si>
    <t>NVEE</t>
  </si>
  <si>
    <t>ORN</t>
  </si>
  <si>
    <t>PRIM</t>
  </si>
  <si>
    <t>PWR</t>
  </si>
  <si>
    <t>TTEK</t>
  </si>
  <si>
    <t>TPC</t>
  </si>
  <si>
    <t>VSEC</t>
  </si>
  <si>
    <t>Farm &amp; Construction Equipment</t>
  </si>
  <si>
    <t>ASTE</t>
  </si>
  <si>
    <t>AGCO</t>
  </si>
  <si>
    <t>ALG</t>
  </si>
  <si>
    <t>CAT</t>
  </si>
  <si>
    <t>CMCO</t>
  </si>
  <si>
    <t>DE</t>
  </si>
  <si>
    <t>GENC</t>
  </si>
  <si>
    <t>LNN</t>
  </si>
  <si>
    <t>MTW</t>
  </si>
  <si>
    <t>TEX</t>
  </si>
  <si>
    <t>TWI</t>
  </si>
  <si>
    <t>Farm Products</t>
  </si>
  <si>
    <t>ADM</t>
  </si>
  <si>
    <t>ALCO</t>
  </si>
  <si>
    <t>BG</t>
  </si>
  <si>
    <t>CVGW</t>
  </si>
  <si>
    <t>FDP</t>
  </si>
  <si>
    <t>LNDC</t>
  </si>
  <si>
    <t>LMNR</t>
  </si>
  <si>
    <t>TSN</t>
  </si>
  <si>
    <t>Financial Exchanges</t>
  </si>
  <si>
    <t>NDAQ</t>
  </si>
  <si>
    <t>CBOE</t>
  </si>
  <si>
    <t>CME</t>
  </si>
  <si>
    <t>ICE</t>
  </si>
  <si>
    <t>Food Distribution</t>
  </si>
  <si>
    <t>UNFI</t>
  </si>
  <si>
    <t>ANDE</t>
  </si>
  <si>
    <t>CORE</t>
  </si>
  <si>
    <t>PFGC</t>
  </si>
  <si>
    <t>SPTN</t>
  </si>
  <si>
    <t>SYY</t>
  </si>
  <si>
    <t>CHEF</t>
  </si>
  <si>
    <t>USFD</t>
  </si>
  <si>
    <t>Footwear &amp; Accessories</t>
  </si>
  <si>
    <t>FOSL</t>
  </si>
  <si>
    <t>CAL</t>
  </si>
  <si>
    <t>CROX</t>
  </si>
  <si>
    <t>DECK</t>
  </si>
  <si>
    <t>FL</t>
  </si>
  <si>
    <t>NKE</t>
  </si>
  <si>
    <t>SKX</t>
  </si>
  <si>
    <t>SHOO</t>
  </si>
  <si>
    <t>VRA</t>
  </si>
  <si>
    <t>WEYS</t>
  </si>
  <si>
    <t>WWW</t>
  </si>
  <si>
    <t>Gambling</t>
  </si>
  <si>
    <t>IGT</t>
  </si>
  <si>
    <t>CHDN</t>
  </si>
  <si>
    <t>GDEN</t>
  </si>
  <si>
    <t>SGMS</t>
  </si>
  <si>
    <t>Gold</t>
  </si>
  <si>
    <t>GORO</t>
  </si>
  <si>
    <t>NEM</t>
  </si>
  <si>
    <t>RGLD</t>
  </si>
  <si>
    <t>Grocery Stores</t>
  </si>
  <si>
    <t>CASY</t>
  </si>
  <si>
    <t>NGVC</t>
  </si>
  <si>
    <t>SFS</t>
  </si>
  <si>
    <t>SFM</t>
  </si>
  <si>
    <t>SVU</t>
  </si>
  <si>
    <t>KR</t>
  </si>
  <si>
    <t>VLGEA</t>
  </si>
  <si>
    <t>WMK</t>
  </si>
  <si>
    <t>WFM</t>
  </si>
  <si>
    <t>Health Care Plans</t>
  </si>
  <si>
    <t>AET</t>
  </si>
  <si>
    <t>ANTM</t>
  </si>
  <si>
    <t>CNC</t>
  </si>
  <si>
    <t>CI</t>
  </si>
  <si>
    <t>CVS</t>
  </si>
  <si>
    <t>ESRX</t>
  </si>
  <si>
    <t>HUM</t>
  </si>
  <si>
    <t>MGLN</t>
  </si>
  <si>
    <t>MOH</t>
  </si>
  <si>
    <t>UNH</t>
  </si>
  <si>
    <t>WCG</t>
  </si>
  <si>
    <t>Health Information Services</t>
  </si>
  <si>
    <t>ATHN</t>
  </si>
  <si>
    <t>CERN</t>
  </si>
  <si>
    <t>CPSI</t>
  </si>
  <si>
    <t>EVH</t>
  </si>
  <si>
    <t>HQY</t>
  </si>
  <si>
    <t>HSTM</t>
  </si>
  <si>
    <t>INOV</t>
  </si>
  <si>
    <t>MDSO</t>
  </si>
  <si>
    <t>NH</t>
  </si>
  <si>
    <t>OMCL</t>
  </si>
  <si>
    <t>PINC</t>
  </si>
  <si>
    <t>QSII</t>
  </si>
  <si>
    <t>TRHC</t>
  </si>
  <si>
    <t>TDOC</t>
  </si>
  <si>
    <t>VEEV</t>
  </si>
  <si>
    <t>WBMD</t>
  </si>
  <si>
    <t>Home Furnishings &amp; Fixtures</t>
  </si>
  <si>
    <t>FBHS</t>
  </si>
  <si>
    <t>HRG</t>
  </si>
  <si>
    <t>LEG</t>
  </si>
  <si>
    <t>LBY</t>
  </si>
  <si>
    <t>LCUT</t>
  </si>
  <si>
    <t>AMWD</t>
  </si>
  <si>
    <t>BSET</t>
  </si>
  <si>
    <t>ETH</t>
  </si>
  <si>
    <t>FLXS</t>
  </si>
  <si>
    <t>HOFT</t>
  </si>
  <si>
    <t>LZB</t>
  </si>
  <si>
    <t>MHK</t>
  </si>
  <si>
    <t>NC</t>
  </si>
  <si>
    <t>PATK</t>
  </si>
  <si>
    <t>SCSS</t>
  </si>
  <si>
    <t>TPX</t>
  </si>
  <si>
    <t>WHR</t>
  </si>
  <si>
    <t>Home Improvement Stores</t>
  </si>
  <si>
    <t>LOW</t>
  </si>
  <si>
    <t>HVT</t>
  </si>
  <si>
    <t>LL</t>
  </si>
  <si>
    <t>HD</t>
  </si>
  <si>
    <t>TTS</t>
  </si>
  <si>
    <t>Household &amp; Personal Products</t>
  </si>
  <si>
    <t>PG</t>
  </si>
  <si>
    <t>CHD</t>
  </si>
  <si>
    <t>CLX</t>
  </si>
  <si>
    <t>CL</t>
  </si>
  <si>
    <t>COTY</t>
  </si>
  <si>
    <t>ELF</t>
  </si>
  <si>
    <t>EPC</t>
  </si>
  <si>
    <t>HELE</t>
  </si>
  <si>
    <t>HLF</t>
  </si>
  <si>
    <t>IPAR</t>
  </si>
  <si>
    <t>KMB</t>
  </si>
  <si>
    <t>NHTC</t>
  </si>
  <si>
    <t>NATR</t>
  </si>
  <si>
    <t>NWL</t>
  </si>
  <si>
    <t>NUS</t>
  </si>
  <si>
    <t>TIS</t>
  </si>
  <si>
    <t>REV</t>
  </si>
  <si>
    <t>SPB</t>
  </si>
  <si>
    <t>EL</t>
  </si>
  <si>
    <t>USNA</t>
  </si>
  <si>
    <t>Industrial Distribution</t>
  </si>
  <si>
    <t>AXE</t>
  </si>
  <si>
    <t>AIT</t>
  </si>
  <si>
    <t>DXPE</t>
  </si>
  <si>
    <t>FAST</t>
  </si>
  <si>
    <t>FBM</t>
  </si>
  <si>
    <t>BGC</t>
  </si>
  <si>
    <t>HDS</t>
  </si>
  <si>
    <t>HZN</t>
  </si>
  <si>
    <t>LAWS</t>
  </si>
  <si>
    <t>MSM</t>
  </si>
  <si>
    <t>NL</t>
  </si>
  <si>
    <t>PKOH</t>
  </si>
  <si>
    <t>SITE</t>
  </si>
  <si>
    <t>TITN</t>
  </si>
  <si>
    <t>GWW</t>
  </si>
  <si>
    <t>WAIR</t>
  </si>
  <si>
    <t>WCC</t>
  </si>
  <si>
    <t>Industrial Metals &amp; Minerals</t>
  </si>
  <si>
    <t>SND</t>
  </si>
  <si>
    <t>SLCA</t>
  </si>
  <si>
    <t>CLF</t>
  </si>
  <si>
    <t>CMP</t>
  </si>
  <si>
    <t>HSC</t>
  </si>
  <si>
    <t>MTRN</t>
  </si>
  <si>
    <t>Information Technology Services</t>
  </si>
  <si>
    <t>ACN</t>
  </si>
  <si>
    <t>ACXM</t>
  </si>
  <si>
    <t>CACI</t>
  </si>
  <si>
    <t>CDW</t>
  </si>
  <si>
    <t>COGT</t>
  </si>
  <si>
    <t>CTSH</t>
  </si>
  <si>
    <t>CSRA</t>
  </si>
  <si>
    <t>DMRC</t>
  </si>
  <si>
    <t>DXC</t>
  </si>
  <si>
    <t>EPAM</t>
  </si>
  <si>
    <t>IT</t>
  </si>
  <si>
    <t>NSIT</t>
  </si>
  <si>
    <t>IBM</t>
  </si>
  <si>
    <t>LDOS</t>
  </si>
  <si>
    <t>NCIT</t>
  </si>
  <si>
    <t>NCR</t>
  </si>
  <si>
    <t>PRFT</t>
  </si>
  <si>
    <t>SABR</t>
  </si>
  <si>
    <t>SAIC</t>
  </si>
  <si>
    <t>SYKE</t>
  </si>
  <si>
    <t>SYNT</t>
  </si>
  <si>
    <t>UIS</t>
  </si>
  <si>
    <t>VRTU</t>
  </si>
  <si>
    <t>XRX</t>
  </si>
  <si>
    <t>Insurance - Diversified</t>
  </si>
  <si>
    <t>HMN</t>
  </si>
  <si>
    <t>KMPR</t>
  </si>
  <si>
    <t>AIG</t>
  </si>
  <si>
    <t>AIZ</t>
  </si>
  <si>
    <t>ATH</t>
  </si>
  <si>
    <t>BRK.B</t>
  </si>
  <si>
    <t>ESGR</t>
  </si>
  <si>
    <t>GNW</t>
  </si>
  <si>
    <t>ORI</t>
  </si>
  <si>
    <t>HIG</t>
  </si>
  <si>
    <t>GTS</t>
  </si>
  <si>
    <t>Insurance - Life</t>
  </si>
  <si>
    <t>TMK</t>
  </si>
  <si>
    <t>UNM</t>
  </si>
  <si>
    <t>AFL</t>
  </si>
  <si>
    <t>AEL</t>
  </si>
  <si>
    <t>CIA</t>
  </si>
  <si>
    <t>CNO</t>
  </si>
  <si>
    <t>FFG</t>
  </si>
  <si>
    <t>FGL</t>
  </si>
  <si>
    <t>IHC</t>
  </si>
  <si>
    <t>LNC</t>
  </si>
  <si>
    <t>MET</t>
  </si>
  <si>
    <t>NWLI</t>
  </si>
  <si>
    <t>PRI</t>
  </si>
  <si>
    <t>PFG</t>
  </si>
  <si>
    <t>PRU</t>
  </si>
  <si>
    <t>TIPT</t>
  </si>
  <si>
    <t>Insurance - Property &amp; Casualty</t>
  </si>
  <si>
    <t>Y</t>
  </si>
  <si>
    <t>AWH</t>
  </si>
  <si>
    <t>ANAT</t>
  </si>
  <si>
    <t>AGII</t>
  </si>
  <si>
    <t>AXS</t>
  </si>
  <si>
    <t>DGICA</t>
  </si>
  <si>
    <t>FNHC</t>
  </si>
  <si>
    <t>L</t>
  </si>
  <si>
    <t>MKL</t>
  </si>
  <si>
    <t>NGHC</t>
  </si>
  <si>
    <t>RLI</t>
  </si>
  <si>
    <t>WTM</t>
  </si>
  <si>
    <t>WRB</t>
  </si>
  <si>
    <t>ALL</t>
  </si>
  <si>
    <t>AFG</t>
  </si>
  <si>
    <t>AMSF</t>
  </si>
  <si>
    <t>AFSI</t>
  </si>
  <si>
    <t>AFH</t>
  </si>
  <si>
    <t>BWINB</t>
  </si>
  <si>
    <t>CB</t>
  </si>
  <si>
    <t>CINF</t>
  </si>
  <si>
    <t>CNA</t>
  </si>
  <si>
    <t>EMCI</t>
  </si>
  <si>
    <t>GBLI</t>
  </si>
  <si>
    <t>HALL</t>
  </si>
  <si>
    <t>HCI</t>
  </si>
  <si>
    <t>HRTG</t>
  </si>
  <si>
    <t>IPCC</t>
  </si>
  <si>
    <t>JRVR</t>
  </si>
  <si>
    <t>KNSL</t>
  </si>
  <si>
    <t>MBI</t>
  </si>
  <si>
    <t>MCY</t>
  </si>
  <si>
    <t>NAVG</t>
  </si>
  <si>
    <t>NMIH</t>
  </si>
  <si>
    <t>PRA</t>
  </si>
  <si>
    <t>PGR</t>
  </si>
  <si>
    <t>SAFT</t>
  </si>
  <si>
    <t>SIGI</t>
  </si>
  <si>
    <t>STFC</t>
  </si>
  <si>
    <t>SNC</t>
  </si>
  <si>
    <t>STC</t>
  </si>
  <si>
    <t>THG</t>
  </si>
  <si>
    <t>TRV</t>
  </si>
  <si>
    <t>UFCS</t>
  </si>
  <si>
    <t>UIHC</t>
  </si>
  <si>
    <t>UVE</t>
  </si>
  <si>
    <t>XL</t>
  </si>
  <si>
    <t>Insurance - Reinsurance</t>
  </si>
  <si>
    <t>AHL</t>
  </si>
  <si>
    <t>VR</t>
  </si>
  <si>
    <t>ACGL</t>
  </si>
  <si>
    <t>BCRH</t>
  </si>
  <si>
    <t>RE</t>
  </si>
  <si>
    <t>MHLD</t>
  </si>
  <si>
    <t>RGA</t>
  </si>
  <si>
    <t>RNR</t>
  </si>
  <si>
    <t>TPRE</t>
  </si>
  <si>
    <t>WMIH</t>
  </si>
  <si>
    <t>Insurance - Specialty</t>
  </si>
  <si>
    <t>AMBC</t>
  </si>
  <si>
    <t>GLRE</t>
  </si>
  <si>
    <t>RDN</t>
  </si>
  <si>
    <t>AGO</t>
  </si>
  <si>
    <t>EIG</t>
  </si>
  <si>
    <t>FNF</t>
  </si>
  <si>
    <t>FNFV</t>
  </si>
  <si>
    <t>FAF</t>
  </si>
  <si>
    <t>ITIC</t>
  </si>
  <si>
    <t>MTG</t>
  </si>
  <si>
    <t>OB</t>
  </si>
  <si>
    <t>TRUP</t>
  </si>
  <si>
    <t>Insurance Brokers</t>
  </si>
  <si>
    <t>AJG</t>
  </si>
  <si>
    <t>MMC</t>
  </si>
  <si>
    <t>AON</t>
  </si>
  <si>
    <t>BRO</t>
  </si>
  <si>
    <t>CRVL</t>
  </si>
  <si>
    <t>EHTH</t>
  </si>
  <si>
    <t>ERIE</t>
  </si>
  <si>
    <t>Integrated Shipping &amp; Logistics</t>
  </si>
  <si>
    <t>CHRW</t>
  </si>
  <si>
    <t>ECHO</t>
  </si>
  <si>
    <t>HUBG</t>
  </si>
  <si>
    <t>JBHT</t>
  </si>
  <si>
    <t>CMRE</t>
  </si>
  <si>
    <t>EXPD</t>
  </si>
  <si>
    <t>FDX</t>
  </si>
  <si>
    <t>FWRD</t>
  </si>
  <si>
    <t>LSTR</t>
  </si>
  <si>
    <t>RLGT</t>
  </si>
  <si>
    <t>UPS</t>
  </si>
  <si>
    <t>XPO</t>
  </si>
  <si>
    <t>Internet Content &amp; Information</t>
  </si>
  <si>
    <t>GOOGL</t>
  </si>
  <si>
    <t>GOOG</t>
  </si>
  <si>
    <t>ANGI</t>
  </si>
  <si>
    <t>RATE</t>
  </si>
  <si>
    <t>BCOR</t>
  </si>
  <si>
    <t>CRCM</t>
  </si>
  <si>
    <t>FB</t>
  </si>
  <si>
    <t>GDDY</t>
  </si>
  <si>
    <t>GRPN</t>
  </si>
  <si>
    <t>GRUB</t>
  </si>
  <si>
    <t>IAC</t>
  </si>
  <si>
    <t>LEXEA</t>
  </si>
  <si>
    <t>LTRPA</t>
  </si>
  <si>
    <t>LVNTA</t>
  </si>
  <si>
    <t>LLNW</t>
  </si>
  <si>
    <t>MTCH</t>
  </si>
  <si>
    <t>QNST</t>
  </si>
  <si>
    <t>NAME</t>
  </si>
  <si>
    <t>SSTK</t>
  </si>
  <si>
    <t>TTGT</t>
  </si>
  <si>
    <t>TNAV</t>
  </si>
  <si>
    <t>MEET</t>
  </si>
  <si>
    <t>TRUE</t>
  </si>
  <si>
    <t>TWTR</t>
  </si>
  <si>
    <t>VRSN</t>
  </si>
  <si>
    <t>WEB</t>
  </si>
  <si>
    <t>YELP</t>
  </si>
  <si>
    <t>Leisure</t>
  </si>
  <si>
    <t>MYCC</t>
  </si>
  <si>
    <t>SNOW</t>
  </si>
  <si>
    <t>POOL</t>
  </si>
  <si>
    <t>SEAS</t>
  </si>
  <si>
    <t>MSG</t>
  </si>
  <si>
    <t>GOLF</t>
  </si>
  <si>
    <t>BC</t>
  </si>
  <si>
    <t>ELY</t>
  </si>
  <si>
    <t>CCL</t>
  </si>
  <si>
    <t>ESCA</t>
  </si>
  <si>
    <t>EXPE</t>
  </si>
  <si>
    <t>HAS</t>
  </si>
  <si>
    <t>ILG</t>
  </si>
  <si>
    <t>ISCA</t>
  </si>
  <si>
    <t>JOUT</t>
  </si>
  <si>
    <t>BATRA</t>
  </si>
  <si>
    <t>BATRK</t>
  </si>
  <si>
    <t>LIND</t>
  </si>
  <si>
    <t>MAT</t>
  </si>
  <si>
    <t>NLS</t>
  </si>
  <si>
    <t>NCLH</t>
  </si>
  <si>
    <t>PLNT</t>
  </si>
  <si>
    <t>RCL</t>
  </si>
  <si>
    <t>SIX</t>
  </si>
  <si>
    <t>TRK</t>
  </si>
  <si>
    <t>SPWH</t>
  </si>
  <si>
    <t>PCLN</t>
  </si>
  <si>
    <t>TVPT</t>
  </si>
  <si>
    <t>TRIP</t>
  </si>
  <si>
    <t>VSTO</t>
  </si>
  <si>
    <t>Lodging</t>
  </si>
  <si>
    <t>BEL</t>
  </si>
  <si>
    <t>CHH</t>
  </si>
  <si>
    <t>STAY</t>
  </si>
  <si>
    <t>HLT</t>
  </si>
  <si>
    <t>H</t>
  </si>
  <si>
    <t>MAR</t>
  </si>
  <si>
    <t>PK</t>
  </si>
  <si>
    <t>RLH</t>
  </si>
  <si>
    <t>WYN</t>
  </si>
  <si>
    <t>Long-Term Care Facilities</t>
  </si>
  <si>
    <t>CSU</t>
  </si>
  <si>
    <t>GEN</t>
  </si>
  <si>
    <t>BKD</t>
  </si>
  <si>
    <t>CIVI</t>
  </si>
  <si>
    <t>ENSG</t>
  </si>
  <si>
    <t>KND</t>
  </si>
  <si>
    <t>NHC</t>
  </si>
  <si>
    <t>Lumber &amp; Wood Production</t>
  </si>
  <si>
    <t>UFPI</t>
  </si>
  <si>
    <t>BCC</t>
  </si>
  <si>
    <t>DEL</t>
  </si>
  <si>
    <t>RYN</t>
  </si>
  <si>
    <t>WY</t>
  </si>
  <si>
    <t>Luxury Goods</t>
  </si>
  <si>
    <t>COH</t>
  </si>
  <si>
    <t>MOV</t>
  </si>
  <si>
    <t>SIG</t>
  </si>
  <si>
    <t>TIF</t>
  </si>
  <si>
    <t>Marketing Services</t>
  </si>
  <si>
    <t>NCMI</t>
  </si>
  <si>
    <t>CMPR</t>
  </si>
  <si>
    <t>CCO</t>
  </si>
  <si>
    <t>INWK</t>
  </si>
  <si>
    <t>MDCA</t>
  </si>
  <si>
    <t>QUOT</t>
  </si>
  <si>
    <t>Media - Diversified</t>
  </si>
  <si>
    <t>DISCK</t>
  </si>
  <si>
    <t>DISCA</t>
  </si>
  <si>
    <t>IMAX</t>
  </si>
  <si>
    <t>VIAB</t>
  </si>
  <si>
    <t>AMC</t>
  </si>
  <si>
    <t>AMCX</t>
  </si>
  <si>
    <t>CBS</t>
  </si>
  <si>
    <t>CNK</t>
  </si>
  <si>
    <t>DLB</t>
  </si>
  <si>
    <t>EROS</t>
  </si>
  <si>
    <t>ENT</t>
  </si>
  <si>
    <t>LGF.A</t>
  </si>
  <si>
    <t>LGF.B</t>
  </si>
  <si>
    <t>LYV</t>
  </si>
  <si>
    <t>MCS</t>
  </si>
  <si>
    <t>MSGN</t>
  </si>
  <si>
    <t>NFLX</t>
  </si>
  <si>
    <t>RDI</t>
  </si>
  <si>
    <t>RGC</t>
  </si>
  <si>
    <t>TWX</t>
  </si>
  <si>
    <t>FOXA</t>
  </si>
  <si>
    <t>FOX</t>
  </si>
  <si>
    <t>VIA</t>
  </si>
  <si>
    <t>DIS</t>
  </si>
  <si>
    <t>WWE</t>
  </si>
  <si>
    <t>Medical Care</t>
  </si>
  <si>
    <t>HCA</t>
  </si>
  <si>
    <t>AAC</t>
  </si>
  <si>
    <t>ACHC</t>
  </si>
  <si>
    <t>ADUS</t>
  </si>
  <si>
    <t>AFAM</t>
  </si>
  <si>
    <t>AMED</t>
  </si>
  <si>
    <t>AMN</t>
  </si>
  <si>
    <t>BIOS</t>
  </si>
  <si>
    <t>CHE</t>
  </si>
  <si>
    <t>CYH</t>
  </si>
  <si>
    <t>DVA</t>
  </si>
  <si>
    <t>EVHC</t>
  </si>
  <si>
    <t>HLS</t>
  </si>
  <si>
    <t>LHCG</t>
  </si>
  <si>
    <t>LPNT</t>
  </si>
  <si>
    <t>MD</t>
  </si>
  <si>
    <t>PRSC</t>
  </si>
  <si>
    <t>SEM</t>
  </si>
  <si>
    <t>SGRY</t>
  </si>
  <si>
    <t>THC</t>
  </si>
  <si>
    <t>TVTY</t>
  </si>
  <si>
    <t>UHS</t>
  </si>
  <si>
    <t>USPH</t>
  </si>
  <si>
    <t>WOOF</t>
  </si>
  <si>
    <t>Medical Devices</t>
  </si>
  <si>
    <t>GNMK</t>
  </si>
  <si>
    <t>VRAY</t>
  </si>
  <si>
    <t>WMGI</t>
  </si>
  <si>
    <t>ABT</t>
  </si>
  <si>
    <t>ABMD</t>
  </si>
  <si>
    <t>ARAY</t>
  </si>
  <si>
    <t>ALGN</t>
  </si>
  <si>
    <t>AXGN</t>
  </si>
  <si>
    <t>BSX</t>
  </si>
  <si>
    <t>CSII</t>
  </si>
  <si>
    <t>CNMD</t>
  </si>
  <si>
    <t>CVRS</t>
  </si>
  <si>
    <t>CRY</t>
  </si>
  <si>
    <t>CUTR</t>
  </si>
  <si>
    <t>EW</t>
  </si>
  <si>
    <t>EXAC</t>
  </si>
  <si>
    <t>GMED</t>
  </si>
  <si>
    <t>INGN</t>
  </si>
  <si>
    <t>ITGR</t>
  </si>
  <si>
    <t>IART</t>
  </si>
  <si>
    <t>XENT</t>
  </si>
  <si>
    <t>ISRG</t>
  </si>
  <si>
    <t>IVC</t>
  </si>
  <si>
    <t>KTWO</t>
  </si>
  <si>
    <t>MASI</t>
  </si>
  <si>
    <t>MDT</t>
  </si>
  <si>
    <t>MDXG</t>
  </si>
  <si>
    <t>BABY</t>
  </si>
  <si>
    <t>NVRO</t>
  </si>
  <si>
    <t>NUVA</t>
  </si>
  <si>
    <t>OBLN</t>
  </si>
  <si>
    <t>OFIX</t>
  </si>
  <si>
    <t>PEN</t>
  </si>
  <si>
    <t>RTIX</t>
  </si>
  <si>
    <t>SYK</t>
  </si>
  <si>
    <t>TCMD</t>
  </si>
  <si>
    <t>TFX</t>
  </si>
  <si>
    <t>SPNC</t>
  </si>
  <si>
    <t>VAR</t>
  </si>
  <si>
    <t>ZBH</t>
  </si>
  <si>
    <t>Medical Distribution</t>
  </si>
  <si>
    <t>ABC</t>
  </si>
  <si>
    <t>CAH</t>
  </si>
  <si>
    <t>HSIC</t>
  </si>
  <si>
    <t>MCK</t>
  </si>
  <si>
    <t>OMI</t>
  </si>
  <si>
    <t>PDCO</t>
  </si>
  <si>
    <t>PMC</t>
  </si>
  <si>
    <t>PBH</t>
  </si>
  <si>
    <t>Medical Instruments &amp; Supplies</t>
  </si>
  <si>
    <t>XRAY</t>
  </si>
  <si>
    <t>ELGX</t>
  </si>
  <si>
    <t>GKOS</t>
  </si>
  <si>
    <t>HAE</t>
  </si>
  <si>
    <t>ANGO</t>
  </si>
  <si>
    <t>ATRC</t>
  </si>
  <si>
    <t>ATRI</t>
  </si>
  <si>
    <t>BAX</t>
  </si>
  <si>
    <t>BDX</t>
  </si>
  <si>
    <t>BCR</t>
  </si>
  <si>
    <t>CMD</t>
  </si>
  <si>
    <t>CFMS</t>
  </si>
  <si>
    <t>ENTL</t>
  </si>
  <si>
    <t>HYH</t>
  </si>
  <si>
    <t>HRC</t>
  </si>
  <si>
    <t>HOLX</t>
  </si>
  <si>
    <t>ICUI</t>
  </si>
  <si>
    <t>ILMN</t>
  </si>
  <si>
    <t>PODD</t>
  </si>
  <si>
    <t>IRTC</t>
  </si>
  <si>
    <t>LMAT</t>
  </si>
  <si>
    <t>LMNX</t>
  </si>
  <si>
    <t>MMSI</t>
  </si>
  <si>
    <t>MTD</t>
  </si>
  <si>
    <t>NVCR</t>
  </si>
  <si>
    <t>NXTM</t>
  </si>
  <si>
    <t>OSUR</t>
  </si>
  <si>
    <t>RMD</t>
  </si>
  <si>
    <t>STAA</t>
  </si>
  <si>
    <t>COO</t>
  </si>
  <si>
    <t>UTMD</t>
  </si>
  <si>
    <t>WAT</t>
  </si>
  <si>
    <t>WST</t>
  </si>
  <si>
    <t>Metal Fabrication</t>
  </si>
  <si>
    <t>ATI</t>
  </si>
  <si>
    <t>CRS</t>
  </si>
  <si>
    <t>GTLS</t>
  </si>
  <si>
    <t>BOOM</t>
  </si>
  <si>
    <t>BRSS</t>
  </si>
  <si>
    <t>GHM</t>
  </si>
  <si>
    <t>HAYN</t>
  </si>
  <si>
    <t>MLI</t>
  </si>
  <si>
    <t>NCS</t>
  </si>
  <si>
    <t>RYI</t>
  </si>
  <si>
    <t>VMI</t>
  </si>
  <si>
    <t>Oil &amp; Gas Drilling</t>
  </si>
  <si>
    <t>NBR</t>
  </si>
  <si>
    <t>NE</t>
  </si>
  <si>
    <t>PES</t>
  </si>
  <si>
    <t>ATW</t>
  </si>
  <si>
    <t>DO</t>
  </si>
  <si>
    <t>ESV</t>
  </si>
  <si>
    <t>HP</t>
  </si>
  <si>
    <t>ICD</t>
  </si>
  <si>
    <t>PTEN</t>
  </si>
  <si>
    <t>RDC</t>
  </si>
  <si>
    <t>RSPP</t>
  </si>
  <si>
    <t>RIG</t>
  </si>
  <si>
    <t>UNT</t>
  </si>
  <si>
    <t>Oil &amp; Gas E&amp;P</t>
  </si>
  <si>
    <t>APC</t>
  </si>
  <si>
    <t>BBG</t>
  </si>
  <si>
    <t>CRC</t>
  </si>
  <si>
    <t>CRZO</t>
  </si>
  <si>
    <t>CLR</t>
  </si>
  <si>
    <t>XOG</t>
  </si>
  <si>
    <t>LPI</t>
  </si>
  <si>
    <t>MRO</t>
  </si>
  <si>
    <t>NFX</t>
  </si>
  <si>
    <t>OAS</t>
  </si>
  <si>
    <t>PDCE</t>
  </si>
  <si>
    <t>SM</t>
  </si>
  <si>
    <t>WLL</t>
  </si>
  <si>
    <t>WPX</t>
  </si>
  <si>
    <t>AXAS</t>
  </si>
  <si>
    <t>AR</t>
  </si>
  <si>
    <t>APA</t>
  </si>
  <si>
    <t>COG</t>
  </si>
  <si>
    <t>CPE</t>
  </si>
  <si>
    <t>CHK</t>
  </si>
  <si>
    <t>XEC</t>
  </si>
  <si>
    <t>CXO</t>
  </si>
  <si>
    <t>COP</t>
  </si>
  <si>
    <t>CNX</t>
  </si>
  <si>
    <t>MCF</t>
  </si>
  <si>
    <t>DNR</t>
  </si>
  <si>
    <t>DVN</t>
  </si>
  <si>
    <t>FANG</t>
  </si>
  <si>
    <t>ESTE</t>
  </si>
  <si>
    <t>ECR</t>
  </si>
  <si>
    <t>EGN</t>
  </si>
  <si>
    <t>EOG</t>
  </si>
  <si>
    <t>EPE</t>
  </si>
  <si>
    <t>EQT</t>
  </si>
  <si>
    <t>EPM</t>
  </si>
  <si>
    <t>GNE</t>
  </si>
  <si>
    <t>GPOR</t>
  </si>
  <si>
    <t>HES</t>
  </si>
  <si>
    <t>ISRL</t>
  </si>
  <si>
    <t>JAG</t>
  </si>
  <si>
    <t>JONE</t>
  </si>
  <si>
    <t>KOS</t>
  </si>
  <si>
    <t>MTDR</t>
  </si>
  <si>
    <t>MUR</t>
  </si>
  <si>
    <t>NFG</t>
  </si>
  <si>
    <t>NBL</t>
  </si>
  <si>
    <t>OXY</t>
  </si>
  <si>
    <t>PHX</t>
  </si>
  <si>
    <t>PARR</t>
  </si>
  <si>
    <t>PE</t>
  </si>
  <si>
    <t>PXD</t>
  </si>
  <si>
    <t>RRC</t>
  </si>
  <si>
    <t>RICE</t>
  </si>
  <si>
    <t>REI</t>
  </si>
  <si>
    <t>SN</t>
  </si>
  <si>
    <t>SWN</t>
  </si>
  <si>
    <t>WTI</t>
  </si>
  <si>
    <t>WRD</t>
  </si>
  <si>
    <t>Oil &amp; Gas Equipment &amp; Services</t>
  </si>
  <si>
    <t>FMSA</t>
  </si>
  <si>
    <t>TESO</t>
  </si>
  <si>
    <t>TTI</t>
  </si>
  <si>
    <t>WFT</t>
  </si>
  <si>
    <t>AROC</t>
  </si>
  <si>
    <t>BHI</t>
  </si>
  <si>
    <t>BRS</t>
  </si>
  <si>
    <t>CRR</t>
  </si>
  <si>
    <t>DRQ</t>
  </si>
  <si>
    <t>EXTN</t>
  </si>
  <si>
    <t>FTK</t>
  </si>
  <si>
    <t>FET</t>
  </si>
  <si>
    <t>GEOS</t>
  </si>
  <si>
    <t>HAL</t>
  </si>
  <si>
    <t>HLX</t>
  </si>
  <si>
    <t>FRAC</t>
  </si>
  <si>
    <t>MTRX</t>
  </si>
  <si>
    <t>MDR</t>
  </si>
  <si>
    <t>MRC</t>
  </si>
  <si>
    <t>NOV</t>
  </si>
  <si>
    <t>NGS</t>
  </si>
  <si>
    <t>NR</t>
  </si>
  <si>
    <t>DNOW</t>
  </si>
  <si>
    <t>OII</t>
  </si>
  <si>
    <t>OIS</t>
  </si>
  <si>
    <t>PKD</t>
  </si>
  <si>
    <t>RES</t>
  </si>
  <si>
    <t>SLB</t>
  </si>
  <si>
    <t>CKH</t>
  </si>
  <si>
    <t>SRCI</t>
  </si>
  <si>
    <t>SPN</t>
  </si>
  <si>
    <t>WG</t>
  </si>
  <si>
    <t>Oil &amp; Gas Integrated</t>
  </si>
  <si>
    <t>AE</t>
  </si>
  <si>
    <t>CVX</t>
  </si>
  <si>
    <t>XOM</t>
  </si>
  <si>
    <t>TUSK</t>
  </si>
  <si>
    <t>QEP</t>
  </si>
  <si>
    <t>TK</t>
  </si>
  <si>
    <t>Oil &amp; Gas Midstream</t>
  </si>
  <si>
    <t>KMI</t>
  </si>
  <si>
    <t>TRGP</t>
  </si>
  <si>
    <t>LNG</t>
  </si>
  <si>
    <t>FI</t>
  </si>
  <si>
    <t>OKE</t>
  </si>
  <si>
    <t>SEMG</t>
  </si>
  <si>
    <t>WMB</t>
  </si>
  <si>
    <t>Oil &amp; Gas Refining &amp; Marketing</t>
  </si>
  <si>
    <t>PEIX</t>
  </si>
  <si>
    <t>ALJ</t>
  </si>
  <si>
    <t>CLNE</t>
  </si>
  <si>
    <t>CVI</t>
  </si>
  <si>
    <t>DK</t>
  </si>
  <si>
    <t>HFC</t>
  </si>
  <si>
    <t>MPC</t>
  </si>
  <si>
    <t>PBF</t>
  </si>
  <si>
    <t>PSX</t>
  </si>
  <si>
    <t>REGI</t>
  </si>
  <si>
    <t>TSO</t>
  </si>
  <si>
    <t>VLO</t>
  </si>
  <si>
    <t>VVV</t>
  </si>
  <si>
    <t>INT</t>
  </si>
  <si>
    <t>Packaged Foods</t>
  </si>
  <si>
    <t>CAG</t>
  </si>
  <si>
    <t>BETR</t>
  </si>
  <si>
    <t>BGS</t>
  </si>
  <si>
    <t>BUFF</t>
  </si>
  <si>
    <t>BOBE</t>
  </si>
  <si>
    <t>CALM</t>
  </si>
  <si>
    <t>CPB</t>
  </si>
  <si>
    <t>CENT</t>
  </si>
  <si>
    <t>CENTA</t>
  </si>
  <si>
    <t>DF</t>
  </si>
  <si>
    <t>FARM</t>
  </si>
  <si>
    <t>FLO</t>
  </si>
  <si>
    <t>FRPT</t>
  </si>
  <si>
    <t>GIS</t>
  </si>
  <si>
    <t>HRL</t>
  </si>
  <si>
    <t>INGR</t>
  </si>
  <si>
    <t>JJSF</t>
  </si>
  <si>
    <t>SJM</t>
  </si>
  <si>
    <t>JBSS</t>
  </si>
  <si>
    <t>K</t>
  </si>
  <si>
    <t>LW</t>
  </si>
  <si>
    <t>LANC</t>
  </si>
  <si>
    <t>LUK</t>
  </si>
  <si>
    <t>LWAY</t>
  </si>
  <si>
    <t>MKC</t>
  </si>
  <si>
    <t>MGPI</t>
  </si>
  <si>
    <t>NUTR</t>
  </si>
  <si>
    <t>OME</t>
  </si>
  <si>
    <t>PPC</t>
  </si>
  <si>
    <t>PF</t>
  </si>
  <si>
    <t>POST</t>
  </si>
  <si>
    <t>SAFM</t>
  </si>
  <si>
    <t>SENEA</t>
  </si>
  <si>
    <t>LNCE</t>
  </si>
  <si>
    <t>HAIN</t>
  </si>
  <si>
    <t>KHC</t>
  </si>
  <si>
    <t>THS</t>
  </si>
  <si>
    <t>Packaging &amp; Containers</t>
  </si>
  <si>
    <t>BMS</t>
  </si>
  <si>
    <t>GEF.B</t>
  </si>
  <si>
    <t>SEE</t>
  </si>
  <si>
    <t>SON</t>
  </si>
  <si>
    <t>UFPT</t>
  </si>
  <si>
    <t>ATR</t>
  </si>
  <si>
    <t>BLL</t>
  </si>
  <si>
    <t>BERY</t>
  </si>
  <si>
    <t>CCK</t>
  </si>
  <si>
    <t>GPK</t>
  </si>
  <si>
    <t>GEF</t>
  </si>
  <si>
    <t>IP</t>
  </si>
  <si>
    <t>OI</t>
  </si>
  <si>
    <t>PKG</t>
  </si>
  <si>
    <t>SLGN</t>
  </si>
  <si>
    <t>TUP</t>
  </si>
  <si>
    <t>WRK</t>
  </si>
  <si>
    <t>Paper &amp; Paper Products</t>
  </si>
  <si>
    <t>CLW</t>
  </si>
  <si>
    <t>UFS</t>
  </si>
  <si>
    <t>KS</t>
  </si>
  <si>
    <t>NP</t>
  </si>
  <si>
    <t>GLT</t>
  </si>
  <si>
    <t>SWM</t>
  </si>
  <si>
    <t>Pay TV</t>
  </si>
  <si>
    <t>CHTR</t>
  </si>
  <si>
    <t>CMCSA</t>
  </si>
  <si>
    <t>DISH</t>
  </si>
  <si>
    <t>HMTV</t>
  </si>
  <si>
    <t>LBRDA</t>
  </si>
  <si>
    <t>LBRDK</t>
  </si>
  <si>
    <t>Personal Services</t>
  </si>
  <si>
    <t>CSV</t>
  </si>
  <si>
    <t>TAX</t>
  </si>
  <si>
    <t>MATW</t>
  </si>
  <si>
    <t>NTRI</t>
  </si>
  <si>
    <t>SCI</t>
  </si>
  <si>
    <t>BFAM</t>
  </si>
  <si>
    <t>HRB</t>
  </si>
  <si>
    <t>RGS</t>
  </si>
  <si>
    <t>SFLY</t>
  </si>
  <si>
    <t>WTW</t>
  </si>
  <si>
    <t>Pharmaceutical Retailers</t>
  </si>
  <si>
    <t>RAD</t>
  </si>
  <si>
    <t>GNC</t>
  </si>
  <si>
    <t>PETS</t>
  </si>
  <si>
    <t>WBA</t>
  </si>
  <si>
    <t>Pollution &amp; Treatment Controls</t>
  </si>
  <si>
    <t>CCC</t>
  </si>
  <si>
    <t>CECE</t>
  </si>
  <si>
    <t>ERII</t>
  </si>
  <si>
    <t>FSS</t>
  </si>
  <si>
    <t>HCCI</t>
  </si>
  <si>
    <t>Publishing</t>
  </si>
  <si>
    <t>DJCO</t>
  </si>
  <si>
    <t>GCI</t>
  </si>
  <si>
    <t>JW.A</t>
  </si>
  <si>
    <t>MDP</t>
  </si>
  <si>
    <t>NEWM</t>
  </si>
  <si>
    <t>NYT</t>
  </si>
  <si>
    <t>SCHL</t>
  </si>
  <si>
    <t>TIME</t>
  </si>
  <si>
    <t>TRNC</t>
  </si>
  <si>
    <t>VALU</t>
  </si>
  <si>
    <t>Railroads</t>
  </si>
  <si>
    <t>UNP</t>
  </si>
  <si>
    <t>ARII</t>
  </si>
  <si>
    <t>CSX</t>
  </si>
  <si>
    <t>RAIL</t>
  </si>
  <si>
    <t>GWR</t>
  </si>
  <si>
    <t>GBX</t>
  </si>
  <si>
    <t>KSU</t>
  </si>
  <si>
    <t>NSC</t>
  </si>
  <si>
    <t>TRN</t>
  </si>
  <si>
    <t>WAB</t>
  </si>
  <si>
    <t>Real Estate - General</t>
  </si>
  <si>
    <t>ALEX</t>
  </si>
  <si>
    <t>CTO</t>
  </si>
  <si>
    <t>FOR</t>
  </si>
  <si>
    <t>GRBK</t>
  </si>
  <si>
    <t>PICO</t>
  </si>
  <si>
    <t>STRS</t>
  </si>
  <si>
    <t>TRC</t>
  </si>
  <si>
    <t>HHC</t>
  </si>
  <si>
    <t>JOE</t>
  </si>
  <si>
    <t>TPHS</t>
  </si>
  <si>
    <t>Real Estate Services</t>
  </si>
  <si>
    <t>CBG</t>
  </si>
  <si>
    <t>INVH</t>
  </si>
  <si>
    <t>KW</t>
  </si>
  <si>
    <t>CSGP</t>
  </si>
  <si>
    <t>FRPH</t>
  </si>
  <si>
    <t>GRIF</t>
  </si>
  <si>
    <t>HF</t>
  </si>
  <si>
    <t>JLL</t>
  </si>
  <si>
    <t>MMI</t>
  </si>
  <si>
    <t>RMAX</t>
  </si>
  <si>
    <t>RLGY</t>
  </si>
  <si>
    <t>RMR</t>
  </si>
  <si>
    <t>ZG</t>
  </si>
  <si>
    <t>Z</t>
  </si>
  <si>
    <t>Recreational Vehicles</t>
  </si>
  <si>
    <t>HOG</t>
  </si>
  <si>
    <t>CWH</t>
  </si>
  <si>
    <t>FOXF</t>
  </si>
  <si>
    <t>LCII</t>
  </si>
  <si>
    <t>MBUU</t>
  </si>
  <si>
    <t>MPX</t>
  </si>
  <si>
    <t>MCFT</t>
  </si>
  <si>
    <t>PII</t>
  </si>
  <si>
    <t>REVG</t>
  </si>
  <si>
    <t>THO</t>
  </si>
  <si>
    <t>WGO</t>
  </si>
  <si>
    <t>REIT - Diversified</t>
  </si>
  <si>
    <t>FPI</t>
  </si>
  <si>
    <t>GNL</t>
  </si>
  <si>
    <t>LADR</t>
  </si>
  <si>
    <t>RAS</t>
  </si>
  <si>
    <t>SIR</t>
  </si>
  <si>
    <t>UE</t>
  </si>
  <si>
    <t>VER</t>
  </si>
  <si>
    <t>MITT</t>
  </si>
  <si>
    <t>NLY</t>
  </si>
  <si>
    <t>ANH</t>
  </si>
  <si>
    <t>ARI</t>
  </si>
  <si>
    <t>ACRE</t>
  </si>
  <si>
    <t>AHH</t>
  </si>
  <si>
    <t>CTT</t>
  </si>
  <si>
    <t>CIM</t>
  </si>
  <si>
    <t>CLPR</t>
  </si>
  <si>
    <t>CLNS</t>
  </si>
  <si>
    <t>CXW</t>
  </si>
  <si>
    <t>CORR</t>
  </si>
  <si>
    <t>CUZ</t>
  </si>
  <si>
    <t>CONE</t>
  </si>
  <si>
    <t>CYS</t>
  </si>
  <si>
    <t>ESRT</t>
  </si>
  <si>
    <t>EQIX</t>
  </si>
  <si>
    <t>GLPI</t>
  </si>
  <si>
    <t>GOOD</t>
  </si>
  <si>
    <t>AJX</t>
  </si>
  <si>
    <t>HASI</t>
  </si>
  <si>
    <t>HIFR</t>
  </si>
  <si>
    <t>IVR</t>
  </si>
  <si>
    <t>STAR</t>
  </si>
  <si>
    <t>LAMR</t>
  </si>
  <si>
    <t>LXP</t>
  </si>
  <si>
    <t>MFA</t>
  </si>
  <si>
    <t>MTGE</t>
  </si>
  <si>
    <t>SNR</t>
  </si>
  <si>
    <t>OLP</t>
  </si>
  <si>
    <t>ORC</t>
  </si>
  <si>
    <t>OUT</t>
  </si>
  <si>
    <t>PMT</t>
  </si>
  <si>
    <t>PCH</t>
  </si>
  <si>
    <t>PSB</t>
  </si>
  <si>
    <t>RWT</t>
  </si>
  <si>
    <t>RSO</t>
  </si>
  <si>
    <t>SRC</t>
  </si>
  <si>
    <t>STWD</t>
  </si>
  <si>
    <t>STOR</t>
  </si>
  <si>
    <t>VNO</t>
  </si>
  <si>
    <t>WPC</t>
  </si>
  <si>
    <t>WMC</t>
  </si>
  <si>
    <t>REIT - Healthcare Facilities</t>
  </si>
  <si>
    <t>SBRA</t>
  </si>
  <si>
    <t>CCP</t>
  </si>
  <si>
    <t>CTRE</t>
  </si>
  <si>
    <t>CHCT</t>
  </si>
  <si>
    <t>GMRE</t>
  </si>
  <si>
    <t>HCP</t>
  </si>
  <si>
    <t>HR</t>
  </si>
  <si>
    <t>HTA</t>
  </si>
  <si>
    <t>LTC</t>
  </si>
  <si>
    <t>MRT</t>
  </si>
  <si>
    <t>MPW</t>
  </si>
  <si>
    <t>NHI</t>
  </si>
  <si>
    <t>OHI</t>
  </si>
  <si>
    <t>DOC</t>
  </si>
  <si>
    <t>QCP</t>
  </si>
  <si>
    <t>SNH</t>
  </si>
  <si>
    <t>GEO</t>
  </si>
  <si>
    <t>UHT</t>
  </si>
  <si>
    <t>VTR</t>
  </si>
  <si>
    <t>HCN</t>
  </si>
  <si>
    <t>REIT - Hotel &amp; Motel</t>
  </si>
  <si>
    <t>AHT</t>
  </si>
  <si>
    <t>RLJ</t>
  </si>
  <si>
    <t>APLE</t>
  </si>
  <si>
    <t>AHP</t>
  </si>
  <si>
    <t>CLDT</t>
  </si>
  <si>
    <t>CHSP</t>
  </si>
  <si>
    <t>DRH</t>
  </si>
  <si>
    <t>FCH</t>
  </si>
  <si>
    <t>FCPT</t>
  </si>
  <si>
    <t>HT</t>
  </si>
  <si>
    <t>HPT</t>
  </si>
  <si>
    <t>HST</t>
  </si>
  <si>
    <t>LHO</t>
  </si>
  <si>
    <t>PEB</t>
  </si>
  <si>
    <t>RHP</t>
  </si>
  <si>
    <t>INN</t>
  </si>
  <si>
    <t>SHO</t>
  </si>
  <si>
    <t>XHR</t>
  </si>
  <si>
    <t>REIT - Industrial</t>
  </si>
  <si>
    <t>CUBE</t>
  </si>
  <si>
    <t>LSI</t>
  </si>
  <si>
    <t>DCT</t>
  </si>
  <si>
    <t>DRE</t>
  </si>
  <si>
    <t>EGP</t>
  </si>
  <si>
    <t>EXR</t>
  </si>
  <si>
    <t>FR</t>
  </si>
  <si>
    <t>GPT</t>
  </si>
  <si>
    <t>MNR</t>
  </si>
  <si>
    <t>NSA</t>
  </si>
  <si>
    <t>PLD</t>
  </si>
  <si>
    <t>PSA</t>
  </si>
  <si>
    <t>QTS</t>
  </si>
  <si>
    <t>REXR</t>
  </si>
  <si>
    <t>STAG</t>
  </si>
  <si>
    <t>TRNO</t>
  </si>
  <si>
    <t>UNIT</t>
  </si>
  <si>
    <t>REIT - Office</t>
  </si>
  <si>
    <t>ARE</t>
  </si>
  <si>
    <t>BXP</t>
  </si>
  <si>
    <t>BDN</t>
  </si>
  <si>
    <t>CIO</t>
  </si>
  <si>
    <t>CXP</t>
  </si>
  <si>
    <t>COR</t>
  </si>
  <si>
    <t>OFC</t>
  </si>
  <si>
    <t>DLR</t>
  </si>
  <si>
    <t>DEI</t>
  </si>
  <si>
    <t>DFT</t>
  </si>
  <si>
    <t>DEA</t>
  </si>
  <si>
    <t>EQC</t>
  </si>
  <si>
    <t>FPO</t>
  </si>
  <si>
    <t>FSP</t>
  </si>
  <si>
    <t>GOV</t>
  </si>
  <si>
    <t>HIW</t>
  </si>
  <si>
    <t>HPP</t>
  </si>
  <si>
    <t>KRC</t>
  </si>
  <si>
    <t>LPT</t>
  </si>
  <si>
    <t>CLI</t>
  </si>
  <si>
    <t>NRE</t>
  </si>
  <si>
    <t>ORM</t>
  </si>
  <si>
    <t>PGRE</t>
  </si>
  <si>
    <t>PKY</t>
  </si>
  <si>
    <t>PDM</t>
  </si>
  <si>
    <t>SLG</t>
  </si>
  <si>
    <t>TIER</t>
  </si>
  <si>
    <t>WRE</t>
  </si>
  <si>
    <t>REIT - Residential</t>
  </si>
  <si>
    <t>RESI</t>
  </si>
  <si>
    <t>ACC</t>
  </si>
  <si>
    <t>AMH</t>
  </si>
  <si>
    <t>AIV</t>
  </si>
  <si>
    <t>SFR</t>
  </si>
  <si>
    <t>EDR</t>
  </si>
  <si>
    <t>NRZ</t>
  </si>
  <si>
    <t>AGNC</t>
  </si>
  <si>
    <t>ARR</t>
  </si>
  <si>
    <t>AVB</t>
  </si>
  <si>
    <t>BRG</t>
  </si>
  <si>
    <t>CPT</t>
  </si>
  <si>
    <t>CMO</t>
  </si>
  <si>
    <t>DX</t>
  </si>
  <si>
    <t>ELS</t>
  </si>
  <si>
    <t>EQR</t>
  </si>
  <si>
    <t>ESS</t>
  </si>
  <si>
    <t>IRT</t>
  </si>
  <si>
    <t>IRET</t>
  </si>
  <si>
    <t>MAA</t>
  </si>
  <si>
    <t>MORE</t>
  </si>
  <si>
    <t>NYMT</t>
  </si>
  <si>
    <t>NXRT</t>
  </si>
  <si>
    <t>APTS</t>
  </si>
  <si>
    <t>SUI</t>
  </si>
  <si>
    <t>TWO</t>
  </si>
  <si>
    <t>UDR</t>
  </si>
  <si>
    <t>UMH</t>
  </si>
  <si>
    <t>REIT - Retail</t>
  </si>
  <si>
    <t>BRX</t>
  </si>
  <si>
    <t>RPAI</t>
  </si>
  <si>
    <t>SKT</t>
  </si>
  <si>
    <t>AKR</t>
  </si>
  <si>
    <t>ADC</t>
  </si>
  <si>
    <t>ALX</t>
  </si>
  <si>
    <t>AAT</t>
  </si>
  <si>
    <t>CBL</t>
  </si>
  <si>
    <t>CDR</t>
  </si>
  <si>
    <t>DDR</t>
  </si>
  <si>
    <t>EPR</t>
  </si>
  <si>
    <t>FRT</t>
  </si>
  <si>
    <t>GTY</t>
  </si>
  <si>
    <t>GGP</t>
  </si>
  <si>
    <t>KIM</t>
  </si>
  <si>
    <t>KRG</t>
  </si>
  <si>
    <t>MAC</t>
  </si>
  <si>
    <t>NNN</t>
  </si>
  <si>
    <t>PEI</t>
  </si>
  <si>
    <t>RPT</t>
  </si>
  <si>
    <t>O</t>
  </si>
  <si>
    <t>REG</t>
  </si>
  <si>
    <t>ROIC</t>
  </si>
  <si>
    <t>BFS</t>
  </si>
  <si>
    <t>SRG</t>
  </si>
  <si>
    <t>SPG</t>
  </si>
  <si>
    <t>TCO</t>
  </si>
  <si>
    <t>UBA</t>
  </si>
  <si>
    <t>WPG</t>
  </si>
  <si>
    <t>WRI</t>
  </si>
  <si>
    <t>WSR</t>
  </si>
  <si>
    <t>Rental &amp; Leasing Services</t>
  </si>
  <si>
    <t>HRI</t>
  </si>
  <si>
    <t>AAN</t>
  </si>
  <si>
    <t>AL</t>
  </si>
  <si>
    <t>AYR</t>
  </si>
  <si>
    <t>UHAL</t>
  </si>
  <si>
    <t>CAR</t>
  </si>
  <si>
    <t>CAI</t>
  </si>
  <si>
    <t>GATX</t>
  </si>
  <si>
    <t>HEES</t>
  </si>
  <si>
    <t>HTZ</t>
  </si>
  <si>
    <t>MGRC</t>
  </si>
  <si>
    <t>MINI</t>
  </si>
  <si>
    <t>NEFF</t>
  </si>
  <si>
    <t>RCII</t>
  </si>
  <si>
    <t>R</t>
  </si>
  <si>
    <t>TGH</t>
  </si>
  <si>
    <t>TRTN</t>
  </si>
  <si>
    <t>URI</t>
  </si>
  <si>
    <t>WLFC</t>
  </si>
  <si>
    <t>Residential Construction</t>
  </si>
  <si>
    <t>CAA</t>
  </si>
  <si>
    <t>DHI</t>
  </si>
  <si>
    <t>LEN</t>
  </si>
  <si>
    <t>AVHI</t>
  </si>
  <si>
    <t>BZH</t>
  </si>
  <si>
    <t>CVCO</t>
  </si>
  <si>
    <t>CCS</t>
  </si>
  <si>
    <t>HOV</t>
  </si>
  <si>
    <t>KBH</t>
  </si>
  <si>
    <t>LEN.B</t>
  </si>
  <si>
    <t>LGIH</t>
  </si>
  <si>
    <t>MDC</t>
  </si>
  <si>
    <t>MHO</t>
  </si>
  <si>
    <t>MTH</t>
  </si>
  <si>
    <t>NVR</t>
  </si>
  <si>
    <t>PHM</t>
  </si>
  <si>
    <t>TMHC</t>
  </si>
  <si>
    <t>NWHM</t>
  </si>
  <si>
    <t>TOL</t>
  </si>
  <si>
    <t>TPH</t>
  </si>
  <si>
    <t>UCP</t>
  </si>
  <si>
    <t>WLH</t>
  </si>
  <si>
    <t>Resorts &amp; Casinos</t>
  </si>
  <si>
    <t>NYNY</t>
  </si>
  <si>
    <t>MCRI</t>
  </si>
  <si>
    <t>PNK</t>
  </si>
  <si>
    <t>RRR</t>
  </si>
  <si>
    <t>BYD</t>
  </si>
  <si>
    <t>CACQ</t>
  </si>
  <si>
    <t>CZR</t>
  </si>
  <si>
    <t>CNTY</t>
  </si>
  <si>
    <t>ERI</t>
  </si>
  <si>
    <t>HGV</t>
  </si>
  <si>
    <t>LQ</t>
  </si>
  <si>
    <t>LVS</t>
  </si>
  <si>
    <t>VAC</t>
  </si>
  <si>
    <t>MGM</t>
  </si>
  <si>
    <t>PENN</t>
  </si>
  <si>
    <t>MTN</t>
  </si>
  <si>
    <t>WYNN</t>
  </si>
  <si>
    <t>Restaurants</t>
  </si>
  <si>
    <t>EAT</t>
  </si>
  <si>
    <t>BWLD</t>
  </si>
  <si>
    <t>CAKE</t>
  </si>
  <si>
    <t>CHUY</t>
  </si>
  <si>
    <t>DFRG</t>
  </si>
  <si>
    <t>DNKN</t>
  </si>
  <si>
    <t>FRGI</t>
  </si>
  <si>
    <t>JACK</t>
  </si>
  <si>
    <t>NDLS</t>
  </si>
  <si>
    <t>PZZA</t>
  </si>
  <si>
    <t>RT</t>
  </si>
  <si>
    <t>ZOES</t>
  </si>
  <si>
    <t>ARMK</t>
  </si>
  <si>
    <t>BH</t>
  </si>
  <si>
    <t>BJRI</t>
  </si>
  <si>
    <t>BLMN</t>
  </si>
  <si>
    <t>BOJA</t>
  </si>
  <si>
    <t>TAST</t>
  </si>
  <si>
    <t>CMG</t>
  </si>
  <si>
    <t>CBRL</t>
  </si>
  <si>
    <t>DRI</t>
  </si>
  <si>
    <t>PLAY</t>
  </si>
  <si>
    <t>TACO</t>
  </si>
  <si>
    <t>DENN</t>
  </si>
  <si>
    <t>DIN</t>
  </si>
  <si>
    <t>DPZ</t>
  </si>
  <si>
    <t>LOCO</t>
  </si>
  <si>
    <t>FOGO</t>
  </si>
  <si>
    <t>JAX</t>
  </si>
  <si>
    <t>MCD</t>
  </si>
  <si>
    <t>NATH</t>
  </si>
  <si>
    <t>PNRA</t>
  </si>
  <si>
    <t>PBPB</t>
  </si>
  <si>
    <t>RRGB</t>
  </si>
  <si>
    <t>RUTH</t>
  </si>
  <si>
    <t>SHAK</t>
  </si>
  <si>
    <t>SONC</t>
  </si>
  <si>
    <t>SBUX</t>
  </si>
  <si>
    <t>TXRH</t>
  </si>
  <si>
    <t>HABT</t>
  </si>
  <si>
    <t>WEN</t>
  </si>
  <si>
    <t>WING</t>
  </si>
  <si>
    <t>YUM</t>
  </si>
  <si>
    <t>YUMC</t>
  </si>
  <si>
    <t>Rubber &amp; Plastics</t>
  </si>
  <si>
    <t>WMS</t>
  </si>
  <si>
    <t>CSL</t>
  </si>
  <si>
    <t>CTB</t>
  </si>
  <si>
    <t>GT</t>
  </si>
  <si>
    <t>MYE</t>
  </si>
  <si>
    <t>TG</t>
  </si>
  <si>
    <t>TSE</t>
  </si>
  <si>
    <t>Savings &amp; Cooperative Banks</t>
  </si>
  <si>
    <t>ICBK</t>
  </si>
  <si>
    <t>SMBC</t>
  </si>
  <si>
    <t>AF</t>
  </si>
  <si>
    <t>BKMU</t>
  </si>
  <si>
    <t>BSF</t>
  </si>
  <si>
    <t>BOFI</t>
  </si>
  <si>
    <t>CFFN</t>
  </si>
  <si>
    <t>CSBK</t>
  </si>
  <si>
    <t>DCOM</t>
  </si>
  <si>
    <t>EBTC</t>
  </si>
  <si>
    <t>ESSA</t>
  </si>
  <si>
    <t>FDEF</t>
  </si>
  <si>
    <t>FNWB</t>
  </si>
  <si>
    <t>FBC</t>
  </si>
  <si>
    <t>FFIC</t>
  </si>
  <si>
    <t>GCBC</t>
  </si>
  <si>
    <t>HONE</t>
  </si>
  <si>
    <t>HIFS</t>
  </si>
  <si>
    <t>HBCP</t>
  </si>
  <si>
    <t>HMST</t>
  </si>
  <si>
    <t>ISBC</t>
  </si>
  <si>
    <t>KRNY</t>
  </si>
  <si>
    <t>LOB</t>
  </si>
  <si>
    <t>EBSB</t>
  </si>
  <si>
    <t>CASH</t>
  </si>
  <si>
    <t>NYCB</t>
  </si>
  <si>
    <t>NWBI</t>
  </si>
  <si>
    <t>OCFC</t>
  </si>
  <si>
    <t>PROV</t>
  </si>
  <si>
    <t>PFS</t>
  </si>
  <si>
    <t>SIFI</t>
  </si>
  <si>
    <t>TBNK</t>
  </si>
  <si>
    <t>UCFC</t>
  </si>
  <si>
    <t>UBNK</t>
  </si>
  <si>
    <t>WAFD</t>
  </si>
  <si>
    <t>WSBF</t>
  </si>
  <si>
    <t>Scientific &amp; Technical Instruments</t>
  </si>
  <si>
    <t>BMI</t>
  </si>
  <si>
    <t>CGNX</t>
  </si>
  <si>
    <t>COHR</t>
  </si>
  <si>
    <t>ESE</t>
  </si>
  <si>
    <t>FARO</t>
  </si>
  <si>
    <t>FIT</t>
  </si>
  <si>
    <t>FLIR</t>
  </si>
  <si>
    <t>FTV</t>
  </si>
  <si>
    <t>GRMN</t>
  </si>
  <si>
    <t>HURC</t>
  </si>
  <si>
    <t>IIVI</t>
  </si>
  <si>
    <t>ITRI</t>
  </si>
  <si>
    <t>KEYS</t>
  </si>
  <si>
    <t>LDR</t>
  </si>
  <si>
    <t>MLAB</t>
  </si>
  <si>
    <t>MKSI</t>
  </si>
  <si>
    <t>MTSC</t>
  </si>
  <si>
    <t>NOVT</t>
  </si>
  <si>
    <t>RTEC</t>
  </si>
  <si>
    <t>TDY</t>
  </si>
  <si>
    <t>TRMB</t>
  </si>
  <si>
    <t>VPG</t>
  </si>
  <si>
    <t>Security &amp; Protection Services</t>
  </si>
  <si>
    <t>BRC</t>
  </si>
  <si>
    <t>ALLE</t>
  </si>
  <si>
    <t>ASCMA</t>
  </si>
  <si>
    <t>CIX</t>
  </si>
  <si>
    <t>KTOS</t>
  </si>
  <si>
    <t>MG</t>
  </si>
  <si>
    <t>MSA</t>
  </si>
  <si>
    <t>BCO</t>
  </si>
  <si>
    <t>Semiconductor Equipment &amp; Materials</t>
  </si>
  <si>
    <t>AMBA</t>
  </si>
  <si>
    <t>COHU</t>
  </si>
  <si>
    <t>ENTG</t>
  </si>
  <si>
    <t>KLAC</t>
  </si>
  <si>
    <t>AMAT</t>
  </si>
  <si>
    <t>ACLS</t>
  </si>
  <si>
    <t>BRKS</t>
  </si>
  <si>
    <t>ICHR</t>
  </si>
  <si>
    <t>IPGP</t>
  </si>
  <si>
    <t>LRCX</t>
  </si>
  <si>
    <t>NANO</t>
  </si>
  <si>
    <t>PKE</t>
  </si>
  <si>
    <t>PLAB</t>
  </si>
  <si>
    <t>SNPS</t>
  </si>
  <si>
    <t>TER</t>
  </si>
  <si>
    <t>UCTT</t>
  </si>
  <si>
    <t>OLED</t>
  </si>
  <si>
    <t>VECO</t>
  </si>
  <si>
    <t>XCRA</t>
  </si>
  <si>
    <t>XPER</t>
  </si>
  <si>
    <t>Semiconductor Memory</t>
  </si>
  <si>
    <t>RMBS</t>
  </si>
  <si>
    <t>MU</t>
  </si>
  <si>
    <t>Semiconductors</t>
  </si>
  <si>
    <t>CAVM</t>
  </si>
  <si>
    <t>IPHI</t>
  </si>
  <si>
    <t>SLAB</t>
  </si>
  <si>
    <t>AMD</t>
  </si>
  <si>
    <t>AOSL</t>
  </si>
  <si>
    <t>AMKR</t>
  </si>
  <si>
    <t>ADI</t>
  </si>
  <si>
    <t>AAOI</t>
  </si>
  <si>
    <t>AVGO</t>
  </si>
  <si>
    <t>CCMP</t>
  </si>
  <si>
    <t>CEVA</t>
  </si>
  <si>
    <t>CRUS</t>
  </si>
  <si>
    <t>CREE</t>
  </si>
  <si>
    <t>CY</t>
  </si>
  <si>
    <t>DIOD</t>
  </si>
  <si>
    <t>DSPG</t>
  </si>
  <si>
    <t>ESIO</t>
  </si>
  <si>
    <t>EMKR</t>
  </si>
  <si>
    <t>FORM</t>
  </si>
  <si>
    <t>IDTI</t>
  </si>
  <si>
    <t>INTC</t>
  </si>
  <si>
    <t>IXYS</t>
  </si>
  <si>
    <t>KOPN</t>
  </si>
  <si>
    <t>LSCC</t>
  </si>
  <si>
    <t>MTSI</t>
  </si>
  <si>
    <t>MRVL</t>
  </si>
  <si>
    <t>MXIM</t>
  </si>
  <si>
    <t>MXL</t>
  </si>
  <si>
    <t>MCHP</t>
  </si>
  <si>
    <t>MSCC</t>
  </si>
  <si>
    <t>MPWR</t>
  </si>
  <si>
    <t>NPTN</t>
  </si>
  <si>
    <t>NVEC</t>
  </si>
  <si>
    <t>NVDA</t>
  </si>
  <si>
    <t>OCLR</t>
  </si>
  <si>
    <t>ON</t>
  </si>
  <si>
    <t>POWI</t>
  </si>
  <si>
    <t>QRVO</t>
  </si>
  <si>
    <t>QCOM</t>
  </si>
  <si>
    <t>QTNA</t>
  </si>
  <si>
    <t>SMTC</t>
  </si>
  <si>
    <t>SIGM</t>
  </si>
  <si>
    <t>SWKS</t>
  </si>
  <si>
    <t>TXN</t>
  </si>
  <si>
    <t>VSH</t>
  </si>
  <si>
    <t>XLNX</t>
  </si>
  <si>
    <t>Shipping &amp; Ports</t>
  </si>
  <si>
    <t>OSG</t>
  </si>
  <si>
    <t>ASC</t>
  </si>
  <si>
    <t>DHT</t>
  </si>
  <si>
    <t>LPG</t>
  </si>
  <si>
    <t>FRO</t>
  </si>
  <si>
    <t>GLOG</t>
  </si>
  <si>
    <t>GNRT</t>
  </si>
  <si>
    <t>GLNG</t>
  </si>
  <si>
    <t>INSW</t>
  </si>
  <si>
    <t>KEX</t>
  </si>
  <si>
    <t>MATX</t>
  </si>
  <si>
    <t>NNA</t>
  </si>
  <si>
    <t>NAT</t>
  </si>
  <si>
    <t>SALT</t>
  </si>
  <si>
    <t>STNG</t>
  </si>
  <si>
    <t>SFL</t>
  </si>
  <si>
    <t>TNK</t>
  </si>
  <si>
    <t>Silver</t>
  </si>
  <si>
    <t>HL</t>
  </si>
  <si>
    <t>CDE</t>
  </si>
  <si>
    <t>Software - Application</t>
  </si>
  <si>
    <t>CSOD</t>
  </si>
  <si>
    <t>EBIX</t>
  </si>
  <si>
    <t>FTNT</t>
  </si>
  <si>
    <t>MB</t>
  </si>
  <si>
    <t>TYPE</t>
  </si>
  <si>
    <t>NTCT</t>
  </si>
  <si>
    <t>NUAN</t>
  </si>
  <si>
    <t>PCYG</t>
  </si>
  <si>
    <t>SPLK</t>
  </si>
  <si>
    <t>SYMC</t>
  </si>
  <si>
    <t>ACIW</t>
  </si>
  <si>
    <t>ACTA</t>
  </si>
  <si>
    <t>ADBE</t>
  </si>
  <si>
    <t>AGYS</t>
  </si>
  <si>
    <t>AKAM</t>
  </si>
  <si>
    <t>ALRM</t>
  </si>
  <si>
    <t>MDRX</t>
  </si>
  <si>
    <t>AMBR</t>
  </si>
  <si>
    <t>AMSWA</t>
  </si>
  <si>
    <t>ANSS</t>
  </si>
  <si>
    <t>APPF</t>
  </si>
  <si>
    <t>APTI</t>
  </si>
  <si>
    <t>AZPN</t>
  </si>
  <si>
    <t>TEAM</t>
  </si>
  <si>
    <t>ADSK</t>
  </si>
  <si>
    <t>BV</t>
  </si>
  <si>
    <t>BNFT</t>
  </si>
  <si>
    <t>BLKB</t>
  </si>
  <si>
    <t>EPAY</t>
  </si>
  <si>
    <t>BCOV</t>
  </si>
  <si>
    <t>BSFT</t>
  </si>
  <si>
    <t>CDNS</t>
  </si>
  <si>
    <t>CALD</t>
  </si>
  <si>
    <t>CSLT</t>
  </si>
  <si>
    <t>CDK</t>
  </si>
  <si>
    <t>ECOM</t>
  </si>
  <si>
    <t>CHUBA</t>
  </si>
  <si>
    <t>CHUBK</t>
  </si>
  <si>
    <t>CVLT</t>
  </si>
  <si>
    <t>DBD</t>
  </si>
  <si>
    <t>ELLI</t>
  </si>
  <si>
    <t>EIGI</t>
  </si>
  <si>
    <t>ENOC</t>
  </si>
  <si>
    <t>PLUS</t>
  </si>
  <si>
    <t>EVBG</t>
  </si>
  <si>
    <t>EXA</t>
  </si>
  <si>
    <t>FEYE</t>
  </si>
  <si>
    <t>GUID</t>
  </si>
  <si>
    <t>HUBS</t>
  </si>
  <si>
    <t>IMMR</t>
  </si>
  <si>
    <t>IMPV</t>
  </si>
  <si>
    <t>INST</t>
  </si>
  <si>
    <t>INTU</t>
  </si>
  <si>
    <t>KEYW</t>
  </si>
  <si>
    <t>LOGM</t>
  </si>
  <si>
    <t>MJCO</t>
  </si>
  <si>
    <t>MANH</t>
  </si>
  <si>
    <t>MANT</t>
  </si>
  <si>
    <t>MSTR</t>
  </si>
  <si>
    <t>MITK</t>
  </si>
  <si>
    <t>MOBL</t>
  </si>
  <si>
    <t>MODN</t>
  </si>
  <si>
    <t>NATI</t>
  </si>
  <si>
    <t>EGOV</t>
  </si>
  <si>
    <t>PANW</t>
  </si>
  <si>
    <t>PAYC</t>
  </si>
  <si>
    <t>PCTY</t>
  </si>
  <si>
    <t>PDFS</t>
  </si>
  <si>
    <t>PEGA</t>
  </si>
  <si>
    <t>PRGS</t>
  </si>
  <si>
    <t>PFPT</t>
  </si>
  <si>
    <t>PRO</t>
  </si>
  <si>
    <t>PTC</t>
  </si>
  <si>
    <t>QADA</t>
  </si>
  <si>
    <t>QLYS</t>
  </si>
  <si>
    <t>RPD</t>
  </si>
  <si>
    <t>RP</t>
  </si>
  <si>
    <t>RHT</t>
  </si>
  <si>
    <t>RNG</t>
  </si>
  <si>
    <t>RST</t>
  </si>
  <si>
    <t>CRM</t>
  </si>
  <si>
    <t>SCWX</t>
  </si>
  <si>
    <t>NOW</t>
  </si>
  <si>
    <t>SPSC</t>
  </si>
  <si>
    <t>SQ</t>
  </si>
  <si>
    <t>STMP</t>
  </si>
  <si>
    <t>SYNA</t>
  </si>
  <si>
    <t>SNCR</t>
  </si>
  <si>
    <t>DATA</t>
  </si>
  <si>
    <t>TTD</t>
  </si>
  <si>
    <t>TIVO</t>
  </si>
  <si>
    <t>TWLO</t>
  </si>
  <si>
    <t>TYL</t>
  </si>
  <si>
    <t>VDSI</t>
  </si>
  <si>
    <t>VRNT</t>
  </si>
  <si>
    <t>WDAY</t>
  </si>
  <si>
    <t>WK</t>
  </si>
  <si>
    <t>ZEN</t>
  </si>
  <si>
    <t>ZIXI</t>
  </si>
  <si>
    <t>Software - Infrastructure</t>
  </si>
  <si>
    <t>CTXS</t>
  </si>
  <si>
    <t>COTV</t>
  </si>
  <si>
    <t>FFIV</t>
  </si>
  <si>
    <t>TWOU</t>
  </si>
  <si>
    <t>ATEN</t>
  </si>
  <si>
    <t>DOX</t>
  </si>
  <si>
    <t>CUDA</t>
  </si>
  <si>
    <t>BKFS</t>
  </si>
  <si>
    <t>BL</t>
  </si>
  <si>
    <t>BOX</t>
  </si>
  <si>
    <t>CA</t>
  </si>
  <si>
    <t>CARB</t>
  </si>
  <si>
    <t>COUP</t>
  </si>
  <si>
    <t>CSGS</t>
  </si>
  <si>
    <t>DVMT</t>
  </si>
  <si>
    <t>DST</t>
  </si>
  <si>
    <t>EVTC</t>
  </si>
  <si>
    <t>FICO</t>
  </si>
  <si>
    <t>FIVN</t>
  </si>
  <si>
    <t>GWRE</t>
  </si>
  <si>
    <t>HDP</t>
  </si>
  <si>
    <t>JCOM</t>
  </si>
  <si>
    <t>LPSN</t>
  </si>
  <si>
    <t>MSFT</t>
  </si>
  <si>
    <t>NEWR</t>
  </si>
  <si>
    <t>NTNX</t>
  </si>
  <si>
    <t>ORCL</t>
  </si>
  <si>
    <t>PLPM</t>
  </si>
  <si>
    <t>QTWO</t>
  </si>
  <si>
    <t>SREV</t>
  </si>
  <si>
    <t>SSNC</t>
  </si>
  <si>
    <t>RUBI</t>
  </si>
  <si>
    <t>ULTI</t>
  </si>
  <si>
    <t>USAT</t>
  </si>
  <si>
    <t>VRNS</t>
  </si>
  <si>
    <t>VHC</t>
  </si>
  <si>
    <t>VMW</t>
  </si>
  <si>
    <t>XTLY</t>
  </si>
  <si>
    <t>Solar</t>
  </si>
  <si>
    <t>FSLR</t>
  </si>
  <si>
    <t>SPWR</t>
  </si>
  <si>
    <t>RUN</t>
  </si>
  <si>
    <t>VSLR</t>
  </si>
  <si>
    <t>Specialty Chemicals</t>
  </si>
  <si>
    <t>GCP</t>
  </si>
  <si>
    <t>GPRE</t>
  </si>
  <si>
    <t>KOP</t>
  </si>
  <si>
    <t>ALB</t>
  </si>
  <si>
    <t>AXTA</t>
  </si>
  <si>
    <t>CBT</t>
  </si>
  <si>
    <t>ECL</t>
  </si>
  <si>
    <t>FOE</t>
  </si>
  <si>
    <t>FUL</t>
  </si>
  <si>
    <t>HWKN</t>
  </si>
  <si>
    <t>NGVT</t>
  </si>
  <si>
    <t>IPHS</t>
  </si>
  <si>
    <t>IOSP</t>
  </si>
  <si>
    <t>IFF</t>
  </si>
  <si>
    <t>KMG</t>
  </si>
  <si>
    <t>KRA</t>
  </si>
  <si>
    <t>KRO</t>
  </si>
  <si>
    <t>LYB</t>
  </si>
  <si>
    <t>NEU</t>
  </si>
  <si>
    <t>ODC</t>
  </si>
  <si>
    <t>OLN</t>
  </si>
  <si>
    <t>OMN</t>
  </si>
  <si>
    <t>PAH</t>
  </si>
  <si>
    <t>POL</t>
  </si>
  <si>
    <t>PPG</t>
  </si>
  <si>
    <t>PX</t>
  </si>
  <si>
    <t>KWR</t>
  </si>
  <si>
    <t>RPM</t>
  </si>
  <si>
    <t>SXT</t>
  </si>
  <si>
    <t>SHW</t>
  </si>
  <si>
    <t>SCL</t>
  </si>
  <si>
    <t>CC</t>
  </si>
  <si>
    <t>GRA</t>
  </si>
  <si>
    <t>WDFC</t>
  </si>
  <si>
    <t>WLK</t>
  </si>
  <si>
    <t>Specialty Finance</t>
  </si>
  <si>
    <t>ALLY</t>
  </si>
  <si>
    <t>AI</t>
  </si>
  <si>
    <t>ESNT</t>
  </si>
  <si>
    <t>HTH</t>
  </si>
  <si>
    <t>IMH</t>
  </si>
  <si>
    <t>TREE</t>
  </si>
  <si>
    <t>MRLN</t>
  </si>
  <si>
    <t>NSM</t>
  </si>
  <si>
    <t>OCN</t>
  </si>
  <si>
    <t>PFSI</t>
  </si>
  <si>
    <t>PHH</t>
  </si>
  <si>
    <t>SC</t>
  </si>
  <si>
    <t>WD</t>
  </si>
  <si>
    <t>Specialty Retail</t>
  </si>
  <si>
    <t>AAP</t>
  </si>
  <si>
    <t>AZO</t>
  </si>
  <si>
    <t>BBBY</t>
  </si>
  <si>
    <t>BGFV</t>
  </si>
  <si>
    <t>CST</t>
  </si>
  <si>
    <t>HIBB</t>
  </si>
  <si>
    <t>HSNI</t>
  </si>
  <si>
    <t>KAR</t>
  </si>
  <si>
    <t>ORLY</t>
  </si>
  <si>
    <t>ZUMZ</t>
  </si>
  <si>
    <t>FLWS</t>
  </si>
  <si>
    <t>AMZN</t>
  </si>
  <si>
    <t>HOME</t>
  </si>
  <si>
    <t>BNED</t>
  </si>
  <si>
    <t>BKS</t>
  </si>
  <si>
    <t>BBY</t>
  </si>
  <si>
    <t>BBW</t>
  </si>
  <si>
    <t>CAB</t>
  </si>
  <si>
    <t>CONN</t>
  </si>
  <si>
    <t>CSS</t>
  </si>
  <si>
    <t>DKS</t>
  </si>
  <si>
    <t>EBAY</t>
  </si>
  <si>
    <t>ETSY</t>
  </si>
  <si>
    <t>FINL</t>
  </si>
  <si>
    <t>FIVE</t>
  </si>
  <si>
    <t>FTD</t>
  </si>
  <si>
    <t>GAIA</t>
  </si>
  <si>
    <t>GME</t>
  </si>
  <si>
    <t>GPC</t>
  </si>
  <si>
    <t>KIRK</t>
  </si>
  <si>
    <t>LE</t>
  </si>
  <si>
    <t>LQDT</t>
  </si>
  <si>
    <t>HZO</t>
  </si>
  <si>
    <t>MED</t>
  </si>
  <si>
    <t>MUSA</t>
  </si>
  <si>
    <t>ODP</t>
  </si>
  <si>
    <t>OSTK</t>
  </si>
  <si>
    <t>PRTY</t>
  </si>
  <si>
    <t>PIR</t>
  </si>
  <si>
    <t>QVCA</t>
  </si>
  <si>
    <t>RH</t>
  </si>
  <si>
    <t>SBH</t>
  </si>
  <si>
    <t>BID</t>
  </si>
  <si>
    <t>SPLS</t>
  </si>
  <si>
    <t>SYX</t>
  </si>
  <si>
    <t>TCS</t>
  </si>
  <si>
    <t>MIK</t>
  </si>
  <si>
    <t>TSCO</t>
  </si>
  <si>
    <t>ULTA</t>
  </si>
  <si>
    <t>VSI</t>
  </si>
  <si>
    <t>W</t>
  </si>
  <si>
    <t>WMAR</t>
  </si>
  <si>
    <t>WSM</t>
  </si>
  <si>
    <t>WINA</t>
  </si>
  <si>
    <t>XOXO</t>
  </si>
  <si>
    <t>ZAGG</t>
  </si>
  <si>
    <t>Staffing &amp; Outsourcing Services</t>
  </si>
  <si>
    <t>DHX</t>
  </si>
  <si>
    <t>BBSI</t>
  </si>
  <si>
    <t>CCRN</t>
  </si>
  <si>
    <t>EGL</t>
  </si>
  <si>
    <t>HSII</t>
  </si>
  <si>
    <t>KELYA</t>
  </si>
  <si>
    <t>KFRC</t>
  </si>
  <si>
    <t>KFY</t>
  </si>
  <si>
    <t>MAN</t>
  </si>
  <si>
    <t>ASGN</t>
  </si>
  <si>
    <t>RECN</t>
  </si>
  <si>
    <t>RHI</t>
  </si>
  <si>
    <t>TBI</t>
  </si>
  <si>
    <t>Steel</t>
  </si>
  <si>
    <t>IIIN</t>
  </si>
  <si>
    <t>AKS</t>
  </si>
  <si>
    <t>CMC</t>
  </si>
  <si>
    <t>HNH</t>
  </si>
  <si>
    <t>NUE</t>
  </si>
  <si>
    <t>ZEUS</t>
  </si>
  <si>
    <t>RS</t>
  </si>
  <si>
    <t>SCHN</t>
  </si>
  <si>
    <t>STLD</t>
  </si>
  <si>
    <t>TMST</t>
  </si>
  <si>
    <t>X</t>
  </si>
  <si>
    <t>WOR</t>
  </si>
  <si>
    <t>Telecom Services</t>
  </si>
  <si>
    <t>FTR</t>
  </si>
  <si>
    <t>EGHT</t>
  </si>
  <si>
    <t>AMT</t>
  </si>
  <si>
    <t>T</t>
  </si>
  <si>
    <t>ATNI</t>
  </si>
  <si>
    <t>WIFI</t>
  </si>
  <si>
    <t>CABO</t>
  </si>
  <si>
    <t>CTL</t>
  </si>
  <si>
    <t>CBB</t>
  </si>
  <si>
    <t>CCOI</t>
  </si>
  <si>
    <t>CNSL</t>
  </si>
  <si>
    <t>CCI</t>
  </si>
  <si>
    <t>FRP</t>
  </si>
  <si>
    <t>GNCMA</t>
  </si>
  <si>
    <t>GSAT</t>
  </si>
  <si>
    <t>GOGO</t>
  </si>
  <si>
    <t>GTT</t>
  </si>
  <si>
    <t>HCOM</t>
  </si>
  <si>
    <t>HCHC</t>
  </si>
  <si>
    <t>IDT</t>
  </si>
  <si>
    <t>I</t>
  </si>
  <si>
    <t>IDCC</t>
  </si>
  <si>
    <t>IRDM</t>
  </si>
  <si>
    <t>LVLT</t>
  </si>
  <si>
    <t>LMOS</t>
  </si>
  <si>
    <t>ORBC</t>
  </si>
  <si>
    <t>PDVW</t>
  </si>
  <si>
    <t>SBAC</t>
  </si>
  <si>
    <t>SHEN</t>
  </si>
  <si>
    <t>SONS</t>
  </si>
  <si>
    <t>SPOK</t>
  </si>
  <si>
    <t>S</t>
  </si>
  <si>
    <t>STRP</t>
  </si>
  <si>
    <t>TMUS</t>
  </si>
  <si>
    <t>TDS</t>
  </si>
  <si>
    <t>USM</t>
  </si>
  <si>
    <t>VZ</t>
  </si>
  <si>
    <t>VG</t>
  </si>
  <si>
    <t>WSTC</t>
  </si>
  <si>
    <t>WIN</t>
  </si>
  <si>
    <t>Textile Manufacturing</t>
  </si>
  <si>
    <t>AIN</t>
  </si>
  <si>
    <t>TILE</t>
  </si>
  <si>
    <t>UFI</t>
  </si>
  <si>
    <t>Tobacco</t>
  </si>
  <si>
    <t>MO</t>
  </si>
  <si>
    <t>PM</t>
  </si>
  <si>
    <t>RAI</t>
  </si>
  <si>
    <t>TPB</t>
  </si>
  <si>
    <t>UVV</t>
  </si>
  <si>
    <t>VGR</t>
  </si>
  <si>
    <t>Tools &amp; Accessories</t>
  </si>
  <si>
    <t>SNA</t>
  </si>
  <si>
    <t>HDNG</t>
  </si>
  <si>
    <t>KMT</t>
  </si>
  <si>
    <t>LECO</t>
  </si>
  <si>
    <t>NNBR</t>
  </si>
  <si>
    <t>PRLB</t>
  </si>
  <si>
    <t>ROLL</t>
  </si>
  <si>
    <t>SSD</t>
  </si>
  <si>
    <t>SWK</t>
  </si>
  <si>
    <t>TKR</t>
  </si>
  <si>
    <t>TTC</t>
  </si>
  <si>
    <t>Truck Manufacturing</t>
  </si>
  <si>
    <t>STS</t>
  </si>
  <si>
    <t>HY</t>
  </si>
  <si>
    <t>NAV</t>
  </si>
  <si>
    <t>OSK</t>
  </si>
  <si>
    <t>PCAR</t>
  </si>
  <si>
    <t>SPAR</t>
  </si>
  <si>
    <t>WNC</t>
  </si>
  <si>
    <t>Trucking</t>
  </si>
  <si>
    <t>HTLD</t>
  </si>
  <si>
    <t>ARCB</t>
  </si>
  <si>
    <t>CVTI</t>
  </si>
  <si>
    <t>KNX</t>
  </si>
  <si>
    <t>MRTN</t>
  </si>
  <si>
    <t>ODFL</t>
  </si>
  <si>
    <t>RRTS</t>
  </si>
  <si>
    <t>SAIA</t>
  </si>
  <si>
    <t>SWFT</t>
  </si>
  <si>
    <t>ULH</t>
  </si>
  <si>
    <t>WERN</t>
  </si>
  <si>
    <t>YRCW</t>
  </si>
  <si>
    <t>Utilities - Diversified</t>
  </si>
  <si>
    <t>PEG</t>
  </si>
  <si>
    <t>AVA</t>
  </si>
  <si>
    <t>BKH</t>
  </si>
  <si>
    <t>D</t>
  </si>
  <si>
    <t>ETR</t>
  </si>
  <si>
    <t>EXC</t>
  </si>
  <si>
    <t>FE</t>
  </si>
  <si>
    <t>MGEE</t>
  </si>
  <si>
    <t>NWE</t>
  </si>
  <si>
    <t>OTTR</t>
  </si>
  <si>
    <t>SRE</t>
  </si>
  <si>
    <t>AES</t>
  </si>
  <si>
    <t>UTL</t>
  </si>
  <si>
    <t>Utilities - Independent Power Producers</t>
  </si>
  <si>
    <t>CPN</t>
  </si>
  <si>
    <t>DYN</t>
  </si>
  <si>
    <t>NRG</t>
  </si>
  <si>
    <t>ORA</t>
  </si>
  <si>
    <t>PEGI</t>
  </si>
  <si>
    <t>GLBL</t>
  </si>
  <si>
    <t>TERP</t>
  </si>
  <si>
    <t>Utilities - Regulated Electric</t>
  </si>
  <si>
    <t>AEE</t>
  </si>
  <si>
    <t>EIX</t>
  </si>
  <si>
    <t>SO</t>
  </si>
  <si>
    <t>ALE</t>
  </si>
  <si>
    <t>LNT</t>
  </si>
  <si>
    <t>AEP</t>
  </si>
  <si>
    <t>AGR</t>
  </si>
  <si>
    <t>CMS</t>
  </si>
  <si>
    <t>ED</t>
  </si>
  <si>
    <t>DTE</t>
  </si>
  <si>
    <t>DUK</t>
  </si>
  <si>
    <t>EE</t>
  </si>
  <si>
    <t>ES</t>
  </si>
  <si>
    <t>GXP</t>
  </si>
  <si>
    <t>HE</t>
  </si>
  <si>
    <t>IDA</t>
  </si>
  <si>
    <t>NEE</t>
  </si>
  <si>
    <t>NYLD</t>
  </si>
  <si>
    <t>OGE</t>
  </si>
  <si>
    <t>PCG</t>
  </si>
  <si>
    <t>PNW</t>
  </si>
  <si>
    <t>PNM</t>
  </si>
  <si>
    <t>POR</t>
  </si>
  <si>
    <t>PPL</t>
  </si>
  <si>
    <t>SCG</t>
  </si>
  <si>
    <t>SPKE</t>
  </si>
  <si>
    <t>WEC</t>
  </si>
  <si>
    <t>WR</t>
  </si>
  <si>
    <t>XEL</t>
  </si>
  <si>
    <t>Utilities - Regulated Gas</t>
  </si>
  <si>
    <t>SWX</t>
  </si>
  <si>
    <t>UGI</t>
  </si>
  <si>
    <t>ATO</t>
  </si>
  <si>
    <t>CNP</t>
  </si>
  <si>
    <t>CPK</t>
  </si>
  <si>
    <t>DGAS</t>
  </si>
  <si>
    <t>NJR</t>
  </si>
  <si>
    <t>NI</t>
  </si>
  <si>
    <t>NWN</t>
  </si>
  <si>
    <t>OGS</t>
  </si>
  <si>
    <t>SJI</t>
  </si>
  <si>
    <t>SR</t>
  </si>
  <si>
    <t>VVC</t>
  </si>
  <si>
    <t>WGL</t>
  </si>
  <si>
    <t>Utilities - Regulated Water</t>
  </si>
  <si>
    <t>AWR</t>
  </si>
  <si>
    <t>AWK</t>
  </si>
  <si>
    <t>WTR</t>
  </si>
  <si>
    <t>WAAS</t>
  </si>
  <si>
    <t>ARTNA</t>
  </si>
  <si>
    <t>CWT</t>
  </si>
  <si>
    <t>CTWS</t>
  </si>
  <si>
    <t>CWCO</t>
  </si>
  <si>
    <t>GWRS</t>
  </si>
  <si>
    <t>MSEX</t>
  </si>
  <si>
    <t>SJW</t>
  </si>
  <si>
    <t>YORW</t>
  </si>
  <si>
    <t>Waste Management</t>
  </si>
  <si>
    <t>ADSW</t>
  </si>
  <si>
    <t>AQMS</t>
  </si>
  <si>
    <t>CWST</t>
  </si>
  <si>
    <t>CLH</t>
  </si>
  <si>
    <t>CVA</t>
  </si>
  <si>
    <t>DAR</t>
  </si>
  <si>
    <t>RSG</t>
  </si>
  <si>
    <t>SRCL</t>
  </si>
  <si>
    <t>ECOL</t>
  </si>
  <si>
    <t>WM</t>
  </si>
  <si>
    <t>Company</t>
  </si>
  <si>
    <t>Sector</t>
  </si>
  <si>
    <t>AGILENT TECHNOLOGIES INC</t>
  </si>
  <si>
    <t>ALCOA CORPORATION</t>
  </si>
  <si>
    <t>AAC HOLDINGS INC</t>
  </si>
  <si>
    <t>AMERICAN AIRLINES GROUP</t>
  </si>
  <si>
    <t>AARONS INC</t>
  </si>
  <si>
    <t>APPLIED OPTOELECTRONICS</t>
  </si>
  <si>
    <t>AAON INC</t>
  </si>
  <si>
    <t>ADVANCE AUTO PARTS INC</t>
  </si>
  <si>
    <t>APPLE INC</t>
  </si>
  <si>
    <t>AMERICAN ASSETS TRST INC</t>
  </si>
  <si>
    <t>ATLAS AIR WORLDWIDE HLDG</t>
  </si>
  <si>
    <t>AXON ENTERPRISE INC</t>
  </si>
  <si>
    <t>ABAXIS INC</t>
  </si>
  <si>
    <t>ABBVIE INC</t>
  </si>
  <si>
    <t>AMERISOURCEBERGEN CORP</t>
  </si>
  <si>
    <t>AMERIS BANCORP</t>
  </si>
  <si>
    <t>CAMBIUM LEARNING GRP INC</t>
  </si>
  <si>
    <t>ADVISORY BOARD CO</t>
  </si>
  <si>
    <t>ASBURY AUTOMOTIVE GROUP</t>
  </si>
  <si>
    <t>ABM INDUSTRIES INC</t>
  </si>
  <si>
    <t>ABIOMED INC</t>
  </si>
  <si>
    <t>ABBOTT LABORATORIES</t>
  </si>
  <si>
    <t>ALLEGIANCE BANCSHARES</t>
  </si>
  <si>
    <t>ASSOCIATED CAPITAL GROUP</t>
  </si>
  <si>
    <t>ACADIA PHARMACEUTICALS</t>
  </si>
  <si>
    <t>ATLANTIC CAPITAL INC</t>
  </si>
  <si>
    <t>AMERICAN CAMPUS COMMUN</t>
  </si>
  <si>
    <t>ACCO BRANDS CORP</t>
  </si>
  <si>
    <t>ACETO CORP</t>
  </si>
  <si>
    <t>ARCH CAP GROUP LTD</t>
  </si>
  <si>
    <t>ACADIA HEALTHCARE CO</t>
  </si>
  <si>
    <t>ACHILLION PHARM</t>
  </si>
  <si>
    <t>ACACIA COMMUNICATIONS</t>
  </si>
  <si>
    <t>ACI WORLDWIDE INC</t>
  </si>
  <si>
    <t>AXCELIS TECHNOLOGIES INC</t>
  </si>
  <si>
    <t>ACCENTURE PLC IRELAND</t>
  </si>
  <si>
    <t>ACNB CORP</t>
  </si>
  <si>
    <t>ACORDA THERAPEUTICS INC</t>
  </si>
  <si>
    <t>ARES COML REAL ESTATE</t>
  </si>
  <si>
    <t>ACLARIS THERAPEUTICS</t>
  </si>
  <si>
    <t>ACTUA CORPORATION</t>
  </si>
  <si>
    <t>ACACIA RESEARCH CORP</t>
  </si>
  <si>
    <t>ACXIOM CORP</t>
  </si>
  <si>
    <t>ADOBE SYSTEMS INC</t>
  </si>
  <si>
    <t xml:space="preserve">AGREE REALTY CORP </t>
  </si>
  <si>
    <t>ANALOG DEVICES INC</t>
  </si>
  <si>
    <t>ARCHER DANIELS MIDLAND</t>
  </si>
  <si>
    <t>ADAMAS PHARMACEUTICALS</t>
  </si>
  <si>
    <t>ADIENT PLC</t>
  </si>
  <si>
    <t>AUTOMATIC DATA PROCESS</t>
  </si>
  <si>
    <t>ADURO BIOTECH INC</t>
  </si>
  <si>
    <t>ALLIANCE DATA SYSTEMS</t>
  </si>
  <si>
    <t>AUTODESK INC</t>
  </si>
  <si>
    <t>ADVANCED DISPOSAL SVCS</t>
  </si>
  <si>
    <t>ADTRAN INC</t>
  </si>
  <si>
    <t>ADDUS HOMECARE CORP</t>
  </si>
  <si>
    <t>ADVAXIS INC</t>
  </si>
  <si>
    <t>ADAMS RESOURCES &amp; ENERGY</t>
  </si>
  <si>
    <t>AMEREN CORP</t>
  </si>
  <si>
    <t>AEGION CORP</t>
  </si>
  <si>
    <t>ADVANCED ENERGY INDS INC</t>
  </si>
  <si>
    <t>AMERICAN EQUITY INVST</t>
  </si>
  <si>
    <t>AMERICAN EAGLE OUTFITTER</t>
  </si>
  <si>
    <t>AMERICAN ELECTRIC POWER</t>
  </si>
  <si>
    <t>AERIE PHARMACEUTICALS</t>
  </si>
  <si>
    <t>AES CORP</t>
  </si>
  <si>
    <t>AETNA INC</t>
  </si>
  <si>
    <t>ASTORIA FINANCIAL CORP</t>
  </si>
  <si>
    <t>ALMOST FAMILY INC</t>
  </si>
  <si>
    <t>AMERICAN FINANCIAL GROUP</t>
  </si>
  <si>
    <t>ATLAS FINANCIAL HOLDINGS</t>
  </si>
  <si>
    <t>ARMSTRONG FLOORING INC</t>
  </si>
  <si>
    <t>AFLAC INC</t>
  </si>
  <si>
    <t>AMTRUST FINL SVCS</t>
  </si>
  <si>
    <t>AGCO CORP</t>
  </si>
  <si>
    <t>AGENUS INC</t>
  </si>
  <si>
    <t>AGROFRESH SOLUTIONS INC</t>
  </si>
  <si>
    <t>ARGO GROUP INTL</t>
  </si>
  <si>
    <t>AGIOS PHARMACEUTICALS</t>
  </si>
  <si>
    <t>FEDERAL AGRIC MTG CO</t>
  </si>
  <si>
    <t>ALLERGAN PLC</t>
  </si>
  <si>
    <t>AGNC INVESTMENT</t>
  </si>
  <si>
    <t>ASSURED GUARANTY LTD</t>
  </si>
  <si>
    <t>AVANGRID INC</t>
  </si>
  <si>
    <t>ARGAN INC</t>
  </si>
  <si>
    <t>AGILYSYS INC</t>
  </si>
  <si>
    <t>ARMADA HOFFLER PPTYS INC</t>
  </si>
  <si>
    <t>ASPEN INSURANCE HOLDINGS</t>
  </si>
  <si>
    <t>ASHFORD HOSP PRIME</t>
  </si>
  <si>
    <t>ASHFORD HOSPITALITY</t>
  </si>
  <si>
    <t>ARLINGTON ASSET INVT</t>
  </si>
  <si>
    <t>AMERICAN INTL GROUP</t>
  </si>
  <si>
    <t>ALTRA INDUSTRIAL MOTION</t>
  </si>
  <si>
    <t>AIMMUNE THERAPEUTICS INC</t>
  </si>
  <si>
    <t>ALBANY INTERNATIONAL</t>
  </si>
  <si>
    <t>AAR CORP</t>
  </si>
  <si>
    <t>APPLIED INDUSTRIAL TECH</t>
  </si>
  <si>
    <t>APARTMENT INVT &amp; MGMT</t>
  </si>
  <si>
    <t>ASSURANT INC</t>
  </si>
  <si>
    <t>GALLAGHER ARTHUR J &amp; CO</t>
  </si>
  <si>
    <t>AEROJET ROCKETDYNE HLDGS</t>
  </si>
  <si>
    <t>GREAT AJAX CORP</t>
  </si>
  <si>
    <t>AKAMAI TECHNOLOGIES</t>
  </si>
  <si>
    <t>AKEBIA THERAPEUTICS INC</t>
  </si>
  <si>
    <t>ACADIA REALTY TRUST</t>
  </si>
  <si>
    <t>AKORN INC</t>
  </si>
  <si>
    <t>AK STEEL HOLDING CORP</t>
  </si>
  <si>
    <t>AKTS</t>
  </si>
  <si>
    <t>AIR LEASE CORP</t>
  </si>
  <si>
    <t>ALBEMARLE CORP</t>
  </si>
  <si>
    <t>ALICO INC</t>
  </si>
  <si>
    <t>ALDER BIOPHARMACEUTICALS</t>
  </si>
  <si>
    <t>ALLETE INC</t>
  </si>
  <si>
    <t>ALEXANDER &amp; BALDWIN INC</t>
  </si>
  <si>
    <t>ALAMO GROUP INC</t>
  </si>
  <si>
    <t>ALIGN TECHNOLOGY INC</t>
  </si>
  <si>
    <t>ALLEGIANT TRAVEL CO</t>
  </si>
  <si>
    <t>ALON USA ENERGY INC</t>
  </si>
  <si>
    <t>ALASKA AIR GROUP INC</t>
  </si>
  <si>
    <t>ALKERMES PLC</t>
  </si>
  <si>
    <t>ALLSTATE CORP</t>
  </si>
  <si>
    <t>ALLEGION PLC</t>
  </si>
  <si>
    <t>ALLY FINL INC</t>
  </si>
  <si>
    <t>ALNYLAM PHARMACEUTICALS</t>
  </si>
  <si>
    <t>ANALOGIC CORP</t>
  </si>
  <si>
    <t>ALERE INC</t>
  </si>
  <si>
    <t>ALARM.COM HOLDINGS INC</t>
  </si>
  <si>
    <t>ALLISON TRANSMISSION</t>
  </si>
  <si>
    <t>ALEXANDERS INC</t>
  </si>
  <si>
    <t>ALEXION PHARMACEUTICALS</t>
  </si>
  <si>
    <t>AMAG PHARMACEUTICALS INC</t>
  </si>
  <si>
    <t>APPLIED MATLS INC</t>
  </si>
  <si>
    <t>AMBARELLA INC</t>
  </si>
  <si>
    <t>AMBAC FINL GROUP INC</t>
  </si>
  <si>
    <t>AMBER RD INC</t>
  </si>
  <si>
    <t>AMC ENTERTAINMENT</t>
  </si>
  <si>
    <t>AMC NETWORKS INC</t>
  </si>
  <si>
    <t>ADVANCED MICRO DEVICES</t>
  </si>
  <si>
    <t>AMETEK INC</t>
  </si>
  <si>
    <t>AMEDISYS INC</t>
  </si>
  <si>
    <t>AFFILIATED MANAGERS GRP</t>
  </si>
  <si>
    <t>AMGEN INC</t>
  </si>
  <si>
    <t>AMERICAN HOMES 4 RENT</t>
  </si>
  <si>
    <t>AMKOR TECHNOLOGY INC</t>
  </si>
  <si>
    <t>AMN HEALTHCARE SERVICES</t>
  </si>
  <si>
    <t>AMERICAN NATL BANKSHARES</t>
  </si>
  <si>
    <t>ALLIED MOTION TECH</t>
  </si>
  <si>
    <t>AMERIPRISE FINANCIAL INC</t>
  </si>
  <si>
    <t>AMPHASTAR PHARMA INC</t>
  </si>
  <si>
    <t>AMERESCO INC</t>
  </si>
  <si>
    <t>ALBANY MOLECULAR RESRCH</t>
  </si>
  <si>
    <t>AMERISAFE INC</t>
  </si>
  <si>
    <t>AMERICAN SOFTWARE INC</t>
  </si>
  <si>
    <t>AMERICAN TOWER CORP</t>
  </si>
  <si>
    <t>TD AMERITRADE HOLDING</t>
  </si>
  <si>
    <t>AMERICAN WOODMARK CORP</t>
  </si>
  <si>
    <t>AMAZON COM INC</t>
  </si>
  <si>
    <t>AUTONATION INC</t>
  </si>
  <si>
    <t>ANAPTYS BIO INC</t>
  </si>
  <si>
    <t>AMERICAN NATIONAL INS CO</t>
  </si>
  <si>
    <t>ACCESS NATL CORP</t>
  </si>
  <si>
    <t>ANDERSONS INC</t>
  </si>
  <si>
    <t>ARISTA NETWORKS INC</t>
  </si>
  <si>
    <t>ABERCROMBIE &amp; FITCH</t>
  </si>
  <si>
    <t>ANGIES LIST INC</t>
  </si>
  <si>
    <t>ANGIODYNAMICS INC</t>
  </si>
  <si>
    <t>ANWORTH MORTGAGE ASSET</t>
  </si>
  <si>
    <t>ANIKA THERAPEUTICS INC</t>
  </si>
  <si>
    <t>ANI PHARMACEUTICALS INC</t>
  </si>
  <si>
    <t>ANSYS INC</t>
  </si>
  <si>
    <t>ANTHEM INC</t>
  </si>
  <si>
    <t>AMERICAN OUTDOOR BRANDS</t>
  </si>
  <si>
    <t>AON PLC</t>
  </si>
  <si>
    <t>SMITH A O CORP</t>
  </si>
  <si>
    <t>ALPHA &amp; OMEGA SEMICON</t>
  </si>
  <si>
    <t>AMPCO-PITTSBURGH CORP</t>
  </si>
  <si>
    <t>APACHE CORP</t>
  </si>
  <si>
    <t>ARTISAN PARTNERS ASSET</t>
  </si>
  <si>
    <t>ANADARKO PETROLEUM CORP</t>
  </si>
  <si>
    <t>AIR PRODS &amp; CHEMS INC</t>
  </si>
  <si>
    <t>AMER PUBLIC EDUCATION</t>
  </si>
  <si>
    <t>AMPHENOL CORP</t>
  </si>
  <si>
    <t>APPLE HOSPITALITY REIT</t>
  </si>
  <si>
    <t>APOGEE ENTERPRISES INC</t>
  </si>
  <si>
    <t>APPFOLIO INC</t>
  </si>
  <si>
    <t>APPTIO INC</t>
  </si>
  <si>
    <t>PREFERRED APT CMNTYS INC</t>
  </si>
  <si>
    <t>AQUA METALS INC</t>
  </si>
  <si>
    <t>ANTERO RESOURCES CO</t>
  </si>
  <si>
    <t>AMERICAN RENAL ASSOC HLD</t>
  </si>
  <si>
    <t>ACCURAY INC</t>
  </si>
  <si>
    <t>ARC DOCUMENT SOLUTIONS</t>
  </si>
  <si>
    <t>ARCBEST CORPORATION</t>
  </si>
  <si>
    <t>ARCH</t>
  </si>
  <si>
    <t>ARDELYX INC</t>
  </si>
  <si>
    <t>ALEXANDRIA REAL ESTATE</t>
  </si>
  <si>
    <t>APOLLO COMMERCIAL RE</t>
  </si>
  <si>
    <t>AMERICAN RAILCAR IND</t>
  </si>
  <si>
    <t>ARAMARK</t>
  </si>
  <si>
    <t>ARENA PHARMACEUTICALS</t>
  </si>
  <si>
    <t>ARCONIC INC</t>
  </si>
  <si>
    <t>ARCHROCK INC</t>
  </si>
  <si>
    <t>ARROW FINANCIAL CORP</t>
  </si>
  <si>
    <t>ARMOUR RESIDENTIAL REIT</t>
  </si>
  <si>
    <t>ARRIS INTERNATIONAL PLC</t>
  </si>
  <si>
    <t>ARRAY BIOPHARMA INC</t>
  </si>
  <si>
    <t>ARTESIAN RESOURCES CORP</t>
  </si>
  <si>
    <t>ARROW ELECTRONICS INC</t>
  </si>
  <si>
    <t>ASSOCIATED BANC CORP</t>
  </si>
  <si>
    <t>ARDMORE SHIPPING CORP</t>
  </si>
  <si>
    <t>ASCENT CAPITAL GROUP INC</t>
  </si>
  <si>
    <t>ON ASSIGNMENT INC</t>
  </si>
  <si>
    <t>ASHLAND GLOBAL HOLDINGS</t>
  </si>
  <si>
    <t>ADVANSIX</t>
  </si>
  <si>
    <t>ASCENA RETAIL GROUP INC</t>
  </si>
  <si>
    <t>ALTISOURCE PORTFOLIO</t>
  </si>
  <si>
    <t>ASTERIAS BIOTHERAPEUTICS</t>
  </si>
  <si>
    <t>ASTEC INDUSTRIES INC</t>
  </si>
  <si>
    <t>A10 NETWORKS INC</t>
  </si>
  <si>
    <t>ADTALEM GLOBAL EDUCATION</t>
  </si>
  <si>
    <t>ATHENE HOLDING LTD</t>
  </si>
  <si>
    <t>ATHENAHEALTH INC</t>
  </si>
  <si>
    <t>ATHERSYS INC</t>
  </si>
  <si>
    <t>ALLEGHENY TECHNOLOGIES</t>
  </si>
  <si>
    <t>ATKORE INTL GROUP INC</t>
  </si>
  <si>
    <t>AMES NATL CORP</t>
  </si>
  <si>
    <t>ATN INTERNATIONAL INC</t>
  </si>
  <si>
    <t>ATMOS ENERGY CORP</t>
  </si>
  <si>
    <t>APTARGROUP INC</t>
  </si>
  <si>
    <t>ATARA BIOTHERAPEUTICS</t>
  </si>
  <si>
    <t>ATRICURE INC</t>
  </si>
  <si>
    <t>ATRION CORP</t>
  </si>
  <si>
    <t>ASTRONICS CORP</t>
  </si>
  <si>
    <t>AIR TRANSPORT SERVICES</t>
  </si>
  <si>
    <t>ACTUANT CORP</t>
  </si>
  <si>
    <t>ACTIVISION BLIZZARD INC</t>
  </si>
  <si>
    <t>ATWOOD OCEANICS INC</t>
  </si>
  <si>
    <t>AVISTA CORP</t>
  </si>
  <si>
    <t>AEROVIRONMENT INC</t>
  </si>
  <si>
    <t>AVALONBAY CMNTYS INC</t>
  </si>
  <si>
    <t>AMERICAN VANGUARD CORP</t>
  </si>
  <si>
    <t>BROADCOM LIMITED</t>
  </si>
  <si>
    <t>A V HOMES INC</t>
  </si>
  <si>
    <t>AVID TECHNOLOGY INC</t>
  </si>
  <si>
    <t>AVNET INC</t>
  </si>
  <si>
    <t>AVX CORP</t>
  </si>
  <si>
    <t>ANAVEX LIFE SCIENCES</t>
  </si>
  <si>
    <t>AVEXIS INC</t>
  </si>
  <si>
    <t>AVERY DENNISON CORP</t>
  </si>
  <si>
    <t>ALLIED WRLD ASSUR COM</t>
  </si>
  <si>
    <t>ARMSTRONG WORLD INDS INC</t>
  </si>
  <si>
    <t>AMERICAN WTR WKS CO INC</t>
  </si>
  <si>
    <t>AMERICAN STATES WATER CO</t>
  </si>
  <si>
    <t>ABRAXAS PETE CORP</t>
  </si>
  <si>
    <t>ACCELERATE DIAGNOSTICS</t>
  </si>
  <si>
    <t>ANIXTER INTERNATIONAL</t>
  </si>
  <si>
    <t>AXOGEN INC</t>
  </si>
  <si>
    <t>AMERICAN AXLE &amp; MFG</t>
  </si>
  <si>
    <t>AXOVANT SCIENCES LTD</t>
  </si>
  <si>
    <t>AMERICAN EXPRESS CO</t>
  </si>
  <si>
    <t>AXIS CAPITAL HOLDINGS</t>
  </si>
  <si>
    <t>AXALTA COATING SYSTEMS</t>
  </si>
  <si>
    <t>AXTI</t>
  </si>
  <si>
    <t>ACUITY BRANDS INC</t>
  </si>
  <si>
    <t>AIRCASTLE LTD</t>
  </si>
  <si>
    <t>AYX</t>
  </si>
  <si>
    <t>AUTOZONE INC</t>
  </si>
  <si>
    <t>ASPEN TECHNOLOGY INC</t>
  </si>
  <si>
    <t>AZZ INC</t>
  </si>
  <si>
    <t>BARNES GROUP INC</t>
  </si>
  <si>
    <t>BOEING CO</t>
  </si>
  <si>
    <t>NATUS MEDICAL INC</t>
  </si>
  <si>
    <t>BANK OF AMERICA CORP</t>
  </si>
  <si>
    <t>BOOZ ALLEN HAMILTON HLDG</t>
  </si>
  <si>
    <t>BANC OF CALIFORNIA INC</t>
  </si>
  <si>
    <t>BANCFIRST CORP</t>
  </si>
  <si>
    <t>BANNER CORP</t>
  </si>
  <si>
    <t>LIBERTY BRAVES SERIES A</t>
  </si>
  <si>
    <t>LIBERTY BRAVES SERIES C</t>
  </si>
  <si>
    <t>BAXTER INTERNATIONAL INC</t>
  </si>
  <si>
    <t>BED BATH &amp; BEYOND INC</t>
  </si>
  <si>
    <t>BILL BARRETT CORP</t>
  </si>
  <si>
    <t>BARRETT BUSINESS SERVICE</t>
  </si>
  <si>
    <t>BB&amp;T CORP</t>
  </si>
  <si>
    <t>BUILD A BEAR WORKSHOP</t>
  </si>
  <si>
    <t>BEST BUY INC</t>
  </si>
  <si>
    <t>BRUNSWICK CORP</t>
  </si>
  <si>
    <t>BOISE CASCADE COMPANY</t>
  </si>
  <si>
    <t>BRINKS CO</t>
  </si>
  <si>
    <t>BLUCORA INC</t>
  </si>
  <si>
    <t>BRIGHTCOVE INC</t>
  </si>
  <si>
    <t>BALCHEM CORP</t>
  </si>
  <si>
    <t>CR BARD INC</t>
  </si>
  <si>
    <t>BLUE CAPITAL REINSURANCE</t>
  </si>
  <si>
    <t>BIOCRYST PHARMACEUTICALS</t>
  </si>
  <si>
    <t>BELDEN INC</t>
  </si>
  <si>
    <t>BRIDGE BANCORP INC</t>
  </si>
  <si>
    <t>BRANDYWINE REALTY TRUST</t>
  </si>
  <si>
    <t>BECTON DICKINSON &amp; CO</t>
  </si>
  <si>
    <t>BIOTELEMETRY INC</t>
  </si>
  <si>
    <t>BEACON ROOFING SUPPLY</t>
  </si>
  <si>
    <t>BELMOND LTD</t>
  </si>
  <si>
    <t>BEL FUSE INC</t>
  </si>
  <si>
    <t>FRANKLIN RESOURCES INC</t>
  </si>
  <si>
    <t>BERRY GLOBAL GROUP</t>
  </si>
  <si>
    <t>AMPLIFY SNACK BRANDS INC</t>
  </si>
  <si>
    <t>BROWN FORMAN CORP CL A</t>
  </si>
  <si>
    <t>BROWN FORMAN CORP CL B</t>
  </si>
  <si>
    <t>BRIGHT HORIZON FAMILY</t>
  </si>
  <si>
    <t>BANKFINANCIAL CORP</t>
  </si>
  <si>
    <t>SAUL CENTERS INC</t>
  </si>
  <si>
    <t>BUNGE LIMITED</t>
  </si>
  <si>
    <t>GENERAL CABLE CORP</t>
  </si>
  <si>
    <t>BGC PARTNERS INC</t>
  </si>
  <si>
    <t>BIG 5 SPORTING GOODS</t>
  </si>
  <si>
    <t>BRIGGS &amp; STRATTON CO</t>
  </si>
  <si>
    <t>B &amp; G FOODS INC</t>
  </si>
  <si>
    <t>BIGLARI HOLDINGS INC</t>
  </si>
  <si>
    <t>BAR HBR BANKSHARES</t>
  </si>
  <si>
    <t>BLUE HILLS BANCORP INC</t>
  </si>
  <si>
    <t>BENCHMARK ELECTRONICS</t>
  </si>
  <si>
    <t>BAKER HUGHES INC</t>
  </si>
  <si>
    <t>BERKSHIRE HILLS BANCORP</t>
  </si>
  <si>
    <t>BHVN</t>
  </si>
  <si>
    <t>SOTHEBYS</t>
  </si>
  <si>
    <t>BIG LOTS INC</t>
  </si>
  <si>
    <t>BIOGEN INC</t>
  </si>
  <si>
    <t>BIO-RAD LABORATORIES INC</t>
  </si>
  <si>
    <t>BIOSCRIP INC</t>
  </si>
  <si>
    <t>BIOVERATIV</t>
  </si>
  <si>
    <t>BJS RESTAURANTS INC BJRI</t>
  </si>
  <si>
    <t>BANK OF NEW YORK MELLON BK</t>
  </si>
  <si>
    <t>BROOKDALE SENIOR LIVING BKD</t>
  </si>
  <si>
    <t>BUCKLE INC BKE</t>
  </si>
  <si>
    <t>BLACK KNIGHT FINL SVCS BKFS</t>
  </si>
  <si>
    <t>BLACK HILLS CORP BKH</t>
  </si>
  <si>
    <t>BANK MUTUAL CORP BKMU</t>
  </si>
  <si>
    <t>BARNES &amp; NOBLE INC BKS</t>
  </si>
  <si>
    <t>BANKUNITED INC BKU</t>
  </si>
  <si>
    <t>BLACKLINE INC BL</t>
  </si>
  <si>
    <t>BLUE BIRD CORP BLBD</t>
  </si>
  <si>
    <t>BELLICUM PHARMACEUTICALS BLCM</t>
  </si>
  <si>
    <t>TOPBUILD CORP BLD</t>
  </si>
  <si>
    <t>BUILDERS FIRSTSOURCE INC BLDR</t>
  </si>
  <si>
    <t>BLACKROCK INC BLK</t>
  </si>
  <si>
    <t>BLACKBAUD INC BLKB</t>
  </si>
  <si>
    <t>BALL CORP BLL</t>
  </si>
  <si>
    <t>BLOOMIN' BRANDS INC BLMN</t>
  </si>
  <si>
    <t>BSB BANCORP INC MD BLMT</t>
  </si>
  <si>
    <t>BLUEBIRD BIO INC BLUE</t>
  </si>
  <si>
    <t>BANCO LATINOAMERICANO BLX</t>
  </si>
  <si>
    <t>BMC STOCK HOLDINGS INC BMCH</t>
  </si>
  <si>
    <t>BADGER METER INC BMI</t>
  </si>
  <si>
    <t>BANK OF MARIN BANCORP BMRC</t>
  </si>
  <si>
    <t>BIOMARIN PHARMACEUTICAL BMRN</t>
  </si>
  <si>
    <t>BEMIS INC BMS</t>
  </si>
  <si>
    <t>BRYN MAWR BANK CORP BMTC</t>
  </si>
  <si>
    <t>BRISTOL MYERS SQUIBB BMY</t>
  </si>
  <si>
    <t>BENEFICIAL BANCORP INC BNCL</t>
  </si>
  <si>
    <t>BARNES &amp; NOBLE EDUCATION BNED</t>
  </si>
  <si>
    <t>BENEFITFOCUS INC BNFT</t>
  </si>
  <si>
    <t>BOB EVANS FARMS INC BOBE</t>
  </si>
  <si>
    <t>BOFI HLDG INC BOFI</t>
  </si>
  <si>
    <t>BANK OF HAWAII CORP BOH</t>
  </si>
  <si>
    <t>BOJANGLES INC BOJA</t>
  </si>
  <si>
    <t>BOK FINANCIAL CORP BOKF</t>
  </si>
  <si>
    <t>AUDENTES THERAPEUTICS BOLD</t>
  </si>
  <si>
    <t>DMC GLOBAL INC BOOM</t>
  </si>
  <si>
    <t>BOOT BARN HOLDINGS BOOT</t>
  </si>
  <si>
    <t>BOX INC BOX</t>
  </si>
  <si>
    <t>BOSTON PRIVATE FINANCIAL BPFH</t>
  </si>
  <si>
    <t>BRIDGEPOINT ED INC BPI</t>
  </si>
  <si>
    <t>BLUEPRINT MEDICINES CORP BPMC</t>
  </si>
  <si>
    <t>POPULAR INC BPOP</t>
  </si>
  <si>
    <t>BROADRIDGE FINANCIAL INC BR</t>
  </si>
  <si>
    <t>BRADY CORP BRC</t>
  </si>
  <si>
    <t>BROCADE COMMUNICATIONS BRCD</t>
  </si>
  <si>
    <t>CRAFT BREW ALLIANCE BREW</t>
  </si>
  <si>
    <t>BLUEROCK RESIDENT REIT BRG</t>
  </si>
  <si>
    <t>BERKSHIRE HATHAWAY INC BRK.B</t>
  </si>
  <si>
    <t>BROOKLINE BANCORP INC BRKL</t>
  </si>
  <si>
    <t>BRUKER CORP BRKR</t>
  </si>
  <si>
    <t>BROOKS AUTOMATION INC BRKS</t>
  </si>
  <si>
    <t>BROWN &amp; BROWN INC BRO</t>
  </si>
  <si>
    <t>BRISTOW GROUP INC BRS</t>
  </si>
  <si>
    <t>GLOBAL BRASS &amp; COPPR HLD BRSS</t>
  </si>
  <si>
    <t>BRIXMOR PROPERTY GROUP BRX</t>
  </si>
  <si>
    <t>BASSETT FURNITURE INDS BSET</t>
  </si>
  <si>
    <t>BEAR STATE FINL INC BSF</t>
  </si>
  <si>
    <t>BROADSOFT INC BSFT</t>
  </si>
  <si>
    <t>SIERRA BANCORP BSRR</t>
  </si>
  <si>
    <t>BIOSPECIFICS TECHNO CORP BSTC</t>
  </si>
  <si>
    <t>BOSTON SCIENTIFIC CO BSX</t>
  </si>
  <si>
    <t>BTU</t>
  </si>
  <si>
    <t>BIOTIME INC BTX</t>
  </si>
  <si>
    <t>BLUE BUFFALO PET PROD BUFF</t>
  </si>
  <si>
    <t>BURLINGTON STORES INC BURL</t>
  </si>
  <si>
    <t>FIRST BUSEY CORP BUSE</t>
  </si>
  <si>
    <t>BAZAARVOICE INC BV</t>
  </si>
  <si>
    <t>BABCOCK &amp; WILCOX ENT BW</t>
  </si>
  <si>
    <t>BORG WARNER INC BWA</t>
  </si>
  <si>
    <t>BANKWELL FINL GROUP INC BWFG</t>
  </si>
  <si>
    <t>BALDWIN &amp; LYONS INC BWINB</t>
  </si>
  <si>
    <t>BUFFALO WILD WINGS INC BWLD</t>
  </si>
  <si>
    <t>BWX TECHNOLOGIES INC BWXT</t>
  </si>
  <si>
    <t>BOSTON PROPERTIES INC BXP</t>
  </si>
  <si>
    <t>BANCORPSOUTH INC BXS</t>
  </si>
  <si>
    <t>BOYD GAMING CORP BYD</t>
  </si>
  <si>
    <t>BEAZER HOMES USA INC BZH</t>
  </si>
  <si>
    <t>CITIGROUP INC C</t>
  </si>
  <si>
    <t>CA INC CA</t>
  </si>
  <si>
    <t>CALATLANTIC GROUP INC CAA</t>
  </si>
  <si>
    <t>CABELAS INC CAB</t>
  </si>
  <si>
    <t>CABLE ONE INC CABO</t>
  </si>
  <si>
    <t>CAMDEN NATIONAL CORP CAC</t>
  </si>
  <si>
    <t>CREDIT ACCEP CORP MICH CACC</t>
  </si>
  <si>
    <t>CACI INTERNATIONAL INC CACI</t>
  </si>
  <si>
    <t>CAESARS ACQUISITION CO CACQ</t>
  </si>
  <si>
    <t>CADE</t>
  </si>
  <si>
    <t>CONAGRA BRANDS INC CAG</t>
  </si>
  <si>
    <t>CARDINAL HEALTH INC CAH</t>
  </si>
  <si>
    <t>CAI INTERNATIONAL INC CAI</t>
  </si>
  <si>
    <t>CHEESECAKE FACTORY INC CAKE</t>
  </si>
  <si>
    <t>CALERES INC CAL</t>
  </si>
  <si>
    <t>CALLIDUS SOFTWARE INC CALD</t>
  </si>
  <si>
    <t>CAL MAINE FOODS INC CALM</t>
  </si>
  <si>
    <t>CALIX INC CALX</t>
  </si>
  <si>
    <t>CALAMP CORP CAMP</t>
  </si>
  <si>
    <t>AVIS BUDGET GROUP INC CAR</t>
  </si>
  <si>
    <t>CARA THERAPEUTICS INC CARA</t>
  </si>
  <si>
    <t>CARBONITE INC CARB</t>
  </si>
  <si>
    <t>CAROLINA FINL CORP CARO</t>
  </si>
  <si>
    <t>CARS</t>
  </si>
  <si>
    <t>META FINANCIAL GROUP INC CASH</t>
  </si>
  <si>
    <t>CASS INFORMATION SYSTEMS CASS</t>
  </si>
  <si>
    <t>CASEYS GENERAL STORES CASY</t>
  </si>
  <si>
    <t>CATERPILLAR INC CAT</t>
  </si>
  <si>
    <t>CARDTRONICS PLC CATM</t>
  </si>
  <si>
    <t>CATO CORP CATO</t>
  </si>
  <si>
    <t>CATHAY GENERAL BANCORP CATY</t>
  </si>
  <si>
    <t>CAVIUM INC CAVM</t>
  </si>
  <si>
    <t>CHUBB LIMITED CB</t>
  </si>
  <si>
    <t>CINCINNATI BELL INC CBB</t>
  </si>
  <si>
    <t>CAPITAL BANK FINANCIAL CBF</t>
  </si>
  <si>
    <t>CBRE GROUP INC CBG</t>
  </si>
  <si>
    <t>CHICAGO BRIDGE &amp; IRON CBI</t>
  </si>
  <si>
    <t>CBL &amp; ASSOC PPTYS INC CBL</t>
  </si>
  <si>
    <t>CAMBREX CORP CBM</t>
  </si>
  <si>
    <t>CBOE HLDGS INC CBOE</t>
  </si>
  <si>
    <t>CONTINENTAL BLDG PRODS CBPX</t>
  </si>
  <si>
    <t>CRACKER BARREL STORE CBRL</t>
  </si>
  <si>
    <t>CBS CORPORATION CBS</t>
  </si>
  <si>
    <t>COMMERCE BANCSHARES INC CBSH</t>
  </si>
  <si>
    <t>CABOT CORP CBT</t>
  </si>
  <si>
    <t>COMMUNITY BANK SYSTEMS CBU</t>
  </si>
  <si>
    <t>CBIZ INC CBZ</t>
  </si>
  <si>
    <t>THE CHEMOURS COMPANY CC</t>
  </si>
  <si>
    <t>CAPITAL CITY BANK GROUP CCBG</t>
  </si>
  <si>
    <t>CALGON CARBON CORP CCC</t>
  </si>
  <si>
    <t>CHASE CORP CCF</t>
  </si>
  <si>
    <t>CROWN CASTLE INTL CORP CCI</t>
  </si>
  <si>
    <t>CROWN HOLDINGS INC CCK</t>
  </si>
  <si>
    <t>CARNIVAL CORP CCL</t>
  </si>
  <si>
    <t>CABOT MICROELECTRONICS CCMP</t>
  </si>
  <si>
    <t>CNB FINL CORP PA CCNE</t>
  </si>
  <si>
    <t>CLEAR CHANNEL OUTDOOR CCO</t>
  </si>
  <si>
    <t>COGENT COMM HOLDINGS CCOI</t>
  </si>
  <si>
    <t>CARE CAPITAL PROPERTIES CCP</t>
  </si>
  <si>
    <t>CROSS COUNTRY HEALTHCARE CCRN</t>
  </si>
  <si>
    <t>CENTURY COMMUNITIES INC CCS</t>
  </si>
  <si>
    <t>CHEMOCENTRYX INC CCXI</t>
  </si>
  <si>
    <t>COEUR MINING INC CDE</t>
  </si>
  <si>
    <t>CDK GLOBAL INC CDK</t>
  </si>
  <si>
    <t>CADENCE DESIGN SYSTEMS CDNS</t>
  </si>
  <si>
    <t>CEDAR REALTY TRUST INC CDR</t>
  </si>
  <si>
    <t>CDW CORPORATION CDW</t>
  </si>
  <si>
    <t>CODEXIS INC CDXS</t>
  </si>
  <si>
    <t>CELANESE CORP CE</t>
  </si>
  <si>
    <t>CECO ENVIRONMENTAL CORP CECE</t>
  </si>
  <si>
    <t>CAREER EDUCATION CORP CECO</t>
  </si>
  <si>
    <t>CELGENE CORP CELG</t>
  </si>
  <si>
    <t>CEMPRA INC CEMP</t>
  </si>
  <si>
    <t>CENTRAL GARDEN &amp; PET CO CENT</t>
  </si>
  <si>
    <t>CENTRAL GARDEN &amp; PET CO CENTA</t>
  </si>
  <si>
    <t>CENTURY ALUMINUM CO CENX</t>
  </si>
  <si>
    <t>CERNER CORP CERN</t>
  </si>
  <si>
    <t>CERUS CORP CERS</t>
  </si>
  <si>
    <t>CENTRAL EUROPEAN MEDIA CETV</t>
  </si>
  <si>
    <t>CEVA INC CEVA</t>
  </si>
  <si>
    <t>CF INDUSTRIES HOLDINGS CF</t>
  </si>
  <si>
    <t>C &amp; F FINANCIAL CORP CFFI</t>
  </si>
  <si>
    <t>CAPITOL FEDERAL FINL INC CFFN</t>
  </si>
  <si>
    <t>CITIZENS FINANCIAL INC CFG</t>
  </si>
  <si>
    <t>CONFORMIS INC CFMS</t>
  </si>
  <si>
    <t>CALIFORNIA FIRST NATL CFNB</t>
  </si>
  <si>
    <t>CULLEN FROST BANKERS CFR</t>
  </si>
  <si>
    <t>COLFAX CORP CFX</t>
  </si>
  <si>
    <t>COGNEX CORP CGNX</t>
  </si>
  <si>
    <t>CITY HOLDING CO CHCO</t>
  </si>
  <si>
    <t>COMMUNITY HEALTHCARE TR CHCT</t>
  </si>
  <si>
    <t>CHURCH &amp; DWIGHT INC CHD</t>
  </si>
  <si>
    <t>CHURCHILL DOWNS INC CHDN</t>
  </si>
  <si>
    <t>CHEMED CORPORATION CHE</t>
  </si>
  <si>
    <t>CHEFS' WHAREHOUSE INC CHEF</t>
  </si>
  <si>
    <t>CHEMICAL FINANCIAL CORP CHFC</t>
  </si>
  <si>
    <t>CHARTER FINL CORP WEST CHFN</t>
  </si>
  <si>
    <t>CHEGG INC CHGG</t>
  </si>
  <si>
    <t>CHOICE HOTELS INTL INC CHH</t>
  </si>
  <si>
    <t>CHESAPEAKE ENERGY CORP CHK</t>
  </si>
  <si>
    <t>CHEMUNG FINL CORP CHMG</t>
  </si>
  <si>
    <t>COHERUS BIOSCIENCES CHRS</t>
  </si>
  <si>
    <t>C H ROBINSON WORLDWIDE CHRW</t>
  </si>
  <si>
    <t>CHICOS FAS INC CHS</t>
  </si>
  <si>
    <t>CHESAPEAKE LODGING TRUST CHSP</t>
  </si>
  <si>
    <t>CHARTER COMM INC CHTR</t>
  </si>
  <si>
    <t>COMMERCEHUB INC SERIES A CHUBA</t>
  </si>
  <si>
    <t>COMMERCEHUB INC SERIES C CHUBK</t>
  </si>
  <si>
    <t>CHUY'S HOLDINGS INC CHUY</t>
  </si>
  <si>
    <t>CIGNA CORP CI</t>
  </si>
  <si>
    <t>CITIZENS INC CIA</t>
  </si>
  <si>
    <t>CIENA CORP CIEN</t>
  </si>
  <si>
    <t>CHIMERA INVESTMENT CORP CIM</t>
  </si>
  <si>
    <t>CINCINNATI FINANCIAL CINF</t>
  </si>
  <si>
    <t>CITY OFFICE REIT INC CIO</t>
  </si>
  <si>
    <t>CIRCOR INTERNATIONAL INC CIR</t>
  </si>
  <si>
    <t>CIT GROUP INC CIT</t>
  </si>
  <si>
    <t>CIVB</t>
  </si>
  <si>
    <t>CIVITAS SOLUTIONS CIVI</t>
  </si>
  <si>
    <t>COMPX INTERNATIONAL INC CIX</t>
  </si>
  <si>
    <t>SEACOR HOLDINGS INC CKH</t>
  </si>
  <si>
    <t>COLGATE PALMOLIVE CO CL</t>
  </si>
  <si>
    <t>COLLECTORS UNIVERSE INC CLCT</t>
  </si>
  <si>
    <t>CHATHAM LODGING TR CLDT</t>
  </si>
  <si>
    <t>CELLDEX THERAPEUTICS INC CLDX</t>
  </si>
  <si>
    <t>CLIFFS NATURAL RESOURCES CLF</t>
  </si>
  <si>
    <t>CLEARFIELD INC CLFD</t>
  </si>
  <si>
    <t>CORELOGIC INC CLGX</t>
  </si>
  <si>
    <t>CLEAN HARBORS INC CLH</t>
  </si>
  <si>
    <t>MACK CALI REALTY CORP CLI</t>
  </si>
  <si>
    <t>CLEAN ENERGY FUELS CORP CLNE</t>
  </si>
  <si>
    <t>COLONY NORTHSTAR INC CLNS</t>
  </si>
  <si>
    <t>CLIPPER REALTY INC CLPR</t>
  </si>
  <si>
    <t>CONTINENTAL RESOURCES CLR</t>
  </si>
  <si>
    <t>CLEARSIDE BIOMEDICAL INC CLSD</t>
  </si>
  <si>
    <t>CLOVIS ONCOLOGY INC CLVS</t>
  </si>
  <si>
    <t>CLEARWATER PAPER CORP CLW</t>
  </si>
  <si>
    <t>CLOROX CO CLX</t>
  </si>
  <si>
    <t>COMERICA INC CMA</t>
  </si>
  <si>
    <t>COMMERCIAL METALS CO CMC</t>
  </si>
  <si>
    <t>COLUMBUS MCKINNON CORP CMCO</t>
  </si>
  <si>
    <t>COMCAST CORP CL A CMCSA</t>
  </si>
  <si>
    <t>CANTEL MEDICAL CORP CMD</t>
  </si>
  <si>
    <t>CME GROUP INC CME</t>
  </si>
  <si>
    <t>CHIPOTLE MEXICAN GRILL CMG</t>
  </si>
  <si>
    <t>CUMMINS INC CMI</t>
  </si>
  <si>
    <t>CAPSTEAD MORTGAGE CORP CMO</t>
  </si>
  <si>
    <t>COMPASS MINERALS INTL CMP</t>
  </si>
  <si>
    <t>CIMPRESS NV CMPR</t>
  </si>
  <si>
    <t>COSTAMARE INC CMRE</t>
  </si>
  <si>
    <t>CHIMERIX INC CMRX</t>
  </si>
  <si>
    <t>CMS ENERGY CORP CMS</t>
  </si>
  <si>
    <t>COMTECH TELECOMM CMTL</t>
  </si>
  <si>
    <t>CNA FINANCIAL CORP CNA</t>
  </si>
  <si>
    <t>CENTURY BANCORP INC CNBKA</t>
  </si>
  <si>
    <t>CENTENE CORP CNC</t>
  </si>
  <si>
    <t>CONCERT PHARMACEUTICALS CNCE</t>
  </si>
  <si>
    <t>CONDUENT INC CNDT</t>
  </si>
  <si>
    <t>CINEMARK HOLDINGS INC CNK</t>
  </si>
  <si>
    <t>CONMED CORP CNMD</t>
  </si>
  <si>
    <t>CNO FINANCIAL GROUP CNO</t>
  </si>
  <si>
    <t>CONNECTONE BANCORP INC CNOB</t>
  </si>
  <si>
    <t>CENTERPOINT ENERGY INC CNP</t>
  </si>
  <si>
    <t>COHEN &amp; STEERS INC CNS</t>
  </si>
  <si>
    <t>CONSOLIDATED COMM CNSL</t>
  </si>
  <si>
    <t>CENTURY CASINOS INC CNTY</t>
  </si>
  <si>
    <t>CONSOL ENERGY INC CNX</t>
  </si>
  <si>
    <t>P C CONNECTION CNXN</t>
  </si>
  <si>
    <t>COBIZ FINANCIAL INC COBZ</t>
  </si>
  <si>
    <t>CAPITAL ONE FINANCIAL COF</t>
  </si>
  <si>
    <t>CABOT OIL &amp; GAS CORP COG</t>
  </si>
  <si>
    <t>COGINT INC COGT</t>
  </si>
  <si>
    <t>COACH INC COH</t>
  </si>
  <si>
    <t>COHERENT INC COHR</t>
  </si>
  <si>
    <t>COHU INC COHU</t>
  </si>
  <si>
    <t>COCA COLA BOTTLING COKE</t>
  </si>
  <si>
    <t>ROCKWELL COLLINS INC COL</t>
  </si>
  <si>
    <t>COLUMBIA BKG SYSTEM INC COLB</t>
  </si>
  <si>
    <t>COLLEGIUM PHARMACEUTICAL COLL</t>
  </si>
  <si>
    <t>COLUMBIA SPORTSWEAR CO COLM</t>
  </si>
  <si>
    <t>COMMSCOPE HOLDING CO COMM</t>
  </si>
  <si>
    <t>CYRUSONE INC CONE</t>
  </si>
  <si>
    <t>CONNS INC CONN</t>
  </si>
  <si>
    <t>COOPER COMPANIES INC COO</t>
  </si>
  <si>
    <t>CONOCOPHILLIPS COP</t>
  </si>
  <si>
    <t>CORESITE REALTY CORP COR</t>
  </si>
  <si>
    <t>CORE MARK HOLDING CO INC CORE</t>
  </si>
  <si>
    <t>CORENERGY INFRASTRUCT CORR</t>
  </si>
  <si>
    <t>CORCEPT THERAPEUTICS INC CORT</t>
  </si>
  <si>
    <t>COSTCO WHOLESALE CORP COST</t>
  </si>
  <si>
    <t>COTIVITI HOLDINGS INC COTV</t>
  </si>
  <si>
    <t>COTY INC COTY</t>
  </si>
  <si>
    <t>COUPA SOFTWARE INC COUP</t>
  </si>
  <si>
    <t>COWEN INC COWN</t>
  </si>
  <si>
    <t>COPA HOLDINGS SA CPA</t>
  </si>
  <si>
    <t>CAMPBELL SOUP CO CPB</t>
  </si>
  <si>
    <t>CALLON PETROLEUM CO CPE</t>
  </si>
  <si>
    <t>CENTRAL PACIFIC FINL CPF</t>
  </si>
  <si>
    <t>CHESAPEAKE UTILITIES CPK</t>
  </si>
  <si>
    <t>CAPELLA EDUCATION CO CPLA</t>
  </si>
  <si>
    <t>CALPINE CORP CPN</t>
  </si>
  <si>
    <t>COPART INC CPRT</t>
  </si>
  <si>
    <t>CPRX</t>
  </si>
  <si>
    <t>COOPER STD HLDGS INC CPS</t>
  </si>
  <si>
    <t>COMPUTER PROGRAMS &amp; SYS CPSI</t>
  </si>
  <si>
    <t>CAMDEN PROPERTY TRUST CPT</t>
  </si>
  <si>
    <t>CRANE CO CR</t>
  </si>
  <si>
    <t>CRA INTERNATIONAL INC CRAI</t>
  </si>
  <si>
    <t>CRAY INC CRAY</t>
  </si>
  <si>
    <t>CALIFORNIA RESOURCES CRC</t>
  </si>
  <si>
    <t>CARE.COM INC CRCM</t>
  </si>
  <si>
    <t>CREE INC CREE</t>
  </si>
  <si>
    <t>CARTER INC CRI</t>
  </si>
  <si>
    <t>CURIS INC CRIS</t>
  </si>
  <si>
    <t>CHARLES RIVER LABS INTL CRL</t>
  </si>
  <si>
    <t>SALESFORCE COM INC CRM</t>
  </si>
  <si>
    <t>AMERICAS CAR-MART INC CRMT</t>
  </si>
  <si>
    <t>CROCS INC CROX</t>
  </si>
  <si>
    <t>CARBO CERAMICS INC CRR</t>
  </si>
  <si>
    <t>CARPENTER TECHNOLOGY CRS</t>
  </si>
  <si>
    <t>CIRRUS LOGIC INC CRUS</t>
  </si>
  <si>
    <t>CORVEL CORP CRVL</t>
  </si>
  <si>
    <t>CORVUS PHARMACEUTICALS CRVS</t>
  </si>
  <si>
    <t>CRYOLIFE INC CRY</t>
  </si>
  <si>
    <t>CARRIZO OIL &amp; GAS INC CRZO</t>
  </si>
  <si>
    <t>CLIFTON BANCORP INC CSBK</t>
  </si>
  <si>
    <t>CISCO SYSTEMS INC CSCO</t>
  </si>
  <si>
    <t>CENTERSTATE BANKS INC CSFL</t>
  </si>
  <si>
    <t>COSTAR GROUP INC CSGP</t>
  </si>
  <si>
    <t>CSG SYSTEMS INTL INC CSGS</t>
  </si>
  <si>
    <t>CARDIOVASCULAR SYS INC CSII</t>
  </si>
  <si>
    <t>CARLISLE COS INC CSL</t>
  </si>
  <si>
    <t>CASTLIGHT HEALTH INC CSLT</t>
  </si>
  <si>
    <t>CORNERSTONE ONDEMAND INC CSOD</t>
  </si>
  <si>
    <t>CSRA INC CSRA</t>
  </si>
  <si>
    <t>CSS INDUSTRIES INC CSS</t>
  </si>
  <si>
    <t>CST BRANDS INC CST</t>
  </si>
  <si>
    <t>CAESARSTONE LTD CSTE</t>
  </si>
  <si>
    <t>CAPSTAR FINANCIAL HLDG CSTR</t>
  </si>
  <si>
    <t>CAPITAL SENIOR LIVING CSU</t>
  </si>
  <si>
    <t>CARRIAGE SERVICES INC CSV</t>
  </si>
  <si>
    <t>CSW INDUSTRIALS INC CSWI</t>
  </si>
  <si>
    <t>CSX CORP CSX</t>
  </si>
  <si>
    <t>CINTAS CORP CTAS</t>
  </si>
  <si>
    <t>COOPER TIRE &amp; RUBBER CO CTB</t>
  </si>
  <si>
    <t>COMMUNITY TRUST BANCORP CTBI</t>
  </si>
  <si>
    <t>CENTURYLINK INC CTL</t>
  </si>
  <si>
    <t>CATALENT INC CTLT</t>
  </si>
  <si>
    <t>CYTOMX THERAPEUTICS INC CTMX</t>
  </si>
  <si>
    <t>CONSOLIDATED TOMOKA LAND CTO</t>
  </si>
  <si>
    <t>CARETRUST REIT INC CTRE</t>
  </si>
  <si>
    <t>CONTROL4 CORPORATION CTRL</t>
  </si>
  <si>
    <t>CITI TRENDS INC CTRN</t>
  </si>
  <si>
    <t>CTS CORP CTS</t>
  </si>
  <si>
    <t>COGNIZANT TECH SOLUTIONS CTSH</t>
  </si>
  <si>
    <t>CATCHMARK TIMBER TRUST CTT</t>
  </si>
  <si>
    <t>CONNECTICUT WATER SVC CTWS</t>
  </si>
  <si>
    <t>CITRIX SYSTEMS INC CTXS</t>
  </si>
  <si>
    <t>CUBIC CORP CUB</t>
  </si>
  <si>
    <t>CUBESMART CUBE</t>
  </si>
  <si>
    <t>CUSTOMERS BANCORP INC CUBI</t>
  </si>
  <si>
    <t>BARRACUDA NETWORKS INC CUDA</t>
  </si>
  <si>
    <t>CU BANCORP CALIF CUNB</t>
  </si>
  <si>
    <t>CUTERA INC CUTR</t>
  </si>
  <si>
    <t>COUSINS PROPERTIES INC CUZ</t>
  </si>
  <si>
    <t>COVANTA HOLDING CORP CVA</t>
  </si>
  <si>
    <t>CVB FINANCIAL CORP CVBF</t>
  </si>
  <si>
    <t>CAVCO INDUSTRIES INC CVCO</t>
  </si>
  <si>
    <t>CENTRAL VALLEY CMNTY CVCY</t>
  </si>
  <si>
    <t>CONVERGYS CORP CVG</t>
  </si>
  <si>
    <t>CALAVO GROWERS INC CVGW</t>
  </si>
  <si>
    <t>CVR ENERGY INC CVI</t>
  </si>
  <si>
    <t>COMMVAULT SYSTEMS INC CVLT</t>
  </si>
  <si>
    <t>CODORUS VY BANCORP INC CVLY</t>
  </si>
  <si>
    <t>CVNA</t>
  </si>
  <si>
    <t>CORINDUS VASC ROBOTICS CVRS</t>
  </si>
  <si>
    <t>CVS HEALTH CORPORATION CVS</t>
  </si>
  <si>
    <t>COVENANT TRANS GRP INC CVTI</t>
  </si>
  <si>
    <t>CHEVRON CORP CVX</t>
  </si>
  <si>
    <t>CURTISS WRIGHT CORP CW</t>
  </si>
  <si>
    <t>CONSOLIDATED WATER CO CWCO</t>
  </si>
  <si>
    <t>CAMPING WORLD HOLDINGS CWH</t>
  </si>
  <si>
    <t>CASELLA WASTE SYSTEMS CWST</t>
  </si>
  <si>
    <t>CALIFORNIA WTR SVC GRP CWT</t>
  </si>
  <si>
    <t>CONCHO RESOURCES INC CXO</t>
  </si>
  <si>
    <t>COLUMBIA PPTY TR INC CXP</t>
  </si>
  <si>
    <t>CORECIVIC INC CXW</t>
  </si>
  <si>
    <t>CYPRESS SEMICONDUCTOR CY</t>
  </si>
  <si>
    <t>COMMUNITY HEALTH SYSTEMS CYH</t>
  </si>
  <si>
    <t>CYS INVESTMENTS INC CYS</t>
  </si>
  <si>
    <t>CYTOKINETICS INC CYTK</t>
  </si>
  <si>
    <t>CITIZENS &amp; NORTHERN CORP CZNC</t>
  </si>
  <si>
    <t>CAESARS ENTMT CORP CZR</t>
  </si>
  <si>
    <t>DOMINION ENERGY INC D</t>
  </si>
  <si>
    <t>DAKTRONICS INC DAKT</t>
  </si>
  <si>
    <t>DELTA AIR LINES INC DAL</t>
  </si>
  <si>
    <t>DANA INCORPORATED DAN</t>
  </si>
  <si>
    <t>DARLING INGREDIENTS INC DAR</t>
  </si>
  <si>
    <t>TABLEAU SOFTWARE INC DATA</t>
  </si>
  <si>
    <t>DIEBOLD NIXDORF DBD</t>
  </si>
  <si>
    <t>DONALDSON INC DCI</t>
  </si>
  <si>
    <t>DUCOMMUN INC DCO</t>
  </si>
  <si>
    <t>DIME CMNTY BANCSHARES DCOM</t>
  </si>
  <si>
    <t>DCT INDUSTRIAL TRUST INC DCT</t>
  </si>
  <si>
    <t>DU PONT E I DE NEMOURS DD</t>
  </si>
  <si>
    <t>3D SYSTEMS CORP DDD</t>
  </si>
  <si>
    <t>DDR CORP DDR</t>
  </si>
  <si>
    <t>DILLARDS INC DDS</t>
  </si>
  <si>
    <t>DEERE &amp; CO DE</t>
  </si>
  <si>
    <t>EASTERLY GOVERNMENT PPTY DEA</t>
  </si>
  <si>
    <t>DECKERS OUTDOOR CORP DECK</t>
  </si>
  <si>
    <t>DOUGLAS EMMETT INC DEI</t>
  </si>
  <si>
    <t>DELTIC TIMBER CORP DEL</t>
  </si>
  <si>
    <t>DENNYS CORP DENN</t>
  </si>
  <si>
    <t>DEPOMED INC DEPO</t>
  </si>
  <si>
    <t>DERMIRA INC DERM</t>
  </si>
  <si>
    <t>DEAN FOODS COMPANY DF</t>
  </si>
  <si>
    <t>DONNELLEY FINANCIAL DFIN</t>
  </si>
  <si>
    <t>DEL FRISCOS RESTAURANT DFRG</t>
  </si>
  <si>
    <t>DISCOVER FINANCIAL SRVC DFS</t>
  </si>
  <si>
    <t>DUPONT FABROS TECHNOLOGY DFT</t>
  </si>
  <si>
    <t>DOLLAR GENERAL CORP DG</t>
  </si>
  <si>
    <t>DELTA NATURAL GAS INC DGAS</t>
  </si>
  <si>
    <t>DIGITALGLOBE INC DGI</t>
  </si>
  <si>
    <t>DONEGAL GROUP INC DGICA</t>
  </si>
  <si>
    <t>DIGI INTL INC DGII</t>
  </si>
  <si>
    <t>QUEST DIAGNOSTICS INC DGX</t>
  </si>
  <si>
    <t>D R HORTON INC DHI</t>
  </si>
  <si>
    <t>DIAMOND HILL INVESTMENT DHIL</t>
  </si>
  <si>
    <t>DANAHER CORP DHR</t>
  </si>
  <si>
    <t>DHT HOLDINGS INC DHT</t>
  </si>
  <si>
    <t>DHI GROUP INC DHX</t>
  </si>
  <si>
    <t>DINEEQUITY INC DIN</t>
  </si>
  <si>
    <t>DIODES INC DIOD</t>
  </si>
  <si>
    <t>DISNEY WALT CO DIS</t>
  </si>
  <si>
    <t>DISCOVERY COMM CL A DISCA</t>
  </si>
  <si>
    <t>DISCOVERY COMM CL C DISCK</t>
  </si>
  <si>
    <t>DISH NETWORK CORP DISH</t>
  </si>
  <si>
    <t>DAILY JOURNAL CORP DJCO</t>
  </si>
  <si>
    <t>DELEK US HLDGS INC DK</t>
  </si>
  <si>
    <t>DICKS SPORTING GOODS INC DKS</t>
  </si>
  <si>
    <t>DELTA APPAREL INC DLA</t>
  </si>
  <si>
    <t>DOLBY LABORATORIES INC DLB</t>
  </si>
  <si>
    <t>DELPHI AUTOMOTIVE PLC DLPH</t>
  </si>
  <si>
    <t>DIGITAL REALTY TRUST INC DLR</t>
  </si>
  <si>
    <t>DULUTH HOLDINGS INC DLTH</t>
  </si>
  <si>
    <t>DOLLAR TREE INC DLTR</t>
  </si>
  <si>
    <t>DELUXE CORP DLX</t>
  </si>
  <si>
    <t>DIGIMARC CORPORATION DMRC</t>
  </si>
  <si>
    <t>DUN &amp; BRADSTREET CORP DNB</t>
  </si>
  <si>
    <t>DUNKIN BRANDS GROUP INC DNKN</t>
  </si>
  <si>
    <t>NOW INC DNOW</t>
  </si>
  <si>
    <t>DENBURY RESOURCES INC DNR</t>
  </si>
  <si>
    <t>DIAMOND OFFSHR DRILLING DO</t>
  </si>
  <si>
    <t>PHYSICIANS REALTY TRUST DOC</t>
  </si>
  <si>
    <t>MASONITE INTL CORP DOOR</t>
  </si>
  <si>
    <t>DORMAN PRODUCTS INC DORM</t>
  </si>
  <si>
    <t>DOVER CORP DOV</t>
  </si>
  <si>
    <t>DOW CHEMICAL CO DOW</t>
  </si>
  <si>
    <t>AMDOCS LTD DOX</t>
  </si>
  <si>
    <t>DIPLOMAT PHARMACY INC DPLO</t>
  </si>
  <si>
    <t>DR PEPPER SNAPPLE GROUP DPS</t>
  </si>
  <si>
    <t>DOMINOS PIZZA INC DPZ</t>
  </si>
  <si>
    <t>DUKE REALTY CORP DRE</t>
  </si>
  <si>
    <t>DIAMONDROCK HOSPITALITY DRH</t>
  </si>
  <si>
    <t>DARDEN RESTAURANTS INC DRI</t>
  </si>
  <si>
    <t>DRIL-QUIP INC DRQ</t>
  </si>
  <si>
    <t>DURECT CORP DRRX</t>
  </si>
  <si>
    <t>DSP GROUP INC DSPG</t>
  </si>
  <si>
    <t>DST SYSTEMS INC DST</t>
  </si>
  <si>
    <t>DSW INC DSW</t>
  </si>
  <si>
    <t>DTE ENERGY CO DTE</t>
  </si>
  <si>
    <t>DUKE ENERGY CORP DUK</t>
  </si>
  <si>
    <t>DAVITA INC DVA</t>
  </si>
  <si>
    <t>DYNAVAX TECHNOLOGIES DVAX</t>
  </si>
  <si>
    <t>DELL TECHNOLOGIES DVMT</t>
  </si>
  <si>
    <t>DEVON ENERGY CORP DVN</t>
  </si>
  <si>
    <t>DYNEX CAPITAL INC DX</t>
  </si>
  <si>
    <t>DXC TECHNOLOGY COMPANY DXC</t>
  </si>
  <si>
    <t>DEXCOM INC DXCM</t>
  </si>
  <si>
    <t>DXP ENTERPRISES INC DXPE</t>
  </si>
  <si>
    <t>DYCOM INDUSTRIES INC DY</t>
  </si>
  <si>
    <t>DYNEGY INC DYN</t>
  </si>
  <si>
    <t>ELECTRONIC ARTS INC EA</t>
  </si>
  <si>
    <t>BRINKER INTERNATIONAL EAT</t>
  </si>
  <si>
    <t>EBAY INC EBAY</t>
  </si>
  <si>
    <t>ENNIS INC EBF</t>
  </si>
  <si>
    <t>EBIX INC EBIX</t>
  </si>
  <si>
    <t>EMERGENT BIOSOLUTIONS EBS</t>
  </si>
  <si>
    <t>MERIDIAN BANCORP INC EBSB</t>
  </si>
  <si>
    <t>ENTERPRISE BANCORP INC EBTC</t>
  </si>
  <si>
    <t>ECHO GLOBAL LOGISTICS ECHO</t>
  </si>
  <si>
    <t>ECOLAB INC ECL</t>
  </si>
  <si>
    <t>US ECOLOGY INC ECOL</t>
  </si>
  <si>
    <t>CHANNELADVISOR CORP ECOM</t>
  </si>
  <si>
    <t>ENCORE CAPITAL GROUP INC ECPG</t>
  </si>
  <si>
    <t>ECLIPSE RESOURCES CORP ECR</t>
  </si>
  <si>
    <t>CONSOLIDATED EDISON INC ED</t>
  </si>
  <si>
    <t>EDGE THERAPEUTICS INC EDGE</t>
  </si>
  <si>
    <t>EDITAS MEDICINE INC EDIT</t>
  </si>
  <si>
    <t>EDUCATION REALTY TRUST EDR</t>
  </si>
  <si>
    <t>EL PASO ELECTRIC CO EE</t>
  </si>
  <si>
    <t>EURONET WORLDWIDE INC EEFT</t>
  </si>
  <si>
    <t>ELECTRONICS FOR IMAGING EFII</t>
  </si>
  <si>
    <t>ENTERPRISE FINL SERVICES EFSC</t>
  </si>
  <si>
    <t>EQUIFAX INC EFX</t>
  </si>
  <si>
    <t>EAGLE BANCORP INC EGBN</t>
  </si>
  <si>
    <t>8X8 INC NEW EGHT</t>
  </si>
  <si>
    <t>ENGILITY HOLDINGS INC EGL</t>
  </si>
  <si>
    <t>EGLE</t>
  </si>
  <si>
    <t>ENERGEN CORP EGN</t>
  </si>
  <si>
    <t>NIC INC EGOV</t>
  </si>
  <si>
    <t>EASTGROUP PROPERTIES INC EGP</t>
  </si>
  <si>
    <t>EAGLE PHARMACEUTICALS EGRX</t>
  </si>
  <si>
    <t>EHEALTH INC EHTH</t>
  </si>
  <si>
    <t>EMPLOYERS HOLDINGS INC EIG</t>
  </si>
  <si>
    <t>ENDURANCE INTERNATIONAL EIGI</t>
  </si>
  <si>
    <t>EDISON INTERNATIONAL EIX</t>
  </si>
  <si>
    <t>ESTEE LAUDER COMPANIES EL</t>
  </si>
  <si>
    <t>ELF BEAUTY INC ELF</t>
  </si>
  <si>
    <t>ENDOLOGIX INC ELGX</t>
  </si>
  <si>
    <t>ELLIE MAE INC ELLI</t>
  </si>
  <si>
    <t>EQUITY LIFESTYLE PROP ELS</t>
  </si>
  <si>
    <t>CALLAWAY GOLF CO ELY</t>
  </si>
  <si>
    <t>EMC INS GROUP INC EMCI</t>
  </si>
  <si>
    <t>EMCOR GROUP INC EME</t>
  </si>
  <si>
    <t>EMCORE CORP EMKR</t>
  </si>
  <si>
    <t>EASTMAN CHEMICAL CO EMN</t>
  </si>
  <si>
    <t>EMERSON ELECTRIC CO EMR</t>
  </si>
  <si>
    <t>ENDO INTERNATIONAL PLC ENDP</t>
  </si>
  <si>
    <t>ENERNOC INC ENOC</t>
  </si>
  <si>
    <t>ENERGIZER HOLDINGS INC ENR</t>
  </si>
  <si>
    <t>ENERSYS INC ENS</t>
  </si>
  <si>
    <t>ENSIGN GROUP INC ENSG</t>
  </si>
  <si>
    <t>GLOBAL EAGLE ENTMT INC ENT</t>
  </si>
  <si>
    <t>ENANTA PHARMACEUTICALS ENTA</t>
  </si>
  <si>
    <t>ENTEGRIS INC ENTG</t>
  </si>
  <si>
    <t>ENTELLUS MEDICAL INC ENTL</t>
  </si>
  <si>
    <t>ENVESTNET INC ENV</t>
  </si>
  <si>
    <t>ENOVA INTERNATIONAL INC ENVA</t>
  </si>
  <si>
    <t>ENZO BIOCHEM INC ENZ</t>
  </si>
  <si>
    <t>EOG RESOURCES INC EOG</t>
  </si>
  <si>
    <t>EPAM SYSTEMS INC EPAM</t>
  </si>
  <si>
    <t>BOTTOMLINE TECHNOLOGIES EPAY</t>
  </si>
  <si>
    <t>EDGEWELL PERSONAL CARE EPC</t>
  </si>
  <si>
    <t>EP ENERGY CORPORATION EPE</t>
  </si>
  <si>
    <t>EVOLUTION PETROLEUM CORP EPM</t>
  </si>
  <si>
    <t>EPR PROPERTIES EPR</t>
  </si>
  <si>
    <t>EPIZYME INC EPZM</t>
  </si>
  <si>
    <t>EQUITY BANCSHARE INC EQBK</t>
  </si>
  <si>
    <t>EQUITY COMMONWEALTH EQC</t>
  </si>
  <si>
    <t>EQUINIX INC EQIX</t>
  </si>
  <si>
    <t>EQUITY RESIDENTIAL EQR</t>
  </si>
  <si>
    <t>EQT CORPORATION EQT</t>
  </si>
  <si>
    <t>ERA GROUP INC ERA</t>
  </si>
  <si>
    <t>ELDORADO RESORTS INC ERI</t>
  </si>
  <si>
    <t>ERIE INDEMNITY CO ERIE</t>
  </si>
  <si>
    <t>ENERGY RECOVERY INC ERII</t>
  </si>
  <si>
    <t>EROS INTL PLC EROS</t>
  </si>
  <si>
    <t>EVERSOURCE ENERGY ES</t>
  </si>
  <si>
    <t>ESCALADE INC ESCA</t>
  </si>
  <si>
    <t>ESCO TECHNOLOGIES INC ESE</t>
  </si>
  <si>
    <t>ENSTAR GROUP LIMITED ESGR</t>
  </si>
  <si>
    <t>ELECTRO SCIENTIFIC INDS ESIO</t>
  </si>
  <si>
    <t>ESTERLINE TECHNOLOGIES ESL</t>
  </si>
  <si>
    <t>ESSENDANT INC ESND</t>
  </si>
  <si>
    <t>ESSENT GROUP LTD ESNT</t>
  </si>
  <si>
    <t>ESPERION THERAPEUTICS ESPR</t>
  </si>
  <si>
    <t>EMPIRE STATE REALTY ESRT</t>
  </si>
  <si>
    <t>EXPRESS SCRIPTS HOLD CO ESRX</t>
  </si>
  <si>
    <t>ESSEX PROPERTY TRUST INC ESS</t>
  </si>
  <si>
    <t>ESSA BANCORP INC ESSA</t>
  </si>
  <si>
    <t>EARTHSTONE ENERGY INC ESTE</t>
  </si>
  <si>
    <t>ENSCO PLC ESV</t>
  </si>
  <si>
    <t>E TRADE FINANCIAL CORP ETFC</t>
  </si>
  <si>
    <t>ETHAN ALLEN INTERIORS ETH</t>
  </si>
  <si>
    <t>ENTERCOM COMMUNICATIONS ETM</t>
  </si>
  <si>
    <t>EATON CORP PLC ETN</t>
  </si>
  <si>
    <t>ENTERGY CORP ETR</t>
  </si>
  <si>
    <t>ETSY INC ETSY</t>
  </si>
  <si>
    <t>EATON VANCE CORP EV</t>
  </si>
  <si>
    <t>EVERBRIDGE INC EVBG</t>
  </si>
  <si>
    <t>ENTRAVISION COMM EVC</t>
  </si>
  <si>
    <t>EVOLENT HEALTH INC EVH</t>
  </si>
  <si>
    <t>ENVISION HEALTHCARE CORP EVHC</t>
  </si>
  <si>
    <t>EVERCORE PARTNERS EVR</t>
  </si>
  <si>
    <t>EVRI</t>
  </si>
  <si>
    <t>EVERTEC INC EVTC</t>
  </si>
  <si>
    <t>EDWARDS LIFESCIENCES EW</t>
  </si>
  <si>
    <t>EAST WEST BANCORP INC EWBC</t>
  </si>
  <si>
    <t>EXA CORP EXA</t>
  </si>
  <si>
    <t>EXACTECH INC EXAC</t>
  </si>
  <si>
    <t>EXACT SCIENCES CORP EXAS</t>
  </si>
  <si>
    <t>EXELON CORP EXC</t>
  </si>
  <si>
    <t>EXELIXIS INC EXEL</t>
  </si>
  <si>
    <t>EXLSERVICE HOLDINGS INC EXLS</t>
  </si>
  <si>
    <t>EAGLE MATERIALS INC EXP</t>
  </si>
  <si>
    <t>EXPEDITORS INTL OF WASH EXPD</t>
  </si>
  <si>
    <t>EXPEDIA INC EXPE</t>
  </si>
  <si>
    <t>EXPONENT INC EXPO</t>
  </si>
  <si>
    <t>EXPRESS INC EXPR</t>
  </si>
  <si>
    <t>EXTRA SPACE STORAGE INC EXR</t>
  </si>
  <si>
    <t>EXTERRAN CORPORATION EXTN</t>
  </si>
  <si>
    <t>EXTREME NETWORKS INC EXTR</t>
  </si>
  <si>
    <t>EZCORP INC EZPW</t>
  </si>
  <si>
    <t>FORD MOTOR CO F</t>
  </si>
  <si>
    <t>FIRST AMERICAN FINL CORP FAF</t>
  </si>
  <si>
    <t>DIAMONDBACK ENERGY INC FANG</t>
  </si>
  <si>
    <t>FARMER BROS CO FARM</t>
  </si>
  <si>
    <t>FARO TECHNOLOGIES INC FARO</t>
  </si>
  <si>
    <t>FASTENAL CO FAST</t>
  </si>
  <si>
    <t>FATE</t>
  </si>
  <si>
    <t>FACEBOOK INC FB</t>
  </si>
  <si>
    <t>FLAGSTAR BANCORP INC FBC</t>
  </si>
  <si>
    <t>FORTUNE BRDS HOME &amp; SEC FBHS</t>
  </si>
  <si>
    <t>FORTRESS BIOTECH INC FBIO</t>
  </si>
  <si>
    <t>FIRST BUSINESS FINL SVCS FBIZ</t>
  </si>
  <si>
    <t>FB FINANCIAL CORP FBK</t>
  </si>
  <si>
    <t>FOUNDATION BLDG MATERIAL FBM</t>
  </si>
  <si>
    <t>FBMS</t>
  </si>
  <si>
    <t>FIRST BANCORP NC FBNC</t>
  </si>
  <si>
    <t>FIRST CONN BANCORP INC FBNK</t>
  </si>
  <si>
    <t>FIRST BANCORP PR FBP</t>
  </si>
  <si>
    <t>FRANKLIN COVEY CO FC</t>
  </si>
  <si>
    <t>FCB FINANCIAL HOLDINGS FCB</t>
  </si>
  <si>
    <t>FIRST CMNTY BANCSHAR FCBC</t>
  </si>
  <si>
    <t>FIRST COMMONWLTH FINL FCF</t>
  </si>
  <si>
    <t>FIRST COMMUNITY FINL INC FCFP</t>
  </si>
  <si>
    <t>FIRSTCASH INC FCFS</t>
  </si>
  <si>
    <t>FELCOR LODGING TRUST INC FCH</t>
  </si>
  <si>
    <t>FTI CONSULTING INC FCN</t>
  </si>
  <si>
    <t>FIRST CITIZENS BANCSHRS FCNCA</t>
  </si>
  <si>
    <t>FOUR CORNERS PPTY TRUST FCPT</t>
  </si>
  <si>
    <t>FREEPORT-MCMORAN INC FCX</t>
  </si>
  <si>
    <t>FIRST DATA CORPORATION FDC</t>
  </si>
  <si>
    <t>FIRST DEFIANCE FINANCIAL FDEF</t>
  </si>
  <si>
    <t>FRESH DEL MONTE PRODUCE FDP</t>
  </si>
  <si>
    <t>FACTSET RESEARCH SYSTEMS FDS</t>
  </si>
  <si>
    <t>FEDEX CORP FDX</t>
  </si>
  <si>
    <t>FIRSTENERGY CORP FE</t>
  </si>
  <si>
    <t>FRANKLIN ELECTRIC CO FELE</t>
  </si>
  <si>
    <t>FORUM ENERGY TECH FET</t>
  </si>
  <si>
    <t>FIREEYE INC FEYE</t>
  </si>
  <si>
    <t>FUTUREFUEL CORPORATION FF</t>
  </si>
  <si>
    <t>FIRST FINANCIAL BANCORP FFBC</t>
  </si>
  <si>
    <t>FBL FINANCIAL GROUP INC FFG</t>
  </si>
  <si>
    <t>FLUSHING FINANCIAL CORP FFIC</t>
  </si>
  <si>
    <t>FIRST FINL BANKSHARES FFIN</t>
  </si>
  <si>
    <t>F5 NETWORKS INC FFIV</t>
  </si>
  <si>
    <t>FARMERS CAPITAL BK CORP FFKT</t>
  </si>
  <si>
    <t>FIRST FINL NORTHWEST FFNW</t>
  </si>
  <si>
    <t>FIRST FNDTN INC FFWM</t>
  </si>
  <si>
    <t>FIBROGEN INC FGEN</t>
  </si>
  <si>
    <t>FIDELITY &amp; GUARANTY FGL</t>
  </si>
  <si>
    <t>FIRST HAWAIIAN INC FHB</t>
  </si>
  <si>
    <t>FIRST HORIZON NATL CORP FHN</t>
  </si>
  <si>
    <t>FRANK'S INTERNATIONAL FI</t>
  </si>
  <si>
    <t>FIRST INTST BANCSYSTEM FIBK</t>
  </si>
  <si>
    <t>FAIR ISAAC CORP FICO</t>
  </si>
  <si>
    <t>FEDERATED INVESTORS INC FII</t>
  </si>
  <si>
    <t>FINISH LINE INC FINL</t>
  </si>
  <si>
    <t>FIDELITY NATL INFO SVCS FIS</t>
  </si>
  <si>
    <t>FINANCIAL INSTNS INC FISI</t>
  </si>
  <si>
    <t>FISERV INC FISV</t>
  </si>
  <si>
    <t>FITBIT INC FIT</t>
  </si>
  <si>
    <t>FIFTH THIRD BANCORP FITB</t>
  </si>
  <si>
    <t>FIVE BELOW FIVE</t>
  </si>
  <si>
    <t>FIVE9 INC FIVN</t>
  </si>
  <si>
    <t>COMFORT SYSTEMS USA INC FIX</t>
  </si>
  <si>
    <t>NATIONAL BEVERAGE CORP FIZZ</t>
  </si>
  <si>
    <t>FOOT LOCKER INC FL</t>
  </si>
  <si>
    <t>FLUIDIGM CORP FLDM</t>
  </si>
  <si>
    <t>FIRST LONG ISLAND CORP FLIC</t>
  </si>
  <si>
    <t>FLIR SYSTEMS INC FLIR</t>
  </si>
  <si>
    <t>FLOWERS FOODS INC FLO</t>
  </si>
  <si>
    <t>SPX FLOW INC FLOW</t>
  </si>
  <si>
    <t>FLUOR CORP FLR</t>
  </si>
  <si>
    <t>FLOWSERVE CORP FLS</t>
  </si>
  <si>
    <t>FLEETCOR TECHNOLOGIES FLT</t>
  </si>
  <si>
    <t>1-800 FLOWERS COM FLWS</t>
  </si>
  <si>
    <t>FLEXION THERAPEUTICS INC FLXN</t>
  </si>
  <si>
    <t>FLEXSTEEL INDUSTRIES INC FLXS</t>
  </si>
  <si>
    <t>FMAO</t>
  </si>
  <si>
    <t>FIRST MID ILL BANCSHARES FMBH</t>
  </si>
  <si>
    <t>FIRST MIDWEST BANCORP FMBI</t>
  </si>
  <si>
    <t>FMC CORP FMC</t>
  </si>
  <si>
    <t>FOUNDATION MEDICINE INC FMI</t>
  </si>
  <si>
    <t>FARMERS NATL BANC CORP FMNB</t>
  </si>
  <si>
    <t>FAIRMOUNT SANTROL HLDGS FMSA</t>
  </si>
  <si>
    <t>FABRINET FN</t>
  </si>
  <si>
    <t>FNB CORP FNB</t>
  </si>
  <si>
    <t>FND</t>
  </si>
  <si>
    <t>FNF GROUP FNF</t>
  </si>
  <si>
    <t>FNFV GROUP FNFV</t>
  </si>
  <si>
    <t>FINANCIAL ENGINES INC FNGN</t>
  </si>
  <si>
    <t>FEDERATED NATL HOLDING FNHC</t>
  </si>
  <si>
    <t>FIRST BANCORP INC FNLC</t>
  </si>
  <si>
    <t>FINISAR CORP FNSR</t>
  </si>
  <si>
    <t>FIRST NORTHWEST BANCORP FNWB</t>
  </si>
  <si>
    <t>FERRO CORP FOE</t>
  </si>
  <si>
    <t>FOGO DE CHAI INC FOGO</t>
  </si>
  <si>
    <t>AMICUS THERAPEUTICS INC FOLD</t>
  </si>
  <si>
    <t>FORESTAR GROUP INC FOR</t>
  </si>
  <si>
    <t>FORMFACTOR INC FORM</t>
  </si>
  <si>
    <t>FORRESTER RESEARCH INC FORR</t>
  </si>
  <si>
    <t>FOSSIL GROUP INC FOSL</t>
  </si>
  <si>
    <t>21ST CENTURY FOX CL B FOX</t>
  </si>
  <si>
    <t>21ST CENTURY FOX CL A FOXA</t>
  </si>
  <si>
    <t>FOX FACTORY HOLDING CORP FOXF</t>
  </si>
  <si>
    <t>FARMLAND PARTNERS INC FPI</t>
  </si>
  <si>
    <t>FIRST POTOMAC REALTY TR FPO</t>
  </si>
  <si>
    <t>FIVE PRIME THERAPEUTICS FPRX</t>
  </si>
  <si>
    <t>FIRST INDUSTRIAL RLTY TR FR</t>
  </si>
  <si>
    <t>KEANE GROUP INC FRAC</t>
  </si>
  <si>
    <t>FRANCESCAS HOLDINGS CORP FRAN</t>
  </si>
  <si>
    <t>REPUBLIC FIRST BANCORP FRBK</t>
  </si>
  <si>
    <t>FIRST REP BK SAN FRAN FRC</t>
  </si>
  <si>
    <t>FREDS INC FRED</t>
  </si>
  <si>
    <t>FIESTA RESTAURANT GROUP FRGI</t>
  </si>
  <si>
    <t>FIRST MERCHANTS CORP FRME</t>
  </si>
  <si>
    <t>FRONTLINE LTD FRO</t>
  </si>
  <si>
    <t>FAIRPOINT COMMUNICATIONS FRP</t>
  </si>
  <si>
    <t>FRP HOLDINGS INC FRPH</t>
  </si>
  <si>
    <t>FRESHPET INC FRPT</t>
  </si>
  <si>
    <t>FEDERAL REALTY INVT FRT</t>
  </si>
  <si>
    <t>FORTERRA INC FRTA</t>
  </si>
  <si>
    <t>FIFTH STREET ASSET MGMT FSAM</t>
  </si>
  <si>
    <t>FRANKLIN FINANCIAL NTWK FSB</t>
  </si>
  <si>
    <t>FIRST SOLAR INC FSLR</t>
  </si>
  <si>
    <t>FRANKLIN STREET PPTYS CO FSP</t>
  </si>
  <si>
    <t>FEDERAL SIGNAL CORP FSS</t>
  </si>
  <si>
    <t>FTD COMPANIES INC FTD</t>
  </si>
  <si>
    <t>FLOTEK INDUSTRIES INC FTK</t>
  </si>
  <si>
    <t>FORTINET INC FTNT</t>
  </si>
  <si>
    <t>FRONTIER COMMUNICATIONS FTR</t>
  </si>
  <si>
    <t>FORTIVE CORPORATION FTV</t>
  </si>
  <si>
    <t>HB FULLER COMPANY FUL</t>
  </si>
  <si>
    <t>FULTON FINANCIAL CORP FULT</t>
  </si>
  <si>
    <t>LIBERTY FORMULA 1 SER A FWONA</t>
  </si>
  <si>
    <t>LIBERTY FORMULA 1 SER C FWONK</t>
  </si>
  <si>
    <t>FORWARD AIR CORP FWRD</t>
  </si>
  <si>
    <t>GENPACT LTD G</t>
  </si>
  <si>
    <t>GERMAN AMERICAN BANCORP GABC</t>
  </si>
  <si>
    <t>GAIA INC GAIA</t>
  </si>
  <si>
    <t>GATX CORP GATX</t>
  </si>
  <si>
    <t>GLACIER BANCORP INC GBCI</t>
  </si>
  <si>
    <t>GAMCO INVESTORS INC GBL</t>
  </si>
  <si>
    <t>GLOBAL INDEMNITY LTD GBLI</t>
  </si>
  <si>
    <t>GUARANTY BANCORP GBNK</t>
  </si>
  <si>
    <t>GLOBAL BLOOD THERA GBT</t>
  </si>
  <si>
    <t>GREENBRIER COMPANIES INC GBX</t>
  </si>
  <si>
    <t>GAIN CAPITAL HLDNGS INC GCAP</t>
  </si>
  <si>
    <t>GREENE COUNTY BANCORP GCBC</t>
  </si>
  <si>
    <t>GANNETT CO INC GCI</t>
  </si>
  <si>
    <t>GENESCO INC GCO</t>
  </si>
  <si>
    <t>GCP APPLIED TECHNOLOGIES GCP</t>
  </si>
  <si>
    <t>GENERAL DYNAMICS CORP GD</t>
  </si>
  <si>
    <t>GODADDY INC GDDY</t>
  </si>
  <si>
    <t>GOLDEN ENTERTAINMENT INC GDEN</t>
  </si>
  <si>
    <t>GREEN DOT CORP GDOT</t>
  </si>
  <si>
    <t>GENERAL ELECTRIC CO GE</t>
  </si>
  <si>
    <t>GREIF INC GEF</t>
  </si>
  <si>
    <t>GREIF INC GEF.B</t>
  </si>
  <si>
    <t>GENESIS HEALTHCARE INC GEN</t>
  </si>
  <si>
    <t>GENCOR INDUSTRIES INC GENC</t>
  </si>
  <si>
    <t>GEO GROUP INC GEO</t>
  </si>
  <si>
    <t>GEOSPACE TECHNOLOGIES GEOS</t>
  </si>
  <si>
    <t>GERON CORP GERN</t>
  </si>
  <si>
    <t>GUESS INC GES</t>
  </si>
  <si>
    <t>GRIFFON CORP GFF</t>
  </si>
  <si>
    <t>GRACO INC GGG</t>
  </si>
  <si>
    <t>GGP INC GGP</t>
  </si>
  <si>
    <t>GRAHAM HOLDINGS COMPANY GHC</t>
  </si>
  <si>
    <t>GENOMIC HEALTH INC GHDX</t>
  </si>
  <si>
    <t>GREENHILL &amp; CO INC GHL</t>
  </si>
  <si>
    <t>GRAHAM CORP GHM</t>
  </si>
  <si>
    <t>G-III APPAREL GROUP LTD GIII</t>
  </si>
  <si>
    <t>GILEAD SCIENCES INC GILD</t>
  </si>
  <si>
    <t>GIGAMON INC GIMO</t>
  </si>
  <si>
    <t>GENERAL MILLS INC GIS</t>
  </si>
  <si>
    <t>GLAUKOS CORPORATION GKOS</t>
  </si>
  <si>
    <t>TERRAFORM GLOBAL INC GLBL</t>
  </si>
  <si>
    <t>GREAT LAKES DREDGE &amp; DOC GLDD</t>
  </si>
  <si>
    <t>GOLAR LNG LTD BERMUDA GLNG</t>
  </si>
  <si>
    <t>GASLOG LTD GLOG</t>
  </si>
  <si>
    <t>GAMING AND LEISURE PPTYS GLPI</t>
  </si>
  <si>
    <t>GREENLIGHT CAPITAL RE LT GLRE</t>
  </si>
  <si>
    <t>GLATFELTER GLT</t>
  </si>
  <si>
    <t>GLU MOBILE INC GLUU</t>
  </si>
  <si>
    <t>CORNING INC GLW</t>
  </si>
  <si>
    <t>GENERAL MTRS CO GM</t>
  </si>
  <si>
    <t>GAMESTOP CORP GME</t>
  </si>
  <si>
    <t>GLOBUS MEDICAL INC GMED</t>
  </si>
  <si>
    <t>GLOBAL MEDICAL REIT INC GMRE</t>
  </si>
  <si>
    <t>GMS INC GMS</t>
  </si>
  <si>
    <t>GREEN BANCORP INC GNBC</t>
  </si>
  <si>
    <t>GNC HLDGS INC GNC</t>
  </si>
  <si>
    <t>GENERAL COMMUNICATION GNCMA</t>
  </si>
  <si>
    <t>GENIE ENERGY LTD GNE</t>
  </si>
  <si>
    <t>GLOBAL NET LEASE INC GNL</t>
  </si>
  <si>
    <t>GENMARK DIAGNOSTICS INC GNMK</t>
  </si>
  <si>
    <t>GENERAC HOLDINGS INC GNRC</t>
  </si>
  <si>
    <t>GENER8 MARITIME INC GNRT</t>
  </si>
  <si>
    <t>GENTEX CORP GNTX</t>
  </si>
  <si>
    <t>GENWORTH FINANCIAL INC GNW</t>
  </si>
  <si>
    <t>GOGO INC GOGO</t>
  </si>
  <si>
    <t>ACUSHNET HOLDINGS CORP GOLF</t>
  </si>
  <si>
    <t>GLADSTONE COMMERCIAL GOOD</t>
  </si>
  <si>
    <t>ALPHABET INC CL C GOOG</t>
  </si>
  <si>
    <t>ALPHABET INC CL A GOOGL</t>
  </si>
  <si>
    <t>GOLD RESOURCE CORP GORO</t>
  </si>
  <si>
    <t>GOVERNMENT PPTY INCOME GOV</t>
  </si>
  <si>
    <t>GENUINE PARTS CO GPC</t>
  </si>
  <si>
    <t>GROUP 1 AUTOMOTIVE INC GPI</t>
  </si>
  <si>
    <t>GRAPHIC PACKAGING HLDG GPK</t>
  </si>
  <si>
    <t>GLOBAL PAYMENTS INC GPN</t>
  </si>
  <si>
    <t>GULFPORT ENERGY CORP GPOR</t>
  </si>
  <si>
    <t>GREEN PLAINS INC GPRE</t>
  </si>
  <si>
    <t>GOPRO INC GPRO</t>
  </si>
  <si>
    <t>GAP INC GPS</t>
  </si>
  <si>
    <t>GRAMERCY PROPERTY TRUST GPT</t>
  </si>
  <si>
    <t>GP STRATEGIES CORP GPX</t>
  </si>
  <si>
    <t>GRACE W R &amp; CO GRA</t>
  </si>
  <si>
    <t>GREEN BRICK PARTNERS INC GRBK</t>
  </si>
  <si>
    <t>GORMAN RUPP CO GRC</t>
  </si>
  <si>
    <t>GRIFFIN INDUSTRIAL RLTY GRIF</t>
  </si>
  <si>
    <t>GARMIN LTD GRMN</t>
  </si>
  <si>
    <t>GROUPON INC GRPN</t>
  </si>
  <si>
    <t>GRUBHUB INC GRUB</t>
  </si>
  <si>
    <t>GOLDMAN SACHS GROUP INC GS</t>
  </si>
  <si>
    <t>GLOBALSTAR INC GSAT</t>
  </si>
  <si>
    <t>GREAT SOUTHERN BANCORP GSBC</t>
  </si>
  <si>
    <t>GLOBAL SOURCES LTD GSOL</t>
  </si>
  <si>
    <t>GOODYEAR TIRE &amp; RUBBER GT</t>
  </si>
  <si>
    <t>CHART INDUSTRIES INC GTLS</t>
  </si>
  <si>
    <t>GRAY TELEVISION INC GTN</t>
  </si>
  <si>
    <t>TRIPLE-S MANAGEMENT CORP GTS</t>
  </si>
  <si>
    <t>GTT COMMUNICATIONS INC GTT</t>
  </si>
  <si>
    <t>GETTY REALTY CORP GTY</t>
  </si>
  <si>
    <t>GUIDANCE SOFTWARE INC GUID</t>
  </si>
  <si>
    <t>GRANITE CONSTR INC GVA</t>
  </si>
  <si>
    <t>GREAT WESTERN BANCORP GWB</t>
  </si>
  <si>
    <t>GENESEE &amp; WYOMING INC GWR</t>
  </si>
  <si>
    <t>GUIDEWIRE SOFTWARE INC GWRE</t>
  </si>
  <si>
    <t>GLOBAL WATER RESOURCES GWRS</t>
  </si>
  <si>
    <t>GRAINGER WW INC GWW</t>
  </si>
  <si>
    <t>GREAT PLAINS ENERGY INC GXP</t>
  </si>
  <si>
    <t>HYATT HOTELS CORP H</t>
  </si>
  <si>
    <t>HAWAIIAN HOLDINGS INC HA</t>
  </si>
  <si>
    <t>HABIT RESTAURANTS HABT</t>
  </si>
  <si>
    <t>HAEMONETICS CORP HAE</t>
  </si>
  <si>
    <t>HANMI FINANCIAL CORP HAFC</t>
  </si>
  <si>
    <t>HAIN CELESTIAL GROUP HAIN</t>
  </si>
  <si>
    <t>HALLIBURTON CO HAL</t>
  </si>
  <si>
    <t>HALLMARK FINL SVCS INC HALL</t>
  </si>
  <si>
    <t>HALOZYME THERAPEUTICS HALO</t>
  </si>
  <si>
    <t>HASBRO INC HAS</t>
  </si>
  <si>
    <t>HANNON ARMSTRONG SUSTAIN HASI</t>
  </si>
  <si>
    <t>BLACKHAWK NETWORK HLDGS HAWK</t>
  </si>
  <si>
    <t>HAYNES INTERNATIONAL INC HAYN</t>
  </si>
  <si>
    <t>HUNTINGTON BANCSHARES HBAN</t>
  </si>
  <si>
    <t>HOME BANCORP INC HBCP</t>
  </si>
  <si>
    <t>HANCOCK HOLDING CO HBHC</t>
  </si>
  <si>
    <t>HANESBRAND INC HBI</t>
  </si>
  <si>
    <t>HORIZON BANCORP IND HBNC</t>
  </si>
  <si>
    <t>HCA HEALTHCARE INC HCA</t>
  </si>
  <si>
    <t>HERITAGE CRYL CLEAN INC HCCI</t>
  </si>
  <si>
    <t>HC2 HLDGS INC HCHC</t>
  </si>
  <si>
    <t>HCI GROUP INC HCI</t>
  </si>
  <si>
    <t>HACKETT GROUP INC HCKT</t>
  </si>
  <si>
    <t>WELLTOWER INC HCN</t>
  </si>
  <si>
    <t>HAWAIIAN TELCOM HOLDCO HCOM</t>
  </si>
  <si>
    <t>HCP INC HCP</t>
  </si>
  <si>
    <t>HEALTHCARE SVCS GRP INC HCSG</t>
  </si>
  <si>
    <t>HOME DEPOT INC HD</t>
  </si>
  <si>
    <t>HARDINGE INC HDNG</t>
  </si>
  <si>
    <t>HORTONWORKS INC HDP</t>
  </si>
  <si>
    <t>HD SUPPLY HOLDINGS INC HDS</t>
  </si>
  <si>
    <t>HAWAIIAN ELECTRIC INDS HE</t>
  </si>
  <si>
    <t>H&amp;E EQUIPMENT SERVICES HEES</t>
  </si>
  <si>
    <t>HEICO CORP COMMON HEI</t>
  </si>
  <si>
    <t>HEICO CORP CL A HEI.A</t>
  </si>
  <si>
    <t>HELEN OF TROY LTD HELE</t>
  </si>
  <si>
    <t>HESS CORP HES</t>
  </si>
  <si>
    <t>HFF INC HF</t>
  </si>
  <si>
    <t>HOLLYFRONTIER CORP HFC</t>
  </si>
  <si>
    <t>HERITAGE FINANCIAL CORP HFWA</t>
  </si>
  <si>
    <t>HILTON GRAND VACATIONS HGV</t>
  </si>
  <si>
    <t>HOWARD HUGHES CORP HHC</t>
  </si>
  <si>
    <t>HILLENBRAND INC HI</t>
  </si>
  <si>
    <t>HIBBETT SPORTS INC HIBB</t>
  </si>
  <si>
    <t>INFRAREIT INC HIFR</t>
  </si>
  <si>
    <t>HINGHAM INSTN SVGS MASS HIFS</t>
  </si>
  <si>
    <t>HARTFORD FINL SVCS GRP HIG</t>
  </si>
  <si>
    <t>HUNTINGTON INGALLS IND HII</t>
  </si>
  <si>
    <t>HILL INTERNATIONAL INC HIL</t>
  </si>
  <si>
    <t>AEROHIVE NETWORKS INC HIVE</t>
  </si>
  <si>
    <t>HIGHWOODS PROPERTIES INC HIW</t>
  </si>
  <si>
    <t>HECLA MINING CO HL</t>
  </si>
  <si>
    <t>HERBALIFE LTD HLF</t>
  </si>
  <si>
    <t>HOULIHAN LOKEY INC HLI</t>
  </si>
  <si>
    <t>HARMONIC INC HLIT</t>
  </si>
  <si>
    <t>HEALTHSOUTH CORP HLS</t>
  </si>
  <si>
    <t>HILTON WORLDWIDE HOLDING HLT</t>
  </si>
  <si>
    <t>HELIX ENERGY SOLUTIONS HLX</t>
  </si>
  <si>
    <t>HOUGHTON MIFFLIN HARCOUR HMHC</t>
  </si>
  <si>
    <t>HORACE MANN EDUCATORS HMN</t>
  </si>
  <si>
    <t>HOMESTREET INC HMST</t>
  </si>
  <si>
    <t>HMS HOLDINGS CORP HMSY</t>
  </si>
  <si>
    <t>HEMISPHERE MEDIA GROUP HMTV</t>
  </si>
  <si>
    <t>HANDY &amp; HARMAN HLDGS LTD HNH</t>
  </si>
  <si>
    <t>HNI CORPORATION HNI</t>
  </si>
  <si>
    <t>HOOKER FURNITURE CORP HOFT</t>
  </si>
  <si>
    <t>HARLEY DAVIDSON INC HOG</t>
  </si>
  <si>
    <t>HOLOGIC INC HOLX</t>
  </si>
  <si>
    <t>HOME BANCSHARES INC HOMB</t>
  </si>
  <si>
    <t>AT HOME GROUP INC HOME</t>
  </si>
  <si>
    <t>HONEYWELL INTERNATIONAL HON</t>
  </si>
  <si>
    <t>HARBORONE BANCORP INC HONE</t>
  </si>
  <si>
    <t>HOPE BANCORP INC HOPE</t>
  </si>
  <si>
    <t>HOVNANIAN ENTERPRISES HOV</t>
  </si>
  <si>
    <t>HELMERICH &amp; PAYNE INC HP</t>
  </si>
  <si>
    <t>HEWLETT PACKARD ENT HPE</t>
  </si>
  <si>
    <t>HUDSON PAC PPTYS INC HPP</t>
  </si>
  <si>
    <t>HP INC HPQ</t>
  </si>
  <si>
    <t>HOSPITALITY PPTYS TRUST HPT</t>
  </si>
  <si>
    <t>HEALTHEQUITY INC HQY</t>
  </si>
  <si>
    <t>HEALTHCARE REALTY TRUST HR</t>
  </si>
  <si>
    <t>BLOCK H &amp; R INC HRB</t>
  </si>
  <si>
    <t>HILL-ROM HOLDINGS INC HRC</t>
  </si>
  <si>
    <t>HRG GROUP INC HRG</t>
  </si>
  <si>
    <t>HERC HOLDING INC HRI</t>
  </si>
  <si>
    <t>HORMEL FOODS CORP HRL</t>
  </si>
  <si>
    <t>HARRIS CORP HRS</t>
  </si>
  <si>
    <t>HERITAGE INS HLDGS INC HRTG</t>
  </si>
  <si>
    <t>HERON THERAPEUTICS INC HRTX</t>
  </si>
  <si>
    <t>HARSCO CORP HSC</t>
  </si>
  <si>
    <t>SCHEIN HENRY INC HSIC</t>
  </si>
  <si>
    <t>HEIDRICK &amp; STRUGGLES HSII</t>
  </si>
  <si>
    <t>HESKA CORP HSKA</t>
  </si>
  <si>
    <t>HSN INC HSNI</t>
  </si>
  <si>
    <t>HOST HOTELS &amp; RESORTS HST</t>
  </si>
  <si>
    <t>HEALTHSTREAM INC HSTM</t>
  </si>
  <si>
    <t>HERSHEY COMPANY HSY</t>
  </si>
  <si>
    <t>HERSHA HOSPITALITY TRUST HT</t>
  </si>
  <si>
    <t>HEALTHCARE TR AMER INC HTA</t>
  </si>
  <si>
    <t>HOMETRUST BANCSHARES INC HTBI</t>
  </si>
  <si>
    <t>HERITAGE COMMERCE CORP HTBK</t>
  </si>
  <si>
    <t>HILLTOP HOLDINGS INC HTH</t>
  </si>
  <si>
    <t>HEARTLAND EXPRESS INC HTLD</t>
  </si>
  <si>
    <t>HEARTLAND FINANCIAL USA HTLF</t>
  </si>
  <si>
    <t>HERTZ GLOBAL HOLDINGS HTZ</t>
  </si>
  <si>
    <t>HUBBELL INC HUBB</t>
  </si>
  <si>
    <t>HUB GROUP INC HUBG</t>
  </si>
  <si>
    <t>HUBSPOT INC HUBS</t>
  </si>
  <si>
    <t>HUMANA INC HUM</t>
  </si>
  <si>
    <t>HUNTSMAN CORP HUN</t>
  </si>
  <si>
    <t>HURCO COMPANIES INC HURC</t>
  </si>
  <si>
    <t>HURON CONSULTING GROUP HURN</t>
  </si>
  <si>
    <t>HAVERTY FURNITURE INC HVT</t>
  </si>
  <si>
    <t>HAWKINS INC HWKN</t>
  </si>
  <si>
    <t>HEXCEL CORP HXL</t>
  </si>
  <si>
    <t>HYSTER-YALE MATERIALS HY</t>
  </si>
  <si>
    <t>HALYARD HEALTH INC HYH</t>
  </si>
  <si>
    <t>HORIZON GLOBAL CORP HZN</t>
  </si>
  <si>
    <t>HORIZON PHARMA PLC HZNP</t>
  </si>
  <si>
    <t>MARINEMAX INC HZO</t>
  </si>
  <si>
    <t>INTELSAT SA I</t>
  </si>
  <si>
    <t>IAC INTERACTIVECORP IAC</t>
  </si>
  <si>
    <t>INTEGRA LIFESCIENCES IART</t>
  </si>
  <si>
    <t>INDEPENDENT BANK CORP IBCP</t>
  </si>
  <si>
    <t>IBERIABANK CORP IBKC</t>
  </si>
  <si>
    <t>INTERACTIVE BROKERS GRP IBKR</t>
  </si>
  <si>
    <t>INTL BUSINESS MACHINES IBM</t>
  </si>
  <si>
    <t>INTERNATIONAL BANCSHARES IBOC</t>
  </si>
  <si>
    <t>INSTALLED BLDNG PRODUCTS IBP</t>
  </si>
  <si>
    <t>INDEPENDENT BK GROUP INC IBTX</t>
  </si>
  <si>
    <t>COUNTY BANCORP INC ICBK</t>
  </si>
  <si>
    <t>IND CONTRACT DRILLING ICD</t>
  </si>
  <si>
    <t>INTERCONTINENTAL EXCH ICE</t>
  </si>
  <si>
    <t>ICF INTERNATIONAL INC ICFI</t>
  </si>
  <si>
    <t>ICHOR HOLDINGS INC ICHR</t>
  </si>
  <si>
    <t>ICONIX BRAND GROUP INC ICON</t>
  </si>
  <si>
    <t>INTERCEPT PHARMA INC ICPT</t>
  </si>
  <si>
    <t>ICU MEDICAL INC ICUI</t>
  </si>
  <si>
    <t>IDACORP INC IDA</t>
  </si>
  <si>
    <t>INTERDIGITAL INC IDCC</t>
  </si>
  <si>
    <t>IDERA PHARMACEUTICALS IDRA</t>
  </si>
  <si>
    <t>IDT CORP IDT</t>
  </si>
  <si>
    <t>INTEGRATED DEVICE TECH IDTI</t>
  </si>
  <si>
    <t>IDEXX LABS INC IDXX</t>
  </si>
  <si>
    <t>IES HOLDINGS INC IESC</t>
  </si>
  <si>
    <t>IDEX CORP IEX</t>
  </si>
  <si>
    <t>INTL FLAVORS &amp; FRAGRANCE IFF</t>
  </si>
  <si>
    <t>INTERNATIONAL GAME TECH IGT</t>
  </si>
  <si>
    <t>INDEPENDENCE HOLDING CO IHC</t>
  </si>
  <si>
    <t>INFORMATION SERVICES GRP III</t>
  </si>
  <si>
    <t>INSTEEL INDUSTRIES INC IIIN</t>
  </si>
  <si>
    <t>II VI INC IIVI</t>
  </si>
  <si>
    <t>ILG INC ILG</t>
  </si>
  <si>
    <t>ILLUMINA INC ILMN</t>
  </si>
  <si>
    <t>IMAX CORP IMAX</t>
  </si>
  <si>
    <t>IMMUNE DESIGN CORP IMDZ</t>
  </si>
  <si>
    <t>IMMUNOGEN INC IMGN</t>
  </si>
  <si>
    <t>IMPAC MTG HLDGS INC IMH</t>
  </si>
  <si>
    <t>IMMERSION CORP IMMR</t>
  </si>
  <si>
    <t>IMMUNOMEDICS INC IMMU</t>
  </si>
  <si>
    <t>IMPERVA INC IMPV</t>
  </si>
  <si>
    <t>FIRST INTERNET BANCORP INBK</t>
  </si>
  <si>
    <t>INC RESEARCH HOLDINGS INCR</t>
  </si>
  <si>
    <t>INCYTE CORP INCY</t>
  </si>
  <si>
    <t>INDEPENDENT BANK MA INDB</t>
  </si>
  <si>
    <t>INFINERA CORP INFN</t>
  </si>
  <si>
    <t>INOGEN INC INGN</t>
  </si>
  <si>
    <t>INGREDION INC INGR</t>
  </si>
  <si>
    <t>SUMMIT HOTEL PPTYS INN</t>
  </si>
  <si>
    <t>INOVIO PHARMACEUTICALS INO</t>
  </si>
  <si>
    <t>INOVALON HOLDINGS INC INOV</t>
  </si>
  <si>
    <t>INSMED INC INSM</t>
  </si>
  <si>
    <t>INSTRUCTURE INC INST</t>
  </si>
  <si>
    <t>INTERNATIONAL SEAWAYS INSW</t>
  </si>
  <si>
    <t>INSYS THERAPEUTICS INC INSY</t>
  </si>
  <si>
    <t>WORLD FUEL SVCS CORP INT</t>
  </si>
  <si>
    <t>INTEL CORP INTC</t>
  </si>
  <si>
    <t>INTL FCSTONE INC INTL</t>
  </si>
  <si>
    <t>INTUIT INTU</t>
  </si>
  <si>
    <t>INNOVIVA INC INVA</t>
  </si>
  <si>
    <t>INVITATION HOMES INC INVH</t>
  </si>
  <si>
    <t>INNERWORKINGS INC INWK</t>
  </si>
  <si>
    <t>IONIS PHARMACEUTICALS IONS</t>
  </si>
  <si>
    <t>INNOSPEC INC IOSP</t>
  </si>
  <si>
    <t>INTERNATIONAL PAPER CO IP</t>
  </si>
  <si>
    <t>INTER PARFUMS INC IPAR</t>
  </si>
  <si>
    <t>INFINITY PPTY &amp; CAS CORP IPCC</t>
  </si>
  <si>
    <t>INTERPUBLIC GROUP OF COS IPG</t>
  </si>
  <si>
    <t>IPG PHOTONICS CORP IPGP</t>
  </si>
  <si>
    <t>INPHI CORP IPHI</t>
  </si>
  <si>
    <t>INNOPHOS HOLDINGS INC IPHS</t>
  </si>
  <si>
    <t>IMPAX LABORATORIES INC IPXL</t>
  </si>
  <si>
    <t>INGERSOLL-RAND PLC IR</t>
  </si>
  <si>
    <t>IROBOT CORP IRBT</t>
  </si>
  <si>
    <t>IRIDIUM COMMUNICATIONS IRDM</t>
  </si>
  <si>
    <t>INVESTORS REAL ESTATE TR IRET</t>
  </si>
  <si>
    <t>IRON MOUNTAIN INC IRM</t>
  </si>
  <si>
    <t>INDEPENDENCE RLTY TRUST IRT</t>
  </si>
  <si>
    <t>IRHYTHM TECHNOLOGIES INC IRTC</t>
  </si>
  <si>
    <t>IRONWOOD PHARMACEUTICALS IRWD</t>
  </si>
  <si>
    <t>INVESTORS BANCORP INC ISBC</t>
  </si>
  <si>
    <t>INTERNATIONAL SPEEDWAY ISCA</t>
  </si>
  <si>
    <t>INTUITIVE SURGICAL INC ISRG</t>
  </si>
  <si>
    <t>ISRAMCO INC ISRL</t>
  </si>
  <si>
    <t>GARTNER INC IT</t>
  </si>
  <si>
    <t>INTRA CELLULAR THERAPIES ITCI</t>
  </si>
  <si>
    <t>INVESTMENT TECHNOLOGY ITG</t>
  </si>
  <si>
    <t>INTEGER HOLDINGS CORP ITGR</t>
  </si>
  <si>
    <t>INVESTORS TITLE CO ITIC</t>
  </si>
  <si>
    <t>ITRON INC ITRI</t>
  </si>
  <si>
    <t>ITT INC ITT</t>
  </si>
  <si>
    <t>ILLINOIS TOOL WORKS INC ITW</t>
  </si>
  <si>
    <t>INVACARE CORP IVC</t>
  </si>
  <si>
    <t>INVESCO MORTGAGE CAP IVR</t>
  </si>
  <si>
    <t>INVESCO LTD IVZ</t>
  </si>
  <si>
    <t>IXYS CORP IXYS</t>
  </si>
  <si>
    <t>JACK IN THE BOX INC JACK</t>
  </si>
  <si>
    <t>JAGGED PEAK ENERGY INC JAG</t>
  </si>
  <si>
    <t>J ALEXANDERS HOLDINGS JAX</t>
  </si>
  <si>
    <t>JB HUNT TRANS SVCS INC JBHT</t>
  </si>
  <si>
    <t>JABIL INC JBL</t>
  </si>
  <si>
    <t>JETBLUE AIRWAYS CORP JBLU</t>
  </si>
  <si>
    <t>SANFILIPPO JOHN B &amp; SON JBSS</t>
  </si>
  <si>
    <t>JOHN BEAN TECH CORP JBT</t>
  </si>
  <si>
    <t>JOHNSON CONTROLS INTNL JCI</t>
  </si>
  <si>
    <t>J2 GLOBAL INC JCOM</t>
  </si>
  <si>
    <t>PENNEY J C INC JCP</t>
  </si>
  <si>
    <t>JACOBS ENGINEERING GRP JEC</t>
  </si>
  <si>
    <t>JELD-WEN HOLDING INC JELD</t>
  </si>
  <si>
    <t>J &amp; J SNACK FOODS CO JJSF</t>
  </si>
  <si>
    <t>HENRY JACK &amp; ASSOCIATES JKHY</t>
  </si>
  <si>
    <t>JONES LANG LASALLE INC JLL</t>
  </si>
  <si>
    <t>JOUNCE THERAPEUTICS INC JNCE</t>
  </si>
  <si>
    <t>JOHNSON &amp; JOHNSON JNJ</t>
  </si>
  <si>
    <t>JUNIPER NETWORKS INC JNPR</t>
  </si>
  <si>
    <t>ST JOE CO JOE</t>
  </si>
  <si>
    <t>JONES ENERGY INC JONE</t>
  </si>
  <si>
    <t>JOHNSON OUTDOORS INC JOUT</t>
  </si>
  <si>
    <t>JPMORGAN CHASE &amp; CO JPM</t>
  </si>
  <si>
    <t>JAMES RIVER GROUP HLDG JRVR</t>
  </si>
  <si>
    <t>JUNO THERAPEUTICS INC JUNO</t>
  </si>
  <si>
    <t>WILEY JOHN &amp; SONS INC JW.A</t>
  </si>
  <si>
    <t>NORDSTROM INC JWN</t>
  </si>
  <si>
    <t>KELLOGG CO K</t>
  </si>
  <si>
    <t>KADANT INC KAI</t>
  </si>
  <si>
    <t>KAISER ALUMINUM CORP KALU</t>
  </si>
  <si>
    <t>KAMAN CORP KAMN</t>
  </si>
  <si>
    <t>KAR AUCTION SERVICES INC KAR</t>
  </si>
  <si>
    <t>KATE SPADE &amp; CO KATE</t>
  </si>
  <si>
    <t>KIMBALL INTERNATIONAL KBAL</t>
  </si>
  <si>
    <t>KB HOME KBH</t>
  </si>
  <si>
    <t>KBR INC KBR</t>
  </si>
  <si>
    <t>KCG HOLDINGS INC KCG</t>
  </si>
  <si>
    <t>KIMBALL ELECTRONICS INC KE</t>
  </si>
  <si>
    <t>KELLY SERVICES INC KELYA</t>
  </si>
  <si>
    <t>KERYX BIOPHARMACEUTICALS KERX</t>
  </si>
  <si>
    <t>KIRBY CORP KEX</t>
  </si>
  <si>
    <t>KEYCORP KEY</t>
  </si>
  <si>
    <t>KEYSIGHT TECHNOLOGIES KEYS</t>
  </si>
  <si>
    <t>KEYW HOLDING CORP KEYW</t>
  </si>
  <si>
    <t>KFORCE INC KFRC</t>
  </si>
  <si>
    <t>KORN FERRY INTERNATIONAL KFY</t>
  </si>
  <si>
    <t>THE KRAFT HEINZ COMPANY KHC</t>
  </si>
  <si>
    <t>KIMCO REALTY CORP KIM</t>
  </si>
  <si>
    <t>KIRKLANDS INC KIRK</t>
  </si>
  <si>
    <t>KITE PHARMA INC KITE</t>
  </si>
  <si>
    <t>KLA-TENCOR CORP KLAC</t>
  </si>
  <si>
    <t>KLX INC KLXI</t>
  </si>
  <si>
    <t>KIMBERLY CLARK CORP KMB</t>
  </si>
  <si>
    <t>KMG CHEMICALS INC KMG</t>
  </si>
  <si>
    <t>KINDER MORGAN INC KMI</t>
  </si>
  <si>
    <t>KEMPER CORPORATION KMPR</t>
  </si>
  <si>
    <t>KENNAMETAL INC KMT</t>
  </si>
  <si>
    <t>CARMAX INC KMX</t>
  </si>
  <si>
    <t>KNOWLES CORPORATION KN</t>
  </si>
  <si>
    <t>KINDRED HEALTHCARE INC KND</t>
  </si>
  <si>
    <t>KNOLL INC KNL</t>
  </si>
  <si>
    <t>KINSALE CAPITAL GROUP KNSL</t>
  </si>
  <si>
    <t>KNIGHT TRANSPORTATION KNX</t>
  </si>
  <si>
    <t>COCA COLA CO KO</t>
  </si>
  <si>
    <t>EASTMAN KODAK CO KODK</t>
  </si>
  <si>
    <t>KOPPERS HOLDINGS INC KOP</t>
  </si>
  <si>
    <t>KOPIN CORP KOPN</t>
  </si>
  <si>
    <t>MICHAEL KORS HLDGS LTD KORS</t>
  </si>
  <si>
    <t>KOSMOS ENERGY LTD KOS</t>
  </si>
  <si>
    <t>KARYOPHARM THERAPEUTICS KPTI</t>
  </si>
  <si>
    <t>KROGER CO KR</t>
  </si>
  <si>
    <t>KRATON CORPORATION KRA</t>
  </si>
  <si>
    <t>KILROY REALTY CORP KRC</t>
  </si>
  <si>
    <t>KITE REALTY GROUP TRUST KRG</t>
  </si>
  <si>
    <t>KEARNY FINANCIAL CORP KRNY</t>
  </si>
  <si>
    <t>KRONOS WORLDWIDE INC KRO</t>
  </si>
  <si>
    <t>KAPSTONE PAPER AND PACK KS</t>
  </si>
  <si>
    <t>KOHLS CORP KSS</t>
  </si>
  <si>
    <t>KANSAS CITY SOUTHERN KSU</t>
  </si>
  <si>
    <t>KRATOS DEFENSE &amp; SEC SOL KTOS</t>
  </si>
  <si>
    <t>K2M GROUP HLDGS INC KTWO</t>
  </si>
  <si>
    <t>KVH INDUSTRIES INC KVHI</t>
  </si>
  <si>
    <t>KENNEDY-WILSON HLDGS INC KW</t>
  </si>
  <si>
    <t>QUAKER CHEMICAL CORP KWR</t>
  </si>
  <si>
    <t>LOEWS CORP L</t>
  </si>
  <si>
    <t>MULTI COLOR CORP LABL</t>
  </si>
  <si>
    <t>LITHIA MOTORS INC LAD</t>
  </si>
  <si>
    <t>LADDER CAPITAL CORP LADR</t>
  </si>
  <si>
    <t>LAMAR ADVERTISING CO LAMR</t>
  </si>
  <si>
    <t>LANCASTER COLONY CORP LANC</t>
  </si>
  <si>
    <t>LAUREATE EDUCATION INC LAUR</t>
  </si>
  <si>
    <t>LAWSON PRODUCTS INC LAWS</t>
  </si>
  <si>
    <t>LAYNE CHRISTENSEN CO LAYN</t>
  </si>
  <si>
    <t>LAZARD LTD LAZ</t>
  </si>
  <si>
    <t>L BRANDS INC LB</t>
  </si>
  <si>
    <t>LAKELAND BANCORP INC LBAI</t>
  </si>
  <si>
    <t>LIBERTY BROADBAND CL A LBRDA</t>
  </si>
  <si>
    <t>LIBERTY BROADBAND CL C LBRDK</t>
  </si>
  <si>
    <t>LIBBEY INC LBY</t>
  </si>
  <si>
    <t>LENDINGCLUB CORPORATION LC</t>
  </si>
  <si>
    <t>LANNETT CO INC LCI</t>
  </si>
  <si>
    <t>LCI INDUSTRIES LCII</t>
  </si>
  <si>
    <t>LCNB CORP LCNB</t>
  </si>
  <si>
    <t>LIFETIME BRANDS INC LCUT</t>
  </si>
  <si>
    <t>LYDALL INC LDL</t>
  </si>
  <si>
    <t>LEIDOS HOLDINGS INC LDOS</t>
  </si>
  <si>
    <t>LANDAUER INC LDR</t>
  </si>
  <si>
    <t>LANDS END INC LE</t>
  </si>
  <si>
    <t>LEAR CORP LEA</t>
  </si>
  <si>
    <t>LINCOLN ELECTRIC HLDGS LECO</t>
  </si>
  <si>
    <t>LEGGETT &amp; PLATT INC LEG</t>
  </si>
  <si>
    <t>LENNAR CORP CL A LEN</t>
  </si>
  <si>
    <t>LENNAR CORP CL B LEN.B</t>
  </si>
  <si>
    <t>LIBERTY EXPEDIA HOLDINGS LEXEA</t>
  </si>
  <si>
    <t>LITTELFUSE INC LFUS</t>
  </si>
  <si>
    <t>LIONS GATE ENT CLASS A LGF.A</t>
  </si>
  <si>
    <t>LIONS GATE ENT CLASS B LGF.B</t>
  </si>
  <si>
    <t>LGI HOMES INC LGIH</t>
  </si>
  <si>
    <t>LIGAND PHARMACEUTICALS LGND</t>
  </si>
  <si>
    <t>LABORATORY CORP OF AMER LH</t>
  </si>
  <si>
    <t>LHC GROUP INC LHCG</t>
  </si>
  <si>
    <t>LASALLE HOTEL PROPERTIES LHO</t>
  </si>
  <si>
    <t>LENNOX INTERNATIONAL INC LII</t>
  </si>
  <si>
    <t>LINDBLAD EXPEDITIONS INC LIND</t>
  </si>
  <si>
    <t>FIDELITY SOUTHERN CORP LION</t>
  </si>
  <si>
    <t>LUMENTUM HOLDINGS INC LITE</t>
  </si>
  <si>
    <t>LA JOLLA PHARMACEUTICAL LJPC</t>
  </si>
  <si>
    <t>LAKELAND FINANCIAL CORP LKFN</t>
  </si>
  <si>
    <t>LKQ CORP LKQ</t>
  </si>
  <si>
    <t>LSC COMMUNICATIONS LKSD</t>
  </si>
  <si>
    <t>LUMBER LIQUIDATORS HLDGS LL</t>
  </si>
  <si>
    <t>L3 TECHNOLOGIES LLL</t>
  </si>
  <si>
    <t>LIMELIGHT NETWORKS INC LLNW</t>
  </si>
  <si>
    <t>LILLY ELI &amp; CO LLY</t>
  </si>
  <si>
    <t>LEGG MASON INC LM</t>
  </si>
  <si>
    <t>LEMAITRE VASCULAR INC LMAT</t>
  </si>
  <si>
    <t>LIMONEIRA CO LMNR</t>
  </si>
  <si>
    <t>LUMINEX CORP LMNX</t>
  </si>
  <si>
    <t>LUMOS NETWORKS CORP LMOS</t>
  </si>
  <si>
    <t>LOCKHEED MARTIN CORP LMT</t>
  </si>
  <si>
    <t>LINCOLN NATIONAL CORP LNC</t>
  </si>
  <si>
    <t>SNYDER'S-LANCE INC LNCE</t>
  </si>
  <si>
    <t>LANDEC CORP LNDC</t>
  </si>
  <si>
    <t>CHENIERE ENERGY INC LNG</t>
  </si>
  <si>
    <t>LINDSAY CORP LNN</t>
  </si>
  <si>
    <t>ALLIANT ENERGY CORP LNT</t>
  </si>
  <si>
    <t>LIVE OAK BANCSHARES INC LOB</t>
  </si>
  <si>
    <t>EL POLLO LOCO HLDGS INC LOCO</t>
  </si>
  <si>
    <t>LOGMEIN INC LOGM</t>
  </si>
  <si>
    <t>GRAND CANYON EDUCATION LOPE</t>
  </si>
  <si>
    <t>LORAL SPACE &amp; COMM LORL</t>
  </si>
  <si>
    <t>LOWES COS INC LOW</t>
  </si>
  <si>
    <t>LOXO ONCOLOGY INC LOXO</t>
  </si>
  <si>
    <t>DORIAN LPG LTD LPG</t>
  </si>
  <si>
    <t>LAREDO PETROLEUM INC LPI</t>
  </si>
  <si>
    <t>LPL FINANCIAL HOLDINGS LPLA</t>
  </si>
  <si>
    <t>LIFEPOINT HEALTH INC LPNT</t>
  </si>
  <si>
    <t>LIVEPERSON INC LPSN</t>
  </si>
  <si>
    <t>LIBERTY PROPERTY TRUST LPT</t>
  </si>
  <si>
    <t>LOUISIANA PACIFIC CORP LPX</t>
  </si>
  <si>
    <t>LA QUINTA HLDGS INC LQ</t>
  </si>
  <si>
    <t>LIQUIDITY SERVICES INC LQDT</t>
  </si>
  <si>
    <t>LAM RESEARCH CORP LRCX</t>
  </si>
  <si>
    <t>K12 INC LRN</t>
  </si>
  <si>
    <t>LATTICE SEMICONDUCTOR LSCC</t>
  </si>
  <si>
    <t>LIFE STORAGE INC LSI</t>
  </si>
  <si>
    <t>LANDSTAR SYSTEMS INC LSTR</t>
  </si>
  <si>
    <t>LIBERTY SIRIUSXM SER A LSXMA</t>
  </si>
  <si>
    <t>LIBERTY SIRIUSXM SER C LSXMK</t>
  </si>
  <si>
    <t>LTC PROPERTIES INC LTC</t>
  </si>
  <si>
    <t>LIBERTY TRIPADVISOR HLDG LTRPA</t>
  </si>
  <si>
    <t>LADENBURG THALMAN FIN LTS</t>
  </si>
  <si>
    <t>LEGACYTEXAS FIN GROUP LTXB</t>
  </si>
  <si>
    <t>LEUCADIA NATIONAL CORP LUK</t>
  </si>
  <si>
    <t>LULULEMON ATHLETICA INC LULU</t>
  </si>
  <si>
    <t>SOUTHWEST AIRLINES CO LUV</t>
  </si>
  <si>
    <t>LEVEL 3 COMMUNICATIONS LVLT</t>
  </si>
  <si>
    <t>LIBERTY VENTURES LVNTA</t>
  </si>
  <si>
    <t>LAS VEGAS SANDS CORP LVS</t>
  </si>
  <si>
    <t>LAMB WESTON HOLDINGS LW</t>
  </si>
  <si>
    <t>LIFEWAY FOODS INC LWAY</t>
  </si>
  <si>
    <t>LEXINGTON REALTY TRUST LXP</t>
  </si>
  <si>
    <t>LEXICON PHARMACEUTICALS LXRX</t>
  </si>
  <si>
    <t>LSB INDUSTRIES INC LXU</t>
  </si>
  <si>
    <t>LYONDELLBASELL INDS LYB</t>
  </si>
  <si>
    <t>LSI INDUSTRIES INC LYTS</t>
  </si>
  <si>
    <t>LIVE NATION ENT INC LYV</t>
  </si>
  <si>
    <t>LA Z BOY INC LZB</t>
  </si>
  <si>
    <t>MACYS INC M</t>
  </si>
  <si>
    <t>MASTERCARD INC MA</t>
  </si>
  <si>
    <t>MID-AMER APT CMNTYS MAA</t>
  </si>
  <si>
    <t>MACERICH CO MAC</t>
  </si>
  <si>
    <t>MERRIMACK PHARMACEUTICAL MACK</t>
  </si>
  <si>
    <t>MANPOWERGROUP MAN</t>
  </si>
  <si>
    <t>MANHATTAN ASSOCS INC MANH</t>
  </si>
  <si>
    <t>MANTECH INTERNATIONAL MANT</t>
  </si>
  <si>
    <t>MARRIOTT INTL INC MAR</t>
  </si>
  <si>
    <t>MASCO CORP MAS</t>
  </si>
  <si>
    <t>MASIMO CORPORATION MASI</t>
  </si>
  <si>
    <t>MATTEL INC MAT</t>
  </si>
  <si>
    <t>MATTHEWS INTERNATIONAL MATW</t>
  </si>
  <si>
    <t>MATSON INC MATX</t>
  </si>
  <si>
    <t>MINDBODY INC MB</t>
  </si>
  <si>
    <t>MB FINANCIAL INC MBFI</t>
  </si>
  <si>
    <t>MBIA INC MBI</t>
  </si>
  <si>
    <t>MBT FINL CORP MBTF</t>
  </si>
  <si>
    <t>MALIBU BOATS INC MBUU</t>
  </si>
  <si>
    <t>MERCANTILE BANK CORP MBWM</t>
  </si>
  <si>
    <t>MOELIS &amp; CO MC</t>
  </si>
  <si>
    <t>MACATAWA BANK CORP MCBC</t>
  </si>
  <si>
    <t>MCDONALDS CORP MCD</t>
  </si>
  <si>
    <t>CONTANGO OIL &amp; GAS CO MCF</t>
  </si>
  <si>
    <t>MCBC HOLDINGS INC MCFT</t>
  </si>
  <si>
    <t>MICROCHIP TECHNOLOGY MCHP</t>
  </si>
  <si>
    <t>MCKESSON CORP MCK</t>
  </si>
  <si>
    <t>MOODYS CORP MCO</t>
  </si>
  <si>
    <t>SERES THERAPEUTICS INC MCRB</t>
  </si>
  <si>
    <t>MONARCH CASINO &amp; RESORT MCRI</t>
  </si>
  <si>
    <t>MILACRON HOLDINGS CORP MCRN</t>
  </si>
  <si>
    <t>MARCUS CORP MCS</t>
  </si>
  <si>
    <t>MERCURY GENERAL CORP MCY</t>
  </si>
  <si>
    <t>MEDNAX INC MD</t>
  </si>
  <si>
    <t>MDC HOLDINGS INC MDC</t>
  </si>
  <si>
    <t>MDC CORP MDCA</t>
  </si>
  <si>
    <t>MEDICINES CO MDCO</t>
  </si>
  <si>
    <t>MEDLEY MANAGEMENT INC MDLY</t>
  </si>
  <si>
    <t>MONDELEZ INTERNATIONAL MDLZ</t>
  </si>
  <si>
    <t>MEREDITH CORP MDP</t>
  </si>
  <si>
    <t>MCDERMOTT INTL INC MDR</t>
  </si>
  <si>
    <t>ALLSCRIPTS HEALTHCARE MDRX</t>
  </si>
  <si>
    <t>MEDIDATA SOLUTIONS INC MDSO</t>
  </si>
  <si>
    <t>MEDTRONIC PLC MDT</t>
  </si>
  <si>
    <t>MDU RESOURCES GROUP INC MDU</t>
  </si>
  <si>
    <t>MIMEDX GROUP INC MDXG</t>
  </si>
  <si>
    <t>MEDIFAST INC MED</t>
  </si>
  <si>
    <t>MEDPACE HOLDINGS INC MEDP</t>
  </si>
  <si>
    <t>THE MEET GROUP MEET</t>
  </si>
  <si>
    <t>METHODE ELECTRS INC MEI</t>
  </si>
  <si>
    <t>METLIFE INC MET</t>
  </si>
  <si>
    <t>RAMACO RESOURCES INC METC</t>
  </si>
  <si>
    <t>MFA FINANCIAL INC MFA</t>
  </si>
  <si>
    <t>MUTUALFIRST FINL INC MFSF</t>
  </si>
  <si>
    <t>MISTRAS GROUP INC MG</t>
  </si>
  <si>
    <t>MGE ENERGY INC MGEE</t>
  </si>
  <si>
    <t>MONEYGRAM INTERNATIONAL MGI</t>
  </si>
  <si>
    <t>MAGELLAN HEALTH INC MGLN</t>
  </si>
  <si>
    <t>MGM RESORTS INTL MGM</t>
  </si>
  <si>
    <t>MACROGENICS INC MGNX</t>
  </si>
  <si>
    <t>MGP INGREDIENTS INC MGPI</t>
  </si>
  <si>
    <t>MCGRATH RENTCORP MGRC</t>
  </si>
  <si>
    <t>MOHAWK INDUSTRIES INC MHK</t>
  </si>
  <si>
    <t>MAIDEN HOLDINGS LTD MHLD</t>
  </si>
  <si>
    <t>M/I HOMES INC MHO</t>
  </si>
  <si>
    <t>MACQUARIE INFRASTRUCTURE MIC</t>
  </si>
  <si>
    <t>MIDDLEBY CORP MIDD</t>
  </si>
  <si>
    <t>MICHAELS COS INC/THE MIK</t>
  </si>
  <si>
    <t>MOBILE MINI INC MINI</t>
  </si>
  <si>
    <t>MITEK SYS INC MITK</t>
  </si>
  <si>
    <t>AG MORTGAGE INVT TR INC MITT</t>
  </si>
  <si>
    <t>MAJESCO MJCO</t>
  </si>
  <si>
    <t>MCCORMICK &amp; CO INC MKC</t>
  </si>
  <si>
    <t>MARKEL CORP MKL</t>
  </si>
  <si>
    <t>MKS INSTRUMENTS INC MKSI</t>
  </si>
  <si>
    <t>MARKETAXESS HOLDINGS INC MKTX</t>
  </si>
  <si>
    <t>MESA LABS INC MLAB</t>
  </si>
  <si>
    <t>HERMAN MILLER INC MLHR</t>
  </si>
  <si>
    <t>MUELLER INDUSTRIES INC MLI</t>
  </si>
  <si>
    <t>MARTIN MARIETTA MTLS MLM</t>
  </si>
  <si>
    <t>MILLER INDUSTRIES INC MLR</t>
  </si>
  <si>
    <t>MARSH &amp; MCLENNAN COS MMC</t>
  </si>
  <si>
    <t>MARCUS &amp; MILLICHAP MMI</t>
  </si>
  <si>
    <t>3M CO MMM</t>
  </si>
  <si>
    <t>MAXIMUS INC MMS</t>
  </si>
  <si>
    <t>MERIT MED SYSTEMS INC MMSI</t>
  </si>
  <si>
    <t>MALLINCKRODT PLC MNK</t>
  </si>
  <si>
    <t>MEDICINOVA INC MNOV</t>
  </si>
  <si>
    <t>MONMOUTH REAL ESTATE MNR</t>
  </si>
  <si>
    <t>MONRO MUFFLER BRAKE INC MNRO</t>
  </si>
  <si>
    <t>MONSTER BEVERAGE CORP MNST</t>
  </si>
  <si>
    <t>MOMENTA PHARMACEUTICALS MNTA</t>
  </si>
  <si>
    <t>ALTRIA GROUP INC MO</t>
  </si>
  <si>
    <t>MOBILEIRON INC MOBL</t>
  </si>
  <si>
    <t>MODINE MANUFACTURING CO MOD</t>
  </si>
  <si>
    <t>MODEL N INC MODN</t>
  </si>
  <si>
    <t>MIDWESTONE FINL GROUP MOFG</t>
  </si>
  <si>
    <t>MOOG INC MOG.A</t>
  </si>
  <si>
    <t>MOLINA HEALTHCARE INC MOH</t>
  </si>
  <si>
    <t>MONSANTO CO MON</t>
  </si>
  <si>
    <t>MONOGRAM RESIDENTIAL TR MORE</t>
  </si>
  <si>
    <t>MORNINGSTAR INC MORN</t>
  </si>
  <si>
    <t>MOSAIC COMPANY MOS</t>
  </si>
  <si>
    <t>MOVADO GROUP INC MOV</t>
  </si>
  <si>
    <t>MOTORCAR PTS AMERICA INC MPAA</t>
  </si>
  <si>
    <t>MARATHON PETROLEUM CORP MPC</t>
  </si>
  <si>
    <t>MEDICAL PROPERTIES TRUST MPW</t>
  </si>
  <si>
    <t>MONOLITHIC POWER SYSTEMS MPWR</t>
  </si>
  <si>
    <t>MARINE PRODUCTS CORP MPX</t>
  </si>
  <si>
    <t>MRC GLOBAL INC MRC</t>
  </si>
  <si>
    <t>MERCURY SYSTEMS INC MRCY</t>
  </si>
  <si>
    <t>MERCK &amp; CO INC MRK</t>
  </si>
  <si>
    <t>MARLIN BUSINESS SVCS MRLN</t>
  </si>
  <si>
    <t>MARATHON OIL CORP MRO</t>
  </si>
  <si>
    <t>MEDEQUITIES REALTY TRUST MRT</t>
  </si>
  <si>
    <t>MARTEN TRANS LTD MRTN</t>
  </si>
  <si>
    <t>MARVELL TECHNOLOGY GROUP MRVL</t>
  </si>
  <si>
    <t>MORGAN STANLEY MS</t>
  </si>
  <si>
    <t>MSA SAFETY INC MSA</t>
  </si>
  <si>
    <t>MIDLAND STATES BANCORP MSBI</t>
  </si>
  <si>
    <t>MICROSEMI CORP MSCC</t>
  </si>
  <si>
    <t>MSCI INC MSCI</t>
  </si>
  <si>
    <t>MIDDLESEX WATER CO MSEX</t>
  </si>
  <si>
    <t>MAINSOURCE FINANCIAL GRP MSFG</t>
  </si>
  <si>
    <t>MICROSOFT CORP MSFT</t>
  </si>
  <si>
    <t>MADISON SQUARE GARDEN CO MSG</t>
  </si>
  <si>
    <t>MSG NETWORKS INC MSGN</t>
  </si>
  <si>
    <t>MOTOROLA SOLUTIONS INC MSI</t>
  </si>
  <si>
    <t>MSC INDL DIRECT INC MSM</t>
  </si>
  <si>
    <t>MICROSTRATEGY INC MSTR</t>
  </si>
  <si>
    <t>M &amp; T BANK CORP MTB</t>
  </si>
  <si>
    <t>MATCH GROUP INC MTCH</t>
  </si>
  <si>
    <t>METTLER TOLEDO INTL INC MTD</t>
  </si>
  <si>
    <t>MATADOR RES CO MTDR</t>
  </si>
  <si>
    <t>MGIC INVESTMENT CORP MTG</t>
  </si>
  <si>
    <t>MTGE INVESTMENT CORP MTGE</t>
  </si>
  <si>
    <t>MERITAGE HOMES CORP MTH</t>
  </si>
  <si>
    <t>VAIL RESORTS INC MTN</t>
  </si>
  <si>
    <t>MERITOR INC MTOR</t>
  </si>
  <si>
    <t>MATERION CORPORATION MTRN</t>
  </si>
  <si>
    <t>MATRIX SERVICE CO MTRX</t>
  </si>
  <si>
    <t>MTS SYSTEMS CORP MTSC</t>
  </si>
  <si>
    <t>MACOM TECH SOLUTIONS MTSI</t>
  </si>
  <si>
    <t>MANITOWOC CO INC MTW</t>
  </si>
  <si>
    <t>MINERALS TECHNOLOGIES MTX</t>
  </si>
  <si>
    <t>MASTEC INC MTZ</t>
  </si>
  <si>
    <t>MICRON TECHNOLOGY INC MU</t>
  </si>
  <si>
    <t>MURPHY OIL CORP MUR</t>
  </si>
  <si>
    <t>MURPHY USA INC MUSA</t>
  </si>
  <si>
    <t>MUELLER WTR PRODS INC MWA</t>
  </si>
  <si>
    <t>MAXIM INTEGRATED PRODS MXIM</t>
  </si>
  <si>
    <t>MAXLINEAR INC MXL</t>
  </si>
  <si>
    <t>MAXWELL TECHNOLOGIES INC MXWL</t>
  </si>
  <si>
    <t>CLUBCORP HOLDINGS MYCC</t>
  </si>
  <si>
    <t>MYERS INDUSTRIES INC MYE</t>
  </si>
  <si>
    <t>MYRIAD GENETICS INC MYGN</t>
  </si>
  <si>
    <t>MYLAN NV MYL</t>
  </si>
  <si>
    <t>MYOKARDIA INC MYOK</t>
  </si>
  <si>
    <t>MYR GROUP INC MYRG</t>
  </si>
  <si>
    <t>RIGHTSIDE GROUP LTD NAME</t>
  </si>
  <si>
    <t>NANOMETRICS INC NANO</t>
  </si>
  <si>
    <t>NORDIC AMERICAN TANKER NAT</t>
  </si>
  <si>
    <t>NATHANS FAMOUS INC NATH</t>
  </si>
  <si>
    <t>NATIONAL INSTRS CORP NATI</t>
  </si>
  <si>
    <t>NATURES SUNSHINE PRODS NATR</t>
  </si>
  <si>
    <t>NAVISTAR INTL CORP NAV</t>
  </si>
  <si>
    <t>NAVIGATORS GROUP INC NAVG</t>
  </si>
  <si>
    <t>NAVIENT CORPORATION NAVI</t>
  </si>
  <si>
    <t>NATIONAL BANK HOLDINGS NBHC</t>
  </si>
  <si>
    <t>NEUROCRINE BIOSCIENCES NBIX</t>
  </si>
  <si>
    <t>NOBLE ENERGY INC NBL</t>
  </si>
  <si>
    <t>NABORS INDUSTRIES LTD NBR</t>
  </si>
  <si>
    <t>NBT BANCORP INC NBTB</t>
  </si>
  <si>
    <t>NACCO INDUSTRIES INC NC</t>
  </si>
  <si>
    <t>NICOLET BANKSHARES INC NCBS</t>
  </si>
  <si>
    <t>NAVIGANT CONSULTING INC NCI</t>
  </si>
  <si>
    <t>NCI INC NCIT</t>
  </si>
  <si>
    <t>NORWEGIAN CRUISE LINE NCLH</t>
  </si>
  <si>
    <t>NATIONAL CINEMEDIA INC NCMI</t>
  </si>
  <si>
    <t>NATIONAL COMM CORP NCOM</t>
  </si>
  <si>
    <t>NCR CORP NCR</t>
  </si>
  <si>
    <t>NCI BUILDING SYSTEMS INC NCS</t>
  </si>
  <si>
    <t>NASDAQ INC NDAQ</t>
  </si>
  <si>
    <t>NOODLES &amp; COMPANY NDLS</t>
  </si>
  <si>
    <t>NORDSON CORP NDSN</t>
  </si>
  <si>
    <t>NOBLE CORPORATION PLC NE</t>
  </si>
  <si>
    <t>NEXTERA ENERGY INC NEE</t>
  </si>
  <si>
    <t>NEFF CORP NEFF</t>
  </si>
  <si>
    <t>NEWMONT MINING CORP NEM</t>
  </si>
  <si>
    <t>NEOGENOMICS INC NEO</t>
  </si>
  <si>
    <t>NEOGEN CORP NEOG</t>
  </si>
  <si>
    <t>NEOS THERAPEUTICS INC NEOS</t>
  </si>
  <si>
    <t>MINERVA NEUROSCIENCES NERV</t>
  </si>
  <si>
    <t>NEWMARKET CORPORATION NEU</t>
  </si>
  <si>
    <t>NEW MEDIA INVT GROUP INC NEWM</t>
  </si>
  <si>
    <t>NEW RELIC INC NEWR</t>
  </si>
  <si>
    <t>NEWSTAR FINANCIAL INC NEWS</t>
  </si>
  <si>
    <t>NORTHFIELD BANCORP INC NFBK</t>
  </si>
  <si>
    <t>NATIONAL FUEL GAS CO NFG</t>
  </si>
  <si>
    <t>NETFLIX INC NFLX</t>
  </si>
  <si>
    <t>NEWFIELD EXPLORATION CO NFX</t>
  </si>
  <si>
    <t>NATIONAL GEN HLDGS CORP NGHC</t>
  </si>
  <si>
    <t>NATURAL GAS SERVICES GRP NGS</t>
  </si>
  <si>
    <t>NATURAL GROCERS VITA CTG NGVC</t>
  </si>
  <si>
    <t>INGEVITY CORPORATION NGVT</t>
  </si>
  <si>
    <t>NANTHEALTH INC NH</t>
  </si>
  <si>
    <t>NATIONAL HEALTHCARE CORP NHC</t>
  </si>
  <si>
    <t>NATIONAL HEALTH INVS INC NHI</t>
  </si>
  <si>
    <t>NATURAL HEALTH TRENDS CO NHTC</t>
  </si>
  <si>
    <t>NISOURCE INC NI</t>
  </si>
  <si>
    <t>NEW JERSEY RESOURCES NJR</t>
  </si>
  <si>
    <t>NANTKWEST INC NK</t>
  </si>
  <si>
    <t>NIKE INC NKE</t>
  </si>
  <si>
    <t>NATIONAL BANKSHARES INC NKSH</t>
  </si>
  <si>
    <t>NEKTAR THERAPEUTICS NKTR</t>
  </si>
  <si>
    <t>NL INDUSTRIES INC NL</t>
  </si>
  <si>
    <t>NEWLINK GENETICS CORP NLNK</t>
  </si>
  <si>
    <t>NAUTILUS INC NLS</t>
  </si>
  <si>
    <t>NIELSEN HOLDINGS PLC NLSN</t>
  </si>
  <si>
    <t>ANNALY CAPITAL MGMT INC NLY</t>
  </si>
  <si>
    <t>NMI HLDGS INC NMIH</t>
  </si>
  <si>
    <t>NAVIOS MARITIME ACQUIS NNA</t>
  </si>
  <si>
    <t>NN INC NNBR</t>
  </si>
  <si>
    <t>NELNET INC NNI</t>
  </si>
  <si>
    <t>NATIONAL RETAIL PPTYS NNN</t>
  </si>
  <si>
    <t>NORTHROP GRUMMAN CORP NOC</t>
  </si>
  <si>
    <t>NATIONAL OILWELL VARCO NOV</t>
  </si>
  <si>
    <t>NOVANTA INC NOVT</t>
  </si>
  <si>
    <t>SERVICENOW INC NOW</t>
  </si>
  <si>
    <t>NEENAH PAPER INC NP</t>
  </si>
  <si>
    <t>NATIONAL PRESTO INDS INC NPK</t>
  </si>
  <si>
    <t>ENPRO INDUSTRIES INC NPO</t>
  </si>
  <si>
    <t>NEOPHOTONICS CORP NPTN</t>
  </si>
  <si>
    <t>NEWPARK RESOURCES INC NR</t>
  </si>
  <si>
    <t>NATIONAL RESEARCH CORP NRCIA</t>
  </si>
  <si>
    <t>NORTHSTAR REALTY EUROPE NRE</t>
  </si>
  <si>
    <t>NRG ENERGY INC NRG</t>
  </si>
  <si>
    <t>NORTHRIM BANCORP INC NRIM</t>
  </si>
  <si>
    <t>NEW RESIDENTIAL INVT NRZ</t>
  </si>
  <si>
    <t>NATIONAL STORAGE AFFIL NSA</t>
  </si>
  <si>
    <t>NORFOLK SOUTHERN CORP NSC</t>
  </si>
  <si>
    <t>INSIGHT ENTERPRISES INC NSIT</t>
  </si>
  <si>
    <t>NATIONSTAR MTG HLDGS INC NSM</t>
  </si>
  <si>
    <t>INSPERITY INC NSP</t>
  </si>
  <si>
    <t>NEUSTAR INC NSR</t>
  </si>
  <si>
    <t>NANOSTRING TECH INC NSTG</t>
  </si>
  <si>
    <t>NETAPP INC NTAP</t>
  </si>
  <si>
    <t>NETSCOUT SYSTEMS INC NTCT</t>
  </si>
  <si>
    <t>NETGEAR INC NTGR</t>
  </si>
  <si>
    <t>INTELLA THERAPEUTICS INC NTLA</t>
  </si>
  <si>
    <t>NUTANIX INC NTNX</t>
  </si>
  <si>
    <t>NATERA INC NTRA</t>
  </si>
  <si>
    <t>NUTRI SYSTEM INC NTRI</t>
  </si>
  <si>
    <t>NORTHERN TRUST CORP NTRS</t>
  </si>
  <si>
    <t>NUANCE COMMUNICATIONS NUAN</t>
  </si>
  <si>
    <t>NUCOR CORP NUE</t>
  </si>
  <si>
    <t>NU SKIN ENTERPRISES NUS</t>
  </si>
  <si>
    <t>NUTRACEUTICAL INTL CORP NUTR</t>
  </si>
  <si>
    <t>NUVASIVE INC NUVA</t>
  </si>
  <si>
    <t>NOVAVAX INC NVAX</t>
  </si>
  <si>
    <t>NOVOCURE LTD NVCR</t>
  </si>
  <si>
    <t>NVIDIA CORP NVDA</t>
  </si>
  <si>
    <t>NVE CORP NVEC</t>
  </si>
  <si>
    <t>NV5 GLOBAL INC NVEE</t>
  </si>
  <si>
    <t>NVR INC NVR</t>
  </si>
  <si>
    <t>NEVRO CORP NVRO</t>
  </si>
  <si>
    <t>INVITAE CORPORATION NVTA</t>
  </si>
  <si>
    <t>NORTHWEST BANCSHARES INC NWBI</t>
  </si>
  <si>
    <t>NORTHWESTERN CORP NWE</t>
  </si>
  <si>
    <t>NEW HOME COMPANY INC NWHM</t>
  </si>
  <si>
    <t>NEWELL BRANDS INC NWL</t>
  </si>
  <si>
    <t>NATIONAL WESTERN LIFE NWLI</t>
  </si>
  <si>
    <t>NORTHWEST NATURAL GAS CO NWN</t>
  </si>
  <si>
    <t>NEWS CORP CL B NWS</t>
  </si>
  <si>
    <t>NEWS CORP CL A NWSA</t>
  </si>
  <si>
    <t>QUANEX BUILDING PRODUCTS NX</t>
  </si>
  <si>
    <t>NEXPOINT RESIDENTIAL TR NXRT</t>
  </si>
  <si>
    <t>NEXSTAR MEDIA GROUP INC NXST</t>
  </si>
  <si>
    <t>NXSTAGE MEDICAL INC NXTM</t>
  </si>
  <si>
    <t>NEW YORK CMNTY BANCORP NYCB</t>
  </si>
  <si>
    <t>NRG YIELD INC CL C NYLD</t>
  </si>
  <si>
    <t>NEW YORK MTG TR INC NYMT</t>
  </si>
  <si>
    <t>EMPIRE RESORTS INC NYNY</t>
  </si>
  <si>
    <t>NEW YORK TIMES CO NYT</t>
  </si>
  <si>
    <t>REALTY INCOME CORP O</t>
  </si>
  <si>
    <t>ORBITAL ATK INC OA</t>
  </si>
  <si>
    <t>OASIS PETE INC OAS</t>
  </si>
  <si>
    <t>ONEBEACON INSURANCE GRP OB</t>
  </si>
  <si>
    <t>OBALON THERAPEUTICS INC OBLN</t>
  </si>
  <si>
    <t>OWENS CORNING OC</t>
  </si>
  <si>
    <t>OCEANFIRST FINANCIAL OCFC</t>
  </si>
  <si>
    <t>OCLARO INC OCLR</t>
  </si>
  <si>
    <t>OCWEN FINANCIAL CORP OCN</t>
  </si>
  <si>
    <t>OCULAR THERAPEUTIX INC OCUL</t>
  </si>
  <si>
    <t>OIL DRI CORP OF AMERICA ODC</t>
  </si>
  <si>
    <t>OLD DOMINION FREIGHT ODFL</t>
  </si>
  <si>
    <t>OFFICE DEPOT INC ODP</t>
  </si>
  <si>
    <t>CORPORATE OFFICE PPTYS OFC</t>
  </si>
  <si>
    <t>OFG BANCORP OFG</t>
  </si>
  <si>
    <t>ORTHOFIX INTL NV OFIX</t>
  </si>
  <si>
    <t>OMEGA FLEX INC OFLX</t>
  </si>
  <si>
    <t>OGE ENERGY CORP OGE</t>
  </si>
  <si>
    <t>ONE GAS INC OGS</t>
  </si>
  <si>
    <t>OMEGA HEALTHCARE INVS OHI</t>
  </si>
  <si>
    <t>OWENS ILLINOIS INC OI</t>
  </si>
  <si>
    <t>OCEANEERING INTL INC OII</t>
  </si>
  <si>
    <t>OIL STATES INTERNATIONAL OIS</t>
  </si>
  <si>
    <t>ONEOK INC OKE</t>
  </si>
  <si>
    <t>SOUTHWEST BANCORP INC OK OKSB</t>
  </si>
  <si>
    <t>OLD LINE BANCSHARES INC OLBK</t>
  </si>
  <si>
    <t>UNIVERSAL DISPLAY CORP OLED</t>
  </si>
  <si>
    <t>OLLIES BARGAIN OUTLET OLLI</t>
  </si>
  <si>
    <t>OLIN CORP OLN</t>
  </si>
  <si>
    <t>ONE LIBERTY PROPERTIES OLP</t>
  </si>
  <si>
    <t>OM ASSET MANAGEMENT OMAM</t>
  </si>
  <si>
    <t>OMNICOM GROUP INC OMC</t>
  </si>
  <si>
    <t>OMNICELL INC OMCL</t>
  </si>
  <si>
    <t>OMEGA PROTEIN CORP OME</t>
  </si>
  <si>
    <t>OMEROS CORP OMER</t>
  </si>
  <si>
    <t>ONEMAIN HOLDINGS INC OMF</t>
  </si>
  <si>
    <t>OWENS &amp; MINOR INC OMI</t>
  </si>
  <si>
    <t>OMNOVA SOLUTIONS INC OMN</t>
  </si>
  <si>
    <t>ON SEMICONDUCTOR CORP ON</t>
  </si>
  <si>
    <t>OLD NATIONAL BANCORP ONB</t>
  </si>
  <si>
    <t>SPARK THERAPEUTICS INC ONCE</t>
  </si>
  <si>
    <t>ON DECK CAPITAL INC ONDK</t>
  </si>
  <si>
    <t>ORGANOVO HLDGS INC ONVO</t>
  </si>
  <si>
    <t>OPUS BK IRVINE CALIF OPB</t>
  </si>
  <si>
    <t>OPKO HEALTH INC OPK</t>
  </si>
  <si>
    <t>OPPENHEIMER HOLDINGS INC OPY</t>
  </si>
  <si>
    <t>ORMAT TECHNOLOGIES INC ORA</t>
  </si>
  <si>
    <t>ORBCOMM INC ORBC</t>
  </si>
  <si>
    <t>ORCHID ISLAND CAPITAL ORC</t>
  </si>
  <si>
    <t>ORACLE CORP ORCL</t>
  </si>
  <si>
    <t>OLD REPUBLIC INTL CORP ORI</t>
  </si>
  <si>
    <t>ORITANI FINANCIAL CORP ORIT</t>
  </si>
  <si>
    <t>O REILLY AUTOMOTIVE INC ORLY</t>
  </si>
  <si>
    <t>OWENS RLTY MTG INC ORM</t>
  </si>
  <si>
    <t>ORION GROUP HOLDINGS ORN</t>
  </si>
  <si>
    <t>ORRSTOWN FINL SVCS INC ORRF</t>
  </si>
  <si>
    <t>OLD SECOND BANCORP INC OSBC</t>
  </si>
  <si>
    <t>OVERSEAS SHIPHOLDING INC OSG</t>
  </si>
  <si>
    <t>OSI SYSTEMS INC OSIS</t>
  </si>
  <si>
    <t>OSHKOSH CORP OSK</t>
  </si>
  <si>
    <t>OVERSTOCK COM INC OSTK</t>
  </si>
  <si>
    <t>ORASURE TECHNOLOGIES INC OSUR</t>
  </si>
  <si>
    <t>OTONOMY INC OTIC</t>
  </si>
  <si>
    <t>OTTER TAIL CORP OTTR</t>
  </si>
  <si>
    <t>OUTFRONT MEDIA INC OUT</t>
  </si>
  <si>
    <t>OXFORD IMMUNOTEC GLOBAL OXFD</t>
  </si>
  <si>
    <t>OXFORD INDUSTRIES INC OXM</t>
  </si>
  <si>
    <t>OCCIDENTAL PETE CORP OXY</t>
  </si>
  <si>
    <t>BANK OF THE OZARKS INC OZRK</t>
  </si>
  <si>
    <t>PANDORA MEDIA INC P</t>
  </si>
  <si>
    <t>PACIFIC BIOSCIENCES CA PACB</t>
  </si>
  <si>
    <t>PACWEST BANCORP PACW</t>
  </si>
  <si>
    <t>PENSKE AUTOMOTIVE GROUP PAG</t>
  </si>
  <si>
    <t>PLATFORM SPECIALTY PRODS PAH</t>
  </si>
  <si>
    <t>PHIBRO ANIMAL HEALTH PAHC</t>
  </si>
  <si>
    <t>PALO ALTO NETWORKS INC PANW</t>
  </si>
  <si>
    <t>PAR PACIFIC HOLDINGS INC PARR</t>
  </si>
  <si>
    <t>PATRICK INDS INC PATK</t>
  </si>
  <si>
    <t>VERIFONE SYSTEMS INC PAY</t>
  </si>
  <si>
    <t>PAYCOM SOFTWARE INC PAYC</t>
  </si>
  <si>
    <t>PAYCHEX INC PAYX</t>
  </si>
  <si>
    <t>PROSPERITY BANCSHARES PB</t>
  </si>
  <si>
    <t>PEOPLES UNITED FINANCIAL PBCT</t>
  </si>
  <si>
    <t>PBF ENERGY INC PBF</t>
  </si>
  <si>
    <t>PRESTIGE BRANDS HOLDINGS PBH</t>
  </si>
  <si>
    <t>PITNEY BOWES INC PBI</t>
  </si>
  <si>
    <t>PARAGON COMMERCIAL CORP PBNC</t>
  </si>
  <si>
    <t>POTBELLY CORPORATION PBPB</t>
  </si>
  <si>
    <t>PUMA BIOTECHNOLOGY INC PBYI</t>
  </si>
  <si>
    <t>PACCAR INC PCAR</t>
  </si>
  <si>
    <t>PACIFIC CONTINENTAL CORP PCBK</t>
  </si>
  <si>
    <t>PG&amp;E CORP PCG</t>
  </si>
  <si>
    <t>POTLATCH CORP PCH</t>
  </si>
  <si>
    <t>THE PRICELINE GROUP INC PCLN</t>
  </si>
  <si>
    <t>PACIRA PHARMACEUTICALS PCRX</t>
  </si>
  <si>
    <t>PAYLOCITY HLDG CORP PCTY</t>
  </si>
  <si>
    <t>PARK CITY GROUP INC PCYG</t>
  </si>
  <si>
    <t>PDC ENERGY INC PDCE</t>
  </si>
  <si>
    <t>PATTERSON COS INC PDCO</t>
  </si>
  <si>
    <t>PDF SOLUTIONS INC PDFS</t>
  </si>
  <si>
    <t>PDL BIOPHARMA INC PDLI</t>
  </si>
  <si>
    <t>PIEDMONT OFFICE RLTY TR PDM</t>
  </si>
  <si>
    <t>PDVWIRELESS INC PDVW</t>
  </si>
  <si>
    <t>PARSLEY ENERGY INC PE</t>
  </si>
  <si>
    <t>PEBBLEBROOK HOTEL TRUST PEB</t>
  </si>
  <si>
    <t>PEOPLES BANCORP INC PEBO</t>
  </si>
  <si>
    <t>PUBLIC SVC ENTERPRISE PEG</t>
  </si>
  <si>
    <t>PEGASYSTEMS INC PEGA</t>
  </si>
  <si>
    <t>PATTERN ENERGY GROUP INC PEGI</t>
  </si>
  <si>
    <t>PENNSYLVANIA REAL ESTATE PEI</t>
  </si>
  <si>
    <t>PACIFIC ETHANOL INC PEIX</t>
  </si>
  <si>
    <t>PENUMBRA INC PEN</t>
  </si>
  <si>
    <t>PENN NATIONAL GAMING INC PENN</t>
  </si>
  <si>
    <t>PEPSICO INC PEP</t>
  </si>
  <si>
    <t>ELLIS PERRY INTL INC PERY</t>
  </si>
  <si>
    <t>PIONEER ENERGY SERVICES PES</t>
  </si>
  <si>
    <t>PETMED EXPRESS INC PETS</t>
  </si>
  <si>
    <t>ARATANA THERAPEUTICS INC PETX</t>
  </si>
  <si>
    <t>PINNACLE FOODS INC PF</t>
  </si>
  <si>
    <t>PREFERRED BANK PFBC</t>
  </si>
  <si>
    <t>PREMIER FINL BANCORP INC PFBI</t>
  </si>
  <si>
    <t>PFIZER INC PFE</t>
  </si>
  <si>
    <t>PRINCIPAL FINANCIAL GRP PFG</t>
  </si>
  <si>
    <t>PERFORMANCE FOOD GROUP PFGC</t>
  </si>
  <si>
    <t>PEOPLES FINL SVCS CORP PFIS</t>
  </si>
  <si>
    <t>PROOFPOINT INC PFPT</t>
  </si>
  <si>
    <t>PROVIDENT FINANCIAL SVCS PFS</t>
  </si>
  <si>
    <t>PENNYMAC FINL SVCS INC PFSI</t>
  </si>
  <si>
    <t>PROCTER &amp; GAMBLE CO PG</t>
  </si>
  <si>
    <t>PEAPACK-GLADSTONE FINL PGC</t>
  </si>
  <si>
    <t>PLY GEM HLDGS INC PGEM</t>
  </si>
  <si>
    <t>PROGENICS PHARMACEUTICAL PGNX</t>
  </si>
  <si>
    <t>PROGRESSIVE CORP PGR</t>
  </si>
  <si>
    <t>PARAMOUNT GROUP INC PGRE</t>
  </si>
  <si>
    <t>PGT INNOVATIONS INC PGTI</t>
  </si>
  <si>
    <t>PARKER HANNIFIN CORP PH</t>
  </si>
  <si>
    <t>PHH CORPORATION PHH</t>
  </si>
  <si>
    <t>PHI INC PHIIK</t>
  </si>
  <si>
    <t>PULTEGROUP INC PHM</t>
  </si>
  <si>
    <t>PANHANDLE OIL AND GAS PHX</t>
  </si>
  <si>
    <t>IMPINJ INC PI</t>
  </si>
  <si>
    <t>PICO HOLDINGS INC PICO</t>
  </si>
  <si>
    <t>POLARIS INDUSTRIES INC PII</t>
  </si>
  <si>
    <t>PREMIER INC PINC</t>
  </si>
  <si>
    <t>PIER 1 IMPORTS INC PIR</t>
  </si>
  <si>
    <t>PIPER JAFFRAY COMPANIES PJC</t>
  </si>
  <si>
    <t>PJT PARTNERS INC PJT</t>
  </si>
  <si>
    <t>PARK HOTELS &amp; RESORTS PK</t>
  </si>
  <si>
    <t>PARKER DRILLING CO PKD</t>
  </si>
  <si>
    <t>PARK ELECTROCHEMICAL PKE</t>
  </si>
  <si>
    <t>PACKAGING CORP OF AMER PKG</t>
  </si>
  <si>
    <t>PERKINELMER INC PKI</t>
  </si>
  <si>
    <t>PARK OHIO HOLDINGS CORP PKOH</t>
  </si>
  <si>
    <t>PARKWAY INC PKY</t>
  </si>
  <si>
    <t>PHOTRONICS INC PLAB</t>
  </si>
  <si>
    <t>DAVE &amp; BUSTERS ENTMT INC PLAY</t>
  </si>
  <si>
    <t>CHILDRENS PLACE INC PLCE</t>
  </si>
  <si>
    <t>PROLOGIS INC PLD</t>
  </si>
  <si>
    <t>PLANET FITNESS INC PLNT</t>
  </si>
  <si>
    <t>DOUGLAS DYNAMICS INC PLOW</t>
  </si>
  <si>
    <t>PREFORMED LINE PRODUCTS PLPC</t>
  </si>
  <si>
    <t>PLANET PAYMENT INC PLPM</t>
  </si>
  <si>
    <t>PLANTRONICS INC PLT</t>
  </si>
  <si>
    <t>PLUG POWER INC PLUG</t>
  </si>
  <si>
    <t>EPLUS INC PLUS</t>
  </si>
  <si>
    <t>PLEXUS CORP PLXS</t>
  </si>
  <si>
    <t>PHILIP MORRIS INTL PM</t>
  </si>
  <si>
    <t>PACIFIC MERCANTILE BANCO PMBC</t>
  </si>
  <si>
    <t>PHARMERICA CORP PMC</t>
  </si>
  <si>
    <t>PENNYMAC MORTGAGE INV PMT</t>
  </si>
  <si>
    <t>CPI CARD GROUP INC PMTS</t>
  </si>
  <si>
    <t>PNC FINANCIAL SVCS GROUP PNC</t>
  </si>
  <si>
    <t>PINNACLE FINANCIAL PNFP</t>
  </si>
  <si>
    <t>PINNACLE ENTERTAINMENT PNK</t>
  </si>
  <si>
    <t>PNM RESOURCES INC PNM</t>
  </si>
  <si>
    <t>PENTAIR PLC PNR</t>
  </si>
  <si>
    <t>PANERA BREAD CO PNRA</t>
  </si>
  <si>
    <t>PINNACLE WEST CAPITAL CO PNW</t>
  </si>
  <si>
    <t>INSULET CORP PODD</t>
  </si>
  <si>
    <t>POLYONE CORP POL</t>
  </si>
  <si>
    <t>POOL CORP POOL</t>
  </si>
  <si>
    <t>PORTLAND GEN ELEC CO POR</t>
  </si>
  <si>
    <t>POST HOLDINGS INC POST</t>
  </si>
  <si>
    <t>POWER INTEGRATIONS INC POWI</t>
  </si>
  <si>
    <t>POWELL INDUSTRIES INC POWL</t>
  </si>
  <si>
    <t>PACIFIC PREMIER BANCORP PPBI</t>
  </si>
  <si>
    <t>PILGRIMS PRIDE CORP PPC</t>
  </si>
  <si>
    <t>PPG INDUSTRIES INC PPG</t>
  </si>
  <si>
    <t>PPL CORP PPL</t>
  </si>
  <si>
    <t>PROASSURANCE CORP PRA</t>
  </si>
  <si>
    <t>PRA GROUP INC PRAA</t>
  </si>
  <si>
    <t>PRA HEALTH SCIENCES INC PRAH</t>
  </si>
  <si>
    <t>PERFICIENT INC PRFT</t>
  </si>
  <si>
    <t>PERRIGO CO PLC PRGO</t>
  </si>
  <si>
    <t>PROGRESS SOFTWARE CORP PRGS</t>
  </si>
  <si>
    <t>PRIMERICA INC PRI</t>
  </si>
  <si>
    <t>PRIMORIS SVCS CORP PRIM</t>
  </si>
  <si>
    <t>PARK NATIONAL CORP PRK</t>
  </si>
  <si>
    <t>PROTO LABS INC PRLB</t>
  </si>
  <si>
    <t>PRIMO WTR CORP PRMW</t>
  </si>
  <si>
    <t>PROS HOLDINGS INC PRO</t>
  </si>
  <si>
    <t>PROVIDENT FINL HLDGS INC PROV</t>
  </si>
  <si>
    <t>PROVIDENCE SERVICE CORP PRSC</t>
  </si>
  <si>
    <t>PROTHENA CORP PLC PRTA</t>
  </si>
  <si>
    <t>PARATEK PHARMACEUTICALS PRTK</t>
  </si>
  <si>
    <t>PARTY CITY HOLDCO INC PRTY</t>
  </si>
  <si>
    <t>PRUDENTIAL FINANCIAL INC PRU</t>
  </si>
  <si>
    <t>PAREXEL INTERNATIONAL PRXL</t>
  </si>
  <si>
    <t>PUBLIC STORAGE INC PSA</t>
  </si>
  <si>
    <t>PS BUSINESS PARKS INC PSB</t>
  </si>
  <si>
    <t>PRICESMART INC PSMT</t>
  </si>
  <si>
    <t>PARK STERLING CORP PSTB</t>
  </si>
  <si>
    <t>PURE STORAGE INC PSTG</t>
  </si>
  <si>
    <t>PHILLIPS 66 PSX</t>
  </si>
  <si>
    <t>PTC INC PTC</t>
  </si>
  <si>
    <t>PTC THERAPEUTICS INC PTCT</t>
  </si>
  <si>
    <t>PATTERSON UTI ENERGY PTEN</t>
  </si>
  <si>
    <t>PROTAGONIST THERAPEUTICS PTGX</t>
  </si>
  <si>
    <t>PATHEON NV PTHN</t>
  </si>
  <si>
    <t>PORTOLA PHARMACEUTICALS PTLA</t>
  </si>
  <si>
    <t>PEOPLES UTAH BANCORP PUB</t>
  </si>
  <si>
    <t>PROVIDENT BANCORP INC PVBC</t>
  </si>
  <si>
    <t>PVH CORP PVH</t>
  </si>
  <si>
    <t>PENNS WOODS BANCORP INC PWOD</t>
  </si>
  <si>
    <t>QUANTA SERVICES INC PWR</t>
  </si>
  <si>
    <t>PRAXAIR INC PX</t>
  </si>
  <si>
    <t>PIONEER NAT RESOURCES CO PXD</t>
  </si>
  <si>
    <t>PAYPAL HOLDINGS INC PYPL</t>
  </si>
  <si>
    <t>PZENA INVESTMENT MGMT PZN</t>
  </si>
  <si>
    <t>PAPA JOHNS INTERNATIONAL PZZA</t>
  </si>
  <si>
    <t>QUINTILES IMS HOLDINGS Q</t>
  </si>
  <si>
    <t>QAD INC QADA</t>
  </si>
  <si>
    <t>QUALCOMM INC QCOM</t>
  </si>
  <si>
    <t>QUALITY CARE PROPERTIES QCP</t>
  </si>
  <si>
    <t>QCR HOLDINGS INC QCRH</t>
  </si>
  <si>
    <t>QUIDEL CORP QDEL</t>
  </si>
  <si>
    <t>QEP RESOURCES INC QEP</t>
  </si>
  <si>
    <t>QIAGEN NV QGEN</t>
  </si>
  <si>
    <t>QUALYS INC QLYS</t>
  </si>
  <si>
    <t>QUINSTREET INC QNST</t>
  </si>
  <si>
    <t>QORVO INC QRVO</t>
  </si>
  <si>
    <t>QUALITY SYSTEMS INC QSII</t>
  </si>
  <si>
    <t>QUANTENNA COMMUNICATIONS QTNA</t>
  </si>
  <si>
    <t>QTS REALTY TRUST INC QTS</t>
  </si>
  <si>
    <t>Q2 HLDGS INC QTWO</t>
  </si>
  <si>
    <t>QUAD / GRAPHICS INC QUAD</t>
  </si>
  <si>
    <t>QUOTIENT TECHNOLOGY INC QUOT</t>
  </si>
  <si>
    <t>LIBERTY INTERACTIVE QVC QVCA</t>
  </si>
  <si>
    <t>RYDER SYSTEM INC R</t>
  </si>
  <si>
    <t>RITE AID CORP RAD</t>
  </si>
  <si>
    <t>REYNOLDS AMERICAN INC RAI</t>
  </si>
  <si>
    <t>FREIGHTCAR AMERICA INC RAIL</t>
  </si>
  <si>
    <t>ULTRAGENYX PHARMA RARE</t>
  </si>
  <si>
    <t>RA PHARMACEUTICALS INC RARX</t>
  </si>
  <si>
    <t>RAIT FINANCIAL TRUST RAS</t>
  </si>
  <si>
    <t>BANKRATE INC RATE</t>
  </si>
  <si>
    <t>RAVEN INDUSTRIES INC RAVN</t>
  </si>
  <si>
    <t>REGAL BELOIT CORP RBC</t>
  </si>
  <si>
    <t>REPUBLIC BANCORP INC KY RBCAA</t>
  </si>
  <si>
    <t>RENT A CENTER INC RCII</t>
  </si>
  <si>
    <t>ROYAL CARIBBEAN CRUISES RCL</t>
  </si>
  <si>
    <t>ROWAN COMPANIES PLC RDC</t>
  </si>
  <si>
    <t>READING INTERNATIONAL RDI</t>
  </si>
  <si>
    <t>RADIAN GROUP INC RDN</t>
  </si>
  <si>
    <t>RADNET INC RDNT</t>
  </si>
  <si>
    <t>RADIUS HEALTH INC RDUS</t>
  </si>
  <si>
    <t>EVEREST RE GROUP LTD RE</t>
  </si>
  <si>
    <t>RESOURCES CONNECTION RECN</t>
  </si>
  <si>
    <t>REGENCY CENTERS CORP REG</t>
  </si>
  <si>
    <t>RENEWABLE ENER GROUP INC REGI</t>
  </si>
  <si>
    <t>REGENERON PHARMACEUTICAL REGN</t>
  </si>
  <si>
    <t>RING ENERGY INC REI</t>
  </si>
  <si>
    <t>REIS INC REIS</t>
  </si>
  <si>
    <t>RPC INC RES</t>
  </si>
  <si>
    <t>ALTISOURCE RESIDENTIAL RESI</t>
  </si>
  <si>
    <t>REATE PHARMACEUTICALS RETA</t>
  </si>
  <si>
    <t>REVLON INC REV</t>
  </si>
  <si>
    <t>REV GROUP INC REVG</t>
  </si>
  <si>
    <t>REX AMERICAN RESOURCES REX</t>
  </si>
  <si>
    <t>REXFORD INDUSTRIAL RLTY REXR</t>
  </si>
  <si>
    <t>REGIONS FINANCIAL CORP RF</t>
  </si>
  <si>
    <t>REINSURANCE GRP OF AMER RGA</t>
  </si>
  <si>
    <t>REGAL ENTMT GROUP RGC</t>
  </si>
  <si>
    <t>REPLIGEN CORP RGEN</t>
  </si>
  <si>
    <t>ROYAL GOLD INC RGLD</t>
  </si>
  <si>
    <t>REGENXBIO INC RGNX</t>
  </si>
  <si>
    <t>STURM RUGER &amp; CO INC RGR</t>
  </si>
  <si>
    <t>REGIS CORP RGS</t>
  </si>
  <si>
    <t>RH RH</t>
  </si>
  <si>
    <t>ROBERT HALF INTL INC RHI</t>
  </si>
  <si>
    <t>RYMAN HOSPITALITY PPTYS RHP</t>
  </si>
  <si>
    <t>RED HAT INC RHT</t>
  </si>
  <si>
    <t>RICE ENERGY INC RICE</t>
  </si>
  <si>
    <t>TRANSOCEAN LTD RIG</t>
  </si>
  <si>
    <t>RIGEL PHARMACEUTICALS RIGL</t>
  </si>
  <si>
    <t>B. RILEY FINANCIAL INC RILY</t>
  </si>
  <si>
    <t>RAYMOND JAMES FINANCIAL RJF</t>
  </si>
  <si>
    <t>RALPH LAUREN CORP RL</t>
  </si>
  <si>
    <t>RADIANT LOGISTICS INC RLGT</t>
  </si>
  <si>
    <t>REALOGY HOLDINGS CORP RLGY</t>
  </si>
  <si>
    <t>RED LION HOTELS CORP RLH</t>
  </si>
  <si>
    <t>RLI CORP RLI</t>
  </si>
  <si>
    <t>RLJ LODGING TR RLJ</t>
  </si>
  <si>
    <t>REGIONAL MGMT CORP RM</t>
  </si>
  <si>
    <t>RE/MAX HOLDINGS INC RMAX</t>
  </si>
  <si>
    <t>RAMBUS INC RMBS</t>
  </si>
  <si>
    <t>RESMED INC RMD</t>
  </si>
  <si>
    <t>RMR GROUP INC RMR</t>
  </si>
  <si>
    <t>ROCKWELL MEDICAL INC RMTI</t>
  </si>
  <si>
    <t>RIGNET INC RNET</t>
  </si>
  <si>
    <t>RINGCENTRAL INC RNG</t>
  </si>
  <si>
    <t>RENAISSANCERE HOLDINGS RNR</t>
  </si>
  <si>
    <t>RENASANT CORP RNST</t>
  </si>
  <si>
    <t>REALNETWORKS INC RNWK</t>
  </si>
  <si>
    <t>GIBRALTAR INDUSTRIES INC ROCK</t>
  </si>
  <si>
    <t>ROGERS CORP ROG</t>
  </si>
  <si>
    <t>RETAIL OPPORTUNITY INVTS ROIC</t>
  </si>
  <si>
    <t>ROCKWELL AUTOMATION INC ROK</t>
  </si>
  <si>
    <t>ROLLINS INC ROL</t>
  </si>
  <si>
    <t>RBC BEARINGS INC ROLL</t>
  </si>
  <si>
    <t>ROPER TECHNOLOGIES INC ROP</t>
  </si>
  <si>
    <t>ROSS STORES INC ROST</t>
  </si>
  <si>
    <t>REALPAGE INC RP</t>
  </si>
  <si>
    <t>RETAIL PPTYS AMER INC RPAI</t>
  </si>
  <si>
    <t>RAPID7 INC RPD</t>
  </si>
  <si>
    <t>RPM INTERNATIONAL INC RPM</t>
  </si>
  <si>
    <t>RAMCO-GERSHENSON PPTYS RPT</t>
  </si>
  <si>
    <t>RPX CORP RPXC</t>
  </si>
  <si>
    <t>RANGE RESOURCES CORP RRC</t>
  </si>
  <si>
    <t>DONNELLEY R R &amp; SONS CO RRD</t>
  </si>
  <si>
    <t>RED ROBIN GOURMET BURGER RRGB</t>
  </si>
  <si>
    <t>RED ROCKS RESORTS INC RRR</t>
  </si>
  <si>
    <t>ROADRUNNER TRNSN SVCS RRTS</t>
  </si>
  <si>
    <t>RELIANCE STEEL &amp; ALUM RS</t>
  </si>
  <si>
    <t>REPUBLIC SERVICES INC RSG</t>
  </si>
  <si>
    <t>RESOURCE CAPITAL CORP RSO</t>
  </si>
  <si>
    <t>RSP PERMIAN INC RSPP</t>
  </si>
  <si>
    <t>ROSETTA STONE INC RST</t>
  </si>
  <si>
    <t>RADISYS CORP RSYS</t>
  </si>
  <si>
    <t>RUBY TUESDAY INC RT</t>
  </si>
  <si>
    <t>RUDOLPH TECHNOLOGIES INC RTEC</t>
  </si>
  <si>
    <t>RTI SURGICAL INC RTIX</t>
  </si>
  <si>
    <t>RAYTHEON CO RTN</t>
  </si>
  <si>
    <t>RETROPHIN INC RTRX</t>
  </si>
  <si>
    <t>RUBICON PROJ INC RUBI</t>
  </si>
  <si>
    <t>SUNRUN INC RUN</t>
  </si>
  <si>
    <t>RUSH ENTERPRISES INC RUSHA</t>
  </si>
  <si>
    <t>RUSH ENTERPRISES INC RUSHB</t>
  </si>
  <si>
    <t>RUTH'S HOSPITALITY GROUP RUTH</t>
  </si>
  <si>
    <t>REVANCE THERAPEUTICS INC RVNC</t>
  </si>
  <si>
    <t>REDWOOD TRUST INC RWT</t>
  </si>
  <si>
    <t>IGNYTA INC RXDX</t>
  </si>
  <si>
    <t>REXNORD CORP RXN</t>
  </si>
  <si>
    <t>RAYONIER ADV MATERIALS RYAM</t>
  </si>
  <si>
    <t>RYERSON HOLDING CORP RYI</t>
  </si>
  <si>
    <t>RAYONIER INC RYN</t>
  </si>
  <si>
    <t>SPRINT CORP S</t>
  </si>
  <si>
    <t>SABRE CORP SABR</t>
  </si>
  <si>
    <t>SANDERSON FARMS INC SAFM</t>
  </si>
  <si>
    <t>SAFETY INSURANCE GRP INC SAFT</t>
  </si>
  <si>
    <t>SAGE THERAPEUTICS INC SAGE</t>
  </si>
  <si>
    <t>SONIC AUTOMOTIVE INC SAH</t>
  </si>
  <si>
    <t>SAIA INC SAIA</t>
  </si>
  <si>
    <t>SCIENCE APPLICATIONS INT SAIC</t>
  </si>
  <si>
    <t>SALEM MEDIA GROUP INC SALM</t>
  </si>
  <si>
    <t>SCORPIO BULKERS INC SALT</t>
  </si>
  <si>
    <t>BOSTON BEER INC SAM</t>
  </si>
  <si>
    <t>SILVERCREST ASSET MNGMT SAMG</t>
  </si>
  <si>
    <t>SANMINA CORPORATION SANM</t>
  </si>
  <si>
    <t>SANDY SPRING BANCORP SASR</t>
  </si>
  <si>
    <t>ECHOSTAR CORP SATS</t>
  </si>
  <si>
    <t>SPIRIT AIRLS INC SAVE</t>
  </si>
  <si>
    <t>SBA COMMUNICATIONS CORP SBAC</t>
  </si>
  <si>
    <t>SEACOAST BANKING CORP FL SBCF</t>
  </si>
  <si>
    <t>SINCLAIR BROADCAST GROUP SBGI</t>
  </si>
  <si>
    <t>SALLY BEAUTY HOLDINGS SBH</t>
  </si>
  <si>
    <t>SIGNATURE BANK SBNY</t>
  </si>
  <si>
    <t>SABRA HEALTH CARE REIT SBRA</t>
  </si>
  <si>
    <t>SOUTHSIDE BANCSHARES INC SBSI</t>
  </si>
  <si>
    <t>STARBUCKS CORP SBUX</t>
  </si>
  <si>
    <t>SANTANDER CNSMR USA HLDG SC</t>
  </si>
  <si>
    <t>SOUTHERN COPPER CORP SCCO</t>
  </si>
  <si>
    <t>SCANA CORP SCG</t>
  </si>
  <si>
    <t>SCHOLASTIC CORP SCHL</t>
  </si>
  <si>
    <t>SCHNITZER STEEL INDS SCHN</t>
  </si>
  <si>
    <t>SCHWAB CHARLES CORP SCHW</t>
  </si>
  <si>
    <t>SERVICE CORP INTL SCI</t>
  </si>
  <si>
    <t>STEPAN CO SCL</t>
  </si>
  <si>
    <t>SCICLONE PHARMACEUTICALS SCLN</t>
  </si>
  <si>
    <t>SUCAMPO PHARMA SCMP</t>
  </si>
  <si>
    <t>STEELCASE INC SCS</t>
  </si>
  <si>
    <t>SCANSOURCE INC SCSC</t>
  </si>
  <si>
    <t>SELECT COMFORT CORP SCSS</t>
  </si>
  <si>
    <t>SHOE CARNIVAL INC SCVL</t>
  </si>
  <si>
    <t>SECUREWORKS CORP SCWX</t>
  </si>
  <si>
    <t>SEAWORLD ENTMT INC SEAS</t>
  </si>
  <si>
    <t>SEABOARD CORP SEB</t>
  </si>
  <si>
    <t>SEALED AIR CORP SEE</t>
  </si>
  <si>
    <t>SEI INVESTMENTS CO SEIC</t>
  </si>
  <si>
    <t>SELECTA BIOSCIENCES INC SELB</t>
  </si>
  <si>
    <t>SELECT MEDICAL HOLDINGS SEM</t>
  </si>
  <si>
    <t>SEMGROUP CORP SEMG</t>
  </si>
  <si>
    <t>SENECA FOODS CORP SENEA</t>
  </si>
  <si>
    <t>SERVICEMASTER GLOBAL SERV</t>
  </si>
  <si>
    <t>STIFEL FINANCIAL CORP SF</t>
  </si>
  <si>
    <t>SERVISFIRST BANCSHARES SFBS</t>
  </si>
  <si>
    <t>SAFEGUARD SCIENTIFICS SFE</t>
  </si>
  <si>
    <t>SHIP FINANCE INTL SFL</t>
  </si>
  <si>
    <t>SHUTTERFLY INC SFLY</t>
  </si>
  <si>
    <t>SPROUTS FRMRS MKT INC SFM</t>
  </si>
  <si>
    <t>SIMMONS FIRST NATIONAL SFNC</t>
  </si>
  <si>
    <t>COLONY STARWOOD HOMES SFR</t>
  </si>
  <si>
    <t>SMART &amp; FINAL STORES INC SFS</t>
  </si>
  <si>
    <t>SOUTHERN FIRST BANCSHARE SFST</t>
  </si>
  <si>
    <t>SAGA COMMUNICATIONS INC SGA</t>
  </si>
  <si>
    <t>STONEGATE BANK SGBK</t>
  </si>
  <si>
    <t>SUPERIOR UNIFORM GROUP SGC</t>
  </si>
  <si>
    <t>SEATTLE GENETICS INC SGEN</t>
  </si>
  <si>
    <t>SANGAMO THERAPEUTICS INC SGMO</t>
  </si>
  <si>
    <t>SCIENTIFIC GAMES CORP SGMS</t>
  </si>
  <si>
    <t>SURGERY PARTNERS INC SGRY</t>
  </si>
  <si>
    <t>SYNERGY PHARMACEUTICALS SGYP</t>
  </si>
  <si>
    <t>SHAKE SHACK INC SHAK</t>
  </si>
  <si>
    <t>SHORE BANCSHARES INC SHBI</t>
  </si>
  <si>
    <t>SHENANDOAH TELECOMM CO SHEN</t>
  </si>
  <si>
    <t>SEARS HOLDINGS CORP SHLD</t>
  </si>
  <si>
    <t>SCHULMAN A INC SHLM</t>
  </si>
  <si>
    <t>SUNSTONE HOTEL INVS INC SHO</t>
  </si>
  <si>
    <t>MADDEN STEVEN LTD SHOO</t>
  </si>
  <si>
    <t>SHORETEL INC SHOR</t>
  </si>
  <si>
    <t>SHERWIN WILLIAMS CO SHW</t>
  </si>
  <si>
    <t>SI FINANCIAL GROUP SIFI</t>
  </si>
  <si>
    <t>SIGNET JEWELERS LTD SIG</t>
  </si>
  <si>
    <t>SELECTIVE INSURANCE GRP SIGI</t>
  </si>
  <si>
    <t>SIGMA DESIGNS INC SIGM</t>
  </si>
  <si>
    <t>SELECT INCOME REIT SIR</t>
  </si>
  <si>
    <t>SIRIUS XM HOLDINGS INC SIRI</t>
  </si>
  <si>
    <t>SITEONE LANDSCAPE SUPPLY SITE</t>
  </si>
  <si>
    <t>SVB FINANCIAL GROUP SIVB</t>
  </si>
  <si>
    <t>SIX FLAGS ENTMT CORP SIX</t>
  </si>
  <si>
    <t>SOUTH JERSEY INDUSTRIES SJI</t>
  </si>
  <si>
    <t>SMUCKER J M CO SJM</t>
  </si>
  <si>
    <t>SJW GROUP SJW</t>
  </si>
  <si>
    <t>TANGER FACTORY OUTLET SKT</t>
  </si>
  <si>
    <t>SKECHERS USA INC SKX</t>
  </si>
  <si>
    <t>SKYWEST INC SKYW</t>
  </si>
  <si>
    <t>SILICON LABORATORIES INC SLAB</t>
  </si>
  <si>
    <t>SCHLUMBERGER LTD SLB</t>
  </si>
  <si>
    <t>U S SILICA HLDGS INC SLCA</t>
  </si>
  <si>
    <t>SL GREEN REALTY CORP SLG</t>
  </si>
  <si>
    <t>SILGAN HOLDINGS INC SLGN</t>
  </si>
  <si>
    <t>SLM CORP SLM</t>
  </si>
  <si>
    <t>SM ENERGY CO SM</t>
  </si>
  <si>
    <t>SOUTHERN MO BANCORP INC SMBC</t>
  </si>
  <si>
    <t>SUPER MICRO COMPUTER INC SMCI</t>
  </si>
  <si>
    <t>SCOTTS MIRACLE-GRO CO SMG</t>
  </si>
  <si>
    <t>SUMMIT FINANCIAL GROUP SMMF</t>
  </si>
  <si>
    <t>STANDARD MOTOR PRODUCTS SMP</t>
  </si>
  <si>
    <t>SEMTECH CORP SMTC</t>
  </si>
  <si>
    <t>SANCHEZ ENERGY CORP SN</t>
  </si>
  <si>
    <t>SNAP ON INC SNA</t>
  </si>
  <si>
    <t>SUN BANCORP INC NJ SNBC</t>
  </si>
  <si>
    <t>STATE NATIONAL COMPANIES SNC</t>
  </si>
  <si>
    <t>SYNCHRONOSS TECHNOLOGY SNCR</t>
  </si>
  <si>
    <t>SMART SAND INC SND</t>
  </si>
  <si>
    <t>SYNDAX PHARMACEUTICALS SNDX</t>
  </si>
  <si>
    <t>SENIOR HOUSING PPTYS TR SNH</t>
  </si>
  <si>
    <t>SUN HYDRAULICS CORP SNHY</t>
  </si>
  <si>
    <t>SCRIPPS NTWK INTERACTIVE SNI</t>
  </si>
  <si>
    <t>INTRAWEST RSRTS HLDG INC SNOW</t>
  </si>
  <si>
    <t>SYNOPSYS INC SNPS</t>
  </si>
  <si>
    <t>NEW SR INVT GROUP INC SNR</t>
  </si>
  <si>
    <t>SYNOVUS FINANCIAL CORP SNV</t>
  </si>
  <si>
    <t>SYNNEX CORP SNX</t>
  </si>
  <si>
    <t>SOUTHERN CO SO</t>
  </si>
  <si>
    <t>SONOCO PRODUCTS CO SON</t>
  </si>
  <si>
    <t>SOUTHERN NATL BANCORP SONA</t>
  </si>
  <si>
    <t>SONIC CORP SONC</t>
  </si>
  <si>
    <t>SONUS NETWORKS INC SONS</t>
  </si>
  <si>
    <t>SP PLUS CORPORATION SP</t>
  </si>
  <si>
    <t>SPARTON CORP SPA</t>
  </si>
  <si>
    <t>SPARTAN MOTORS INC SPAR</t>
  </si>
  <si>
    <t>SPECTRUM BRANDS HOLDINGS SPB</t>
  </si>
  <si>
    <t>SIMON PROPERTY GROUP INC SPG</t>
  </si>
  <si>
    <t>S&amp;P GLOBAL INC SPGI</t>
  </si>
  <si>
    <t>SPARK ENERGY INC SPKE</t>
  </si>
  <si>
    <t>SPLUNK INC SPLK</t>
  </si>
  <si>
    <t>STAPLES INC SPLS</t>
  </si>
  <si>
    <t>SUPERIOR ENERGY SERVICES SPN</t>
  </si>
  <si>
    <t>SPECTRANETICS CORP SPNC</t>
  </si>
  <si>
    <t>SPOK HOLDINGS INC SPOK</t>
  </si>
  <si>
    <t>SPECTRUM PHARMACEUTICALS SPPI</t>
  </si>
  <si>
    <t>SPIRIT AEROSYSTEMS SPR</t>
  </si>
  <si>
    <t>SPS COMM INC SPSC</t>
  </si>
  <si>
    <t>SPARTANNASH COMPANY SPTN</t>
  </si>
  <si>
    <t>SPORTSMANS WHSE HLDGS SPWH</t>
  </si>
  <si>
    <t>SUNPOWER CORP SPWR</t>
  </si>
  <si>
    <t>SPX CORP SPXC</t>
  </si>
  <si>
    <t>SQUARE INC SQ</t>
  </si>
  <si>
    <t>SEQUENTIAL BRANDS GROUP SQBG</t>
  </si>
  <si>
    <t>SPIRE INC SR</t>
  </si>
  <si>
    <t>SPIRIT RLTY CAP INC SRC</t>
  </si>
  <si>
    <t>1ST SOURCE CORP SRCE</t>
  </si>
  <si>
    <t>SRC ENERGY INC SRCI</t>
  </si>
  <si>
    <t>STERICYCLE INC SRCL</t>
  </si>
  <si>
    <t>SURMODICS INC SRDX</t>
  </si>
  <si>
    <t>SEMPRA ENERGY SRE</t>
  </si>
  <si>
    <t>SERVICESOURCE INTL SREV</t>
  </si>
  <si>
    <t>SERITAGE GROWTH PROP SRG</t>
  </si>
  <si>
    <t>STONERIDGE INC SRI</t>
  </si>
  <si>
    <t>SAREPTA THERAPEUTICS INC SRPT</t>
  </si>
  <si>
    <t>SOUTH STATE CORPORATION SSB</t>
  </si>
  <si>
    <t>SIMPSON MANUFACTURING SSD</t>
  </si>
  <si>
    <t>SS&amp;C TECHNOLOGIES HLDGS SSNC</t>
  </si>
  <si>
    <t>SILVER SPRING NETWORKS SSNI</t>
  </si>
  <si>
    <t>SCRIPPS E W CO SSP</t>
  </si>
  <si>
    <t>SHUTTERSTOCK INC SSTK</t>
  </si>
  <si>
    <t>STRATASYS LTD SSYS</t>
  </si>
  <si>
    <t>STAAR SURGICAL CO STAA</t>
  </si>
  <si>
    <t>STAG INDL INC STAG</t>
  </si>
  <si>
    <t>ISTAR INC STAR</t>
  </si>
  <si>
    <t>EXTENDED STAY AMERICA STAY</t>
  </si>
  <si>
    <t>S &amp; T BANCORP INC STBA</t>
  </si>
  <si>
    <t>STATE BK FINL CORP STBZ</t>
  </si>
  <si>
    <t>STEWART INFORMATION STC</t>
  </si>
  <si>
    <t>STATE AUTO FINANCIAL STFC</t>
  </si>
  <si>
    <t>SUNTRUST BANKS INC STI</t>
  </si>
  <si>
    <t>STERLING BANCORP STL</t>
  </si>
  <si>
    <t>STEEL DYNAMICS INC STLD</t>
  </si>
  <si>
    <t>STEMLINE THERAPEUTICS STML</t>
  </si>
  <si>
    <t>STAMPS COM INC STMP</t>
  </si>
  <si>
    <t>SCORPIO TANKERS INC STNG</t>
  </si>
  <si>
    <t>STORE CAPITAL CORP STOR</t>
  </si>
  <si>
    <t>STRAYER EDUCATION INC STRA</t>
  </si>
  <si>
    <t>STRAIGHT PATH COMM INC STRP</t>
  </si>
  <si>
    <t>STRATUS PPTYS INC STRS</t>
  </si>
  <si>
    <t>SUPREME INDS INC STS</t>
  </si>
  <si>
    <t>STATE STREET CORP STT</t>
  </si>
  <si>
    <t>STARWOOD PPTY TRUST INC STWD</t>
  </si>
  <si>
    <t>CONSTELLATION BRANDS STZ</t>
  </si>
  <si>
    <t>SUN COMMUNITIES INC SUI</t>
  </si>
  <si>
    <t>SUMMIT MATLS INC SUM</t>
  </si>
  <si>
    <t>SUPERIOR INDUSTRIES INTL SUP</t>
  </si>
  <si>
    <t>SUPERNUS PHARMACEUTICALS SUPN</t>
  </si>
  <si>
    <t>SUPERVALU INC SVU</t>
  </si>
  <si>
    <t>SWIFT TRANSN CO SWFT</t>
  </si>
  <si>
    <t>STANLEY BLACK &amp; DECKER SWK</t>
  </si>
  <si>
    <t>SKYWORKS SOLUTIONS INC SWKS</t>
  </si>
  <si>
    <t>SCHWEITZER-MAUDUIT INTL SWM</t>
  </si>
  <si>
    <t>SOUTHWESTERN ENERGY CO SWN</t>
  </si>
  <si>
    <t>SOUTHWEST GAS HOLDINGS SWX</t>
  </si>
  <si>
    <t>SUNCOKE ENERGY INC SXC</t>
  </si>
  <si>
    <t>STANDEX INTERNATIONAL SXI</t>
  </si>
  <si>
    <t>SENSIENT TECHNOLOGIES SXT</t>
  </si>
  <si>
    <t>STOCK YARDS BANCORP INC SYBT</t>
  </si>
  <si>
    <t>SYNCHRONY FINANCIAL SYF</t>
  </si>
  <si>
    <t>STRYKER CORP SYK</t>
  </si>
  <si>
    <t>SYKES ENTERPRISES INC SYKE</t>
  </si>
  <si>
    <t>SYMANTEC CORP SYMC</t>
  </si>
  <si>
    <t>SYNAPTICS INC SYNA</t>
  </si>
  <si>
    <t>SYNTEL INC SYNT</t>
  </si>
  <si>
    <t>SYROS PHARMACEUTICALS SYRS</t>
  </si>
  <si>
    <t>SYSTEMAX INC SYX</t>
  </si>
  <si>
    <t>SYSCO CORP SYY</t>
  </si>
  <si>
    <t>AT&amp;T INC T</t>
  </si>
  <si>
    <t>DEL TACO RESTAURANTS INC TACO</t>
  </si>
  <si>
    <t>MOLSON COORS BREWING CO TAP</t>
  </si>
  <si>
    <t>CARROLS RESTAURANT GRP TAST</t>
  </si>
  <si>
    <t>LIBERTY TAX INC TAX</t>
  </si>
  <si>
    <t>BANCORP INC TBBK</t>
  </si>
  <si>
    <t>TRUEBLUE INC TBI</t>
  </si>
  <si>
    <t>TRIUMPH BANCORP INC TBK</t>
  </si>
  <si>
    <t>TERRITORIAL BANCORP INC TBNK</t>
  </si>
  <si>
    <t>THERAVANCE BIOPHARMA INC TBPH</t>
  </si>
  <si>
    <t>TEXAS CAPITAL BANCSHARES TCBI</t>
  </si>
  <si>
    <t>TRICO BANCSHARES TCBK</t>
  </si>
  <si>
    <t>TCF FINANCIAL CORP TCF</t>
  </si>
  <si>
    <t>TACTILE SYSTEMS TECH TCMD</t>
  </si>
  <si>
    <t>TAUBMAN CENTERS INC TCO</t>
  </si>
  <si>
    <t>THE CONTAINER STORE GRP TCS</t>
  </si>
  <si>
    <t>TERADATA CORP TDC</t>
  </si>
  <si>
    <t>TRANSDIGM GROUP INC TDG</t>
  </si>
  <si>
    <t>TELADOC INC TDOC</t>
  </si>
  <si>
    <t>TELEPHONE &amp; DATA SYSTEMS TDS</t>
  </si>
  <si>
    <t>TELEDYNE TECHNOLOGIES TDY</t>
  </si>
  <si>
    <t>ATLASSIAN CORP PLC TEAM</t>
  </si>
  <si>
    <t>TECH DATA CORP TECD</t>
  </si>
  <si>
    <t>BIO-TECHNE CORP TECH</t>
  </si>
  <si>
    <t>TENNECO INC TEN</t>
  </si>
  <si>
    <t>TERADYNE INC TER</t>
  </si>
  <si>
    <t>TERRAFORM POWER INC TERP</t>
  </si>
  <si>
    <t>TESCO CORP TESO</t>
  </si>
  <si>
    <t>TEREX CORP TEX</t>
  </si>
  <si>
    <t>TFS FINL CORP TFSL</t>
  </si>
  <si>
    <t>TELEFLEX INC TFX</t>
  </si>
  <si>
    <t>TREDEGAR CORP TG</t>
  </si>
  <si>
    <t>TEXTAINER GROUP HLDGS TGH</t>
  </si>
  <si>
    <t>TRIUMPH GROUP INC TGI</t>
  </si>
  <si>
    <t>TEGNA INC TGNA</t>
  </si>
  <si>
    <t>TARGET CORP TGT</t>
  </si>
  <si>
    <t>TG THERAPEUTICS INC TGTX</t>
  </si>
  <si>
    <t>TENET HEALTHCARE CORP THC</t>
  </si>
  <si>
    <t>FIRST FINANCIAL CORP THFF</t>
  </si>
  <si>
    <t>HANOVER INSURANCE GROUP THG</t>
  </si>
  <si>
    <t>THOR INDUSTRIES INC THO</t>
  </si>
  <si>
    <t>THERMON GROUP HLDGS INC THR</t>
  </si>
  <si>
    <t>GENTHERM INC THRM</t>
  </si>
  <si>
    <t>TREEHOUSE FOODS INC THS</t>
  </si>
  <si>
    <t>TIER REIT INC TIER</t>
  </si>
  <si>
    <t>TIFFANY &amp; CO TIF</t>
  </si>
  <si>
    <t>INTERFACE INC TILE</t>
  </si>
  <si>
    <t>TIME INC TIME</t>
  </si>
  <si>
    <t>TIPTREE INC TIPT</t>
  </si>
  <si>
    <t>ORCHIDS PAPER PRODS COMP TIS</t>
  </si>
  <si>
    <t>TEAM INC TISI</t>
  </si>
  <si>
    <t>TITAN MACHINERY INC TITN</t>
  </si>
  <si>
    <t>TIVO CORPORATION TIVO</t>
  </si>
  <si>
    <t>TJX COMPANIES INC TJX</t>
  </si>
  <si>
    <t>TEEKAY CORP TK</t>
  </si>
  <si>
    <t>TIMKEN CO TKR</t>
  </si>
  <si>
    <t>TELIGENT INC TLGT</t>
  </si>
  <si>
    <t>TAILORED BRANDS INC TLRD</t>
  </si>
  <si>
    <t>TILLYS INC TLYS</t>
  </si>
  <si>
    <t>TAYLOR MORRISON HOME TMHC</t>
  </si>
  <si>
    <t>TORCHMARK CORP TMK</t>
  </si>
  <si>
    <t>THERMO FISHER SCIENTIFIC TMO</t>
  </si>
  <si>
    <t>TOMPKINS FINANCIAL CORP TMP</t>
  </si>
  <si>
    <t>TIMKENSTEEL CORPORATION TMST</t>
  </si>
  <si>
    <t>T-MOBILE US INC TMUS</t>
  </si>
  <si>
    <t>TELENAV INC TNAV</t>
  </si>
  <si>
    <t>TENNANT CO TNC</t>
  </si>
  <si>
    <t>TRINET GROUP INC TNET</t>
  </si>
  <si>
    <t>TEEKAY TANKERS LTD TNK</t>
  </si>
  <si>
    <t>TOLL BROTHERS INC TOL</t>
  </si>
  <si>
    <t>TOWNEBANK PORTSMOUTH VA TOWN</t>
  </si>
  <si>
    <t>TOWER INTERNATIONAL INC TOWR</t>
  </si>
  <si>
    <t>TURNING POINT BRANDS INC TPB</t>
  </si>
  <si>
    <t>TUTOR PERINI CORP TPC</t>
  </si>
  <si>
    <t>TRI POINTE GROUP INC TPH</t>
  </si>
  <si>
    <t>TRINITY PLACE HOLDINGS TPHS</t>
  </si>
  <si>
    <t>TPI COMPOSITES INC TPIC</t>
  </si>
  <si>
    <t>THIRD POINT REINSURANCE TPRE</t>
  </si>
  <si>
    <t>TEMPUR SEALY INTL INC TPX</t>
  </si>
  <si>
    <t>TOOTSIE ROLL INDUSTRIES TR</t>
  </si>
  <si>
    <t>TEJON RANCH CO TRC</t>
  </si>
  <si>
    <t>TRIBUNE MEDIA CO TRCO</t>
  </si>
  <si>
    <t>TRECORA RESOURCES TREC</t>
  </si>
  <si>
    <t>LENDINGTREE INC TREE</t>
  </si>
  <si>
    <t>TREX INC TREX</t>
  </si>
  <si>
    <t>TARGA RESOURCES INC TRGP</t>
  </si>
  <si>
    <t>TABULA RASA HEALTHCARE TRHC</t>
  </si>
  <si>
    <t>TRIPADVISOR INC TRIP</t>
  </si>
  <si>
    <t>SPEEDWAY MOTORSPORTS INC TRK</t>
  </si>
  <si>
    <t>TRIMBLE INC TRMB</t>
  </si>
  <si>
    <t>TRUSTMARK CORP TRMK</t>
  </si>
  <si>
    <t>TRINITY INDUSTRIES INC TRN</t>
  </si>
  <si>
    <t>TRONC INC TRNC</t>
  </si>
  <si>
    <t>TERRENO REALTY CORP TRNO</t>
  </si>
  <si>
    <t>PRICE T ROWE GROUP INC TROW</t>
  </si>
  <si>
    <t>TRONOX LTD TROX</t>
  </si>
  <si>
    <t>TRIMAS CORP TRS</t>
  </si>
  <si>
    <t>TRUSTCO BANK CORP NY TRST</t>
  </si>
  <si>
    <t>TRITON INTERNATIONAL LTD TRTN</t>
  </si>
  <si>
    <t>TRANSUNION TRU</t>
  </si>
  <si>
    <t>TRUECAR INC TRUE</t>
  </si>
  <si>
    <t>TRUPANION INC TRUP</t>
  </si>
  <si>
    <t>TRAVELERS COS INC TRV</t>
  </si>
  <si>
    <t>TREVENA INC TRVN</t>
  </si>
  <si>
    <t>TRISTATE CAP HLDGS INC TSC</t>
  </si>
  <si>
    <t>TRACTOR SUPPLY CO TSCO</t>
  </si>
  <si>
    <t>TRINSEO SA TSE</t>
  </si>
  <si>
    <t>TESLA INC TSLA</t>
  </si>
  <si>
    <t>TYSON FOODS INC TSN</t>
  </si>
  <si>
    <t>TESORO CORP TSO</t>
  </si>
  <si>
    <t>TOWNSQUARE MEDIA INC TSQ</t>
  </si>
  <si>
    <t>TESARO INC TSRO</t>
  </si>
  <si>
    <t>TOTAL SYSTEM SERVICES TSS</t>
  </si>
  <si>
    <t>TORO CO TTC</t>
  </si>
  <si>
    <t>THE TRADE DESK INC TTD</t>
  </si>
  <si>
    <t>TELETECH HOLDINGS INC TTEC</t>
  </si>
  <si>
    <t>TETRA TECH INC TTEK</t>
  </si>
  <si>
    <t>TECHTARGET INC TTGT</t>
  </si>
  <si>
    <t>TETRA TECHNOLOGIES INC TTI</t>
  </si>
  <si>
    <t>TTM TECHNOLOGIES INC TTMI</t>
  </si>
  <si>
    <t>TETRAPHASE PHARMA INC TTPH</t>
  </si>
  <si>
    <t>TILE SHOP HLDGS INC TTS</t>
  </si>
  <si>
    <t>TAKE-TWO INTERACTIVE TTWO</t>
  </si>
  <si>
    <t>TUPPERWARE BRANDS CORP TUP</t>
  </si>
  <si>
    <t>MAMMOTH ENERGY SERVICES TUSK</t>
  </si>
  <si>
    <t>TRAVELPORT WORLDWIDE LTD TVPT</t>
  </si>
  <si>
    <t>TIVITY HEALTH INC TVTY</t>
  </si>
  <si>
    <t>TITAN INTERNATIONAL INC TWI</t>
  </si>
  <si>
    <t>TWILIO INC TWLO</t>
  </si>
  <si>
    <t>TWO HBRS INVT CORP TWO</t>
  </si>
  <si>
    <t>2U INC TWOU</t>
  </si>
  <si>
    <t>TWITTER INC TWTR</t>
  </si>
  <si>
    <t>TIME WARNER INC TWX</t>
  </si>
  <si>
    <t>THERAPEUTICSMD INC TXMD</t>
  </si>
  <si>
    <t>TEXAS INSTRUMENTS INC TXN</t>
  </si>
  <si>
    <t>TEXAS ROADHOUSE INC TXRH</t>
  </si>
  <si>
    <t>TEXTRON INC TXT</t>
  </si>
  <si>
    <t>TYLER TECHNOLOGIES INC TYL</t>
  </si>
  <si>
    <t>MONOTYPE IMAGING HLDG TYPE</t>
  </si>
  <si>
    <t>UNDER ARMOUR CLASS C UA</t>
  </si>
  <si>
    <t>UNDER ARMOUR CLASS A UAA</t>
  </si>
  <si>
    <t>UNITED CONTINENTAL HLDGS UAL</t>
  </si>
  <si>
    <t>URSTADT BIDDLE PPTYS INS UBA</t>
  </si>
  <si>
    <t>UNITED FINANCIAL BANCORP UBNK</t>
  </si>
  <si>
    <t>UBIQUITI NETWORKS INC UBNT</t>
  </si>
  <si>
    <t>UNION BANKSHARES CORP UBSH</t>
  </si>
  <si>
    <t>UNITED BANKSHARES INC UBSI</t>
  </si>
  <si>
    <t>UNITED COMMUNITY BANKS UCBI</t>
  </si>
  <si>
    <t>UNITED CMNTY FINL CO UCFC</t>
  </si>
  <si>
    <t>UCP INC UCP</t>
  </si>
  <si>
    <t>ULTRA CLEAN HOLDINGS INC UCTT</t>
  </si>
  <si>
    <t>UDR INC UDR</t>
  </si>
  <si>
    <t>URBAN EDGE PROPERTIES UE</t>
  </si>
  <si>
    <t>UNIVERSAL ELECTRONICS UEIC</t>
  </si>
  <si>
    <t>UNITED FIRE GROUP INC UFCS</t>
  </si>
  <si>
    <t>UNIFI INC UFI</t>
  </si>
  <si>
    <t>UNIVERSAL FOREST PRODS UFPI</t>
  </si>
  <si>
    <t>UFP TECHNOLOGIES INC UFPT</t>
  </si>
  <si>
    <t>DOMTAR CORPORATION UFS</t>
  </si>
  <si>
    <t>UGI CORP UGI</t>
  </si>
  <si>
    <t>AMERCO UHAL</t>
  </si>
  <si>
    <t>UNIVERSAL HEALTH SVCS UHS</t>
  </si>
  <si>
    <t>UNIVERSAL HEALTH REALTY UHT</t>
  </si>
  <si>
    <t>UNITED INS HLDGS CORP UIHC</t>
  </si>
  <si>
    <t>UNISYS CORP UIS</t>
  </si>
  <si>
    <t>UNIVERSAL LOGISTICS HLDG ULH</t>
  </si>
  <si>
    <t>ULTA BEAUTY INC ULTA</t>
  </si>
  <si>
    <t>ULTIMATE SOFTWARE GROUP ULTI</t>
  </si>
  <si>
    <t>UMB FINANCIAL CORP UMBF</t>
  </si>
  <si>
    <t>UMH PROPERTIES INC UMH</t>
  </si>
  <si>
    <t>UMPQUA HOLDINGS CORP UMPQ</t>
  </si>
  <si>
    <t>UNION BANKSHARES INC UNB</t>
  </si>
  <si>
    <t>UNIFIRST CORP MASS UNF</t>
  </si>
  <si>
    <t>UNITED NATURAL FOODS INC UNFI</t>
  </si>
  <si>
    <t>UNITEDHEALTH GROUP INC UNH</t>
  </si>
  <si>
    <t>UNITI GROUP INC UNIT</t>
  </si>
  <si>
    <t>UNUM GROUP UNM</t>
  </si>
  <si>
    <t>UNION PACIFIC CORP UNP</t>
  </si>
  <si>
    <t>UNIT CORP UNT</t>
  </si>
  <si>
    <t>UNIVAR INC UNVR</t>
  </si>
  <si>
    <t>UNITED PARCEL SERVICE UPS</t>
  </si>
  <si>
    <t>URBAN OUTFITTERS INC URBN</t>
  </si>
  <si>
    <t>UNITED RENTALS INC URI</t>
  </si>
  <si>
    <t>USA TECHNOLOGIES INC USAT</t>
  </si>
  <si>
    <t>US BANCORP USB</t>
  </si>
  <si>
    <t>U S CONCRETE INC USCR</t>
  </si>
  <si>
    <t>US FOODS HOLDING CORP USFD</t>
  </si>
  <si>
    <t>U S G CORP USG</t>
  </si>
  <si>
    <t>UNITED STATES LIME &amp; MIN USLM</t>
  </si>
  <si>
    <t>UNITED STATES CELLULAR USM</t>
  </si>
  <si>
    <t>USANA HEALTH SCIENCES USNA</t>
  </si>
  <si>
    <t>U S PHYSICAL THERAPY INC USPH</t>
  </si>
  <si>
    <t>UNITED THERAPEUTICS UTHR</t>
  </si>
  <si>
    <t>UNITIL CORP UTL</t>
  </si>
  <si>
    <t>UTAH MED PRODS INC UTMD</t>
  </si>
  <si>
    <t>UNITED TECHNOLOGIES UTX</t>
  </si>
  <si>
    <t>UNIVERSAL INSURANCE UVE</t>
  </si>
  <si>
    <t>UNIVEST CORP OF PENN UVSP</t>
  </si>
  <si>
    <t>UNIVERSAL CORP UVV</t>
  </si>
  <si>
    <t>VISA INC V</t>
  </si>
  <si>
    <t>MARRIOTT VAC WORLD CORP VAC</t>
  </si>
  <si>
    <t>VALUE LINE INC VALU</t>
  </si>
  <si>
    <t>VARIAN MEDICAL SYSTEMS VAR</t>
  </si>
  <si>
    <t>VERITEX HOLDINGS VBTX</t>
  </si>
  <si>
    <t>VISTEON CORP VC</t>
  </si>
  <si>
    <t>VOCERA COMMUNICATIONS VCRA</t>
  </si>
  <si>
    <t>VERACYTE INC VCYT</t>
  </si>
  <si>
    <t>VASCO DATA SECURITY INTL VDSI</t>
  </si>
  <si>
    <t>VECTRUS INC VEC</t>
  </si>
  <si>
    <t>VEECO INSTRUMENTS INC VECO</t>
  </si>
  <si>
    <t>VEEVA SYSTEMS INC VEEV</t>
  </si>
  <si>
    <t>VEREIT INC VER</t>
  </si>
  <si>
    <t>V F CORP VFC</t>
  </si>
  <si>
    <t>VONAGE HLDGS CORP VG</t>
  </si>
  <si>
    <t>VECTOR GROUP LTD VGR</t>
  </si>
  <si>
    <t>VIRNETX HOLDING CORP VHC</t>
  </si>
  <si>
    <t>VALHI INC VHI</t>
  </si>
  <si>
    <t>VIACOM INC CL A VIA</t>
  </si>
  <si>
    <t>VIACOM INC CL B VIAB</t>
  </si>
  <si>
    <t>VIAVI SOLUTIONS INC VIAV</t>
  </si>
  <si>
    <t>VICOR CORP VICR</t>
  </si>
  <si>
    <t>VIRTU FINL INC VIRT</t>
  </si>
  <si>
    <t>MERIDIAN BIOSCIENCE INC VIVO</t>
  </si>
  <si>
    <t>VILLAGE SUPER MARKET INC VLGEA</t>
  </si>
  <si>
    <t>VALERO ENERGY CORP VLO</t>
  </si>
  <si>
    <t>VALLEY NATIONAL BANCORP VLY</t>
  </si>
  <si>
    <t>VULCAN MATERIALS CO VMC</t>
  </si>
  <si>
    <t>VALMONT INDUSTRIES INC VMI</t>
  </si>
  <si>
    <t>VMWARE INC VMW</t>
  </si>
  <si>
    <t>VANDA PHARMACEUTICALS VNDA</t>
  </si>
  <si>
    <t>VORNADO REALTY TRUST VNO</t>
  </si>
  <si>
    <t>VANTIV INC VNTV</t>
  </si>
  <si>
    <t>VOYA FINANCIAL INC VOYA</t>
  </si>
  <si>
    <t>VISHAY PRECISION GROUP VPG</t>
  </si>
  <si>
    <t>VALIDUS HOLDINGS LTD VR</t>
  </si>
  <si>
    <t>VERA BRADLEY INC VRA</t>
  </si>
  <si>
    <t>VIEWRAY INC VRAY</t>
  </si>
  <si>
    <t>VAREX IMAGING VREX</t>
  </si>
  <si>
    <t>VARONIS SYSTEMS INC VRNS</t>
  </si>
  <si>
    <t>VERINT SYS INC VRNT</t>
  </si>
  <si>
    <t>VERISK ANALYTICS INC VRSK</t>
  </si>
  <si>
    <t>VERISIGN INC VRSN</t>
  </si>
  <si>
    <t>VIRTUS INVESTMENT PTNRS VRTS</t>
  </si>
  <si>
    <t>VIRTUSA CORP VRTU</t>
  </si>
  <si>
    <t>VERITIV CORPORATION VRTV</t>
  </si>
  <si>
    <t>VERTEX PHARMACEUTICALS VRTX</t>
  </si>
  <si>
    <t>VERSARTIS INC VSAR</t>
  </si>
  <si>
    <t>VIASAT INC VSAT</t>
  </si>
  <si>
    <t>VSE CORP VSEC</t>
  </si>
  <si>
    <t>VISHAY INTERTECHNOLOGY VSH</t>
  </si>
  <si>
    <t>VITAMIN SHOPPE INC VSI</t>
  </si>
  <si>
    <t>VIVINT SOLAR INC VSLR</t>
  </si>
  <si>
    <t>VERSUM MATERIALS VSM</t>
  </si>
  <si>
    <t>VISTA OUTDOOR INC VSTO</t>
  </si>
  <si>
    <t>VENTAS INC VTR</t>
  </si>
  <si>
    <t>VTV THERAPEAUTICS INC VTVT</t>
  </si>
  <si>
    <t>VECTREN CORP VVC</t>
  </si>
  <si>
    <t>VIAD CORP VVI</t>
  </si>
  <si>
    <t>VALVOLINE INC VVV</t>
  </si>
  <si>
    <t>VWR CORPORATION VWR</t>
  </si>
  <si>
    <t>VOYAGER THERAPEUTICS INC VYGR</t>
  </si>
  <si>
    <t>VERIZON COMMUNICATIONS VZ</t>
  </si>
  <si>
    <t>WAYFAIR INC W</t>
  </si>
  <si>
    <t>AQUAVENTURE HOLDINGS LTD WAAS</t>
  </si>
  <si>
    <t>WABTEC CORP WAB</t>
  </si>
  <si>
    <t>WESTAMERICA BANCORP WABC</t>
  </si>
  <si>
    <t>WASHINGTON FED INC WAFD</t>
  </si>
  <si>
    <t>WAGEWORKS INC WAGE</t>
  </si>
  <si>
    <t>WESCO AIRCRAFT HLDGS INC WAIR</t>
  </si>
  <si>
    <t>WESTERN ALLIANCE BANCORP WAL</t>
  </si>
  <si>
    <t>WASHINGTON TRUST BANCORP WASH</t>
  </si>
  <si>
    <t>WATERS CORP WAT</t>
  </si>
  <si>
    <t>ENERGOUS CORP WATT</t>
  </si>
  <si>
    <t>WALGREENS BOOTS ALLIANCE WBA</t>
  </si>
  <si>
    <t>WABCO HOLDINGS INC WBC</t>
  </si>
  <si>
    <t>WEBMD HEALTH CORP WBMD</t>
  </si>
  <si>
    <t>WEBSTER FINANCIAL CORP WBS</t>
  </si>
  <si>
    <t>WELBILT WBT</t>
  </si>
  <si>
    <t>WESCO INTERNATIONAL INC WCC</t>
  </si>
  <si>
    <t>WELLCARE GROUP INC WCG</t>
  </si>
  <si>
    <t>WALKER &amp; DUNLOP INC WD</t>
  </si>
  <si>
    <t>WORKDAY INC WDAY</t>
  </si>
  <si>
    <t>WESTERN DIGITAL CORP WDC</t>
  </si>
  <si>
    <t>WD-40 CO WDFC</t>
  </si>
  <si>
    <t>WADDELL &amp; REED FINANCIAL WDR</t>
  </si>
  <si>
    <t>WEB.COM GROUP INC WEB</t>
  </si>
  <si>
    <t>WEC ENERGY GROUP INC WEC</t>
  </si>
  <si>
    <t>THE WENDY'S COMPANY WEN</t>
  </si>
  <si>
    <t>WERNER ENTERPRISES INC WERN</t>
  </si>
  <si>
    <t>WISDOMTREE INVTS INC WETF</t>
  </si>
  <si>
    <t>WEX INC WEX</t>
  </si>
  <si>
    <t>WEYCO GROUP INC WEYS</t>
  </si>
  <si>
    <t>WASHINGTONFIRST BANK INC WFBI</t>
  </si>
  <si>
    <t>WELLS FARGO &amp; CO WFC</t>
  </si>
  <si>
    <t>WHOLE FOODS MARKET INC WFM</t>
  </si>
  <si>
    <t>WEATHERFORD INTL PLC WFT</t>
  </si>
  <si>
    <t>WILLBROS GROUP INC WG</t>
  </si>
  <si>
    <t>WGL HOLDINGS INC WGL</t>
  </si>
  <si>
    <t>WINNEBAGO INDUSTRIES INC WGO</t>
  </si>
  <si>
    <t>WESTWOOD HOLDINGS GROUP WHG</t>
  </si>
  <si>
    <t>WHIRLPOOL CORP WHR</t>
  </si>
  <si>
    <t>BOINGO WIRELESS INC WIFI</t>
  </si>
  <si>
    <t>WINDSTREAM HOLDINGS INC WIN</t>
  </si>
  <si>
    <t>WINMARK CORP WINA</t>
  </si>
  <si>
    <t>WINGSTOP INC WING</t>
  </si>
  <si>
    <t>WINS FINANCE HOLDINGS WINS</t>
  </si>
  <si>
    <t>ENCORE WIRE CORP WIRE</t>
  </si>
  <si>
    <t>WORKIVA INC WK</t>
  </si>
  <si>
    <t>WESTMORELAND COAL CO WLB</t>
  </si>
  <si>
    <t>WILLIS LEASE FINANCE WLFC</t>
  </si>
  <si>
    <t>WILLIAM LYON HOMES WLH</t>
  </si>
  <si>
    <t>WESTLAKE CHEMICAL CORP WLK</t>
  </si>
  <si>
    <t>WHITING PETROLEUM CORP WLL</t>
  </si>
  <si>
    <t>WASTE MGMT INC WM</t>
  </si>
  <si>
    <t>WEST MARINE INC WMAR</t>
  </si>
  <si>
    <t>WILLIAMS COMPANIES INC WMB</t>
  </si>
  <si>
    <t>WESTERN ASSET MTG CAP WMC</t>
  </si>
  <si>
    <t>WRIGHT MEDICAL GROUP N V WMGI</t>
  </si>
  <si>
    <t>WMIH CORP WMIH</t>
  </si>
  <si>
    <t>WEIS MARKETS INC WMK</t>
  </si>
  <si>
    <t>ADVANCED DRAINAGE SYSTEM WMS</t>
  </si>
  <si>
    <t>WAL MART STORES INC WMT</t>
  </si>
  <si>
    <t>WABASH NATIONAL CORP WNC</t>
  </si>
  <si>
    <t>WESTERN NEW ENGLAND WNEB</t>
  </si>
  <si>
    <t>VCA INC WOOF</t>
  </si>
  <si>
    <t>WORTHINGTON INDUSTRIES WOR</t>
  </si>
  <si>
    <t>W P CAREY INC WPC</t>
  </si>
  <si>
    <t>WASHINGTON PRIME GROUP WPG</t>
  </si>
  <si>
    <t>WPX ENERGY INC WPX</t>
  </si>
  <si>
    <t>WESTAR ENERGY INC WR</t>
  </si>
  <si>
    <t>BERKLEY W R CORP WRB</t>
  </si>
  <si>
    <t>WILDHORSE RESOURCE DEV WRD</t>
  </si>
  <si>
    <t>WASHINGTON REAL ESTATE WRE</t>
  </si>
  <si>
    <t>WEINGARTEN RLTY INVS WRI</t>
  </si>
  <si>
    <t>WESTROCK CO WRK</t>
  </si>
  <si>
    <t>WORLD ACCEPTANCE CORP WRLD</t>
  </si>
  <si>
    <t>WESBANCO INC WSBC</t>
  </si>
  <si>
    <t>WATERSTONE FINANCIAL INC WSBF</t>
  </si>
  <si>
    <t>WSFS FINANCIAL CORP WSFS</t>
  </si>
  <si>
    <t>WILLIAMS SONOMA INC WSM</t>
  </si>
  <si>
    <t>WATSCO INC WSO</t>
  </si>
  <si>
    <t>WHITESTONE REIT WSR</t>
  </si>
  <si>
    <t>WEST PHARMACEUTICAL SVCS WST</t>
  </si>
  <si>
    <t>WEST CORP WSTC</t>
  </si>
  <si>
    <t>WEST BANCORPORATION INC WTBA</t>
  </si>
  <si>
    <t>WINTRUST FINANCIAL CORP WTFC</t>
  </si>
  <si>
    <t>W&amp;T OFFSHORE INC WTI</t>
  </si>
  <si>
    <t>WHITE MTNS INS GROUP LTD WTM</t>
  </si>
  <si>
    <t>AQUA AMERICA INC WTR</t>
  </si>
  <si>
    <t>WATTS WATER TECH INC WTS</t>
  </si>
  <si>
    <t>WEIGHT WATCHERS INTL INC WTW</t>
  </si>
  <si>
    <t>WESTERN UNION CO WU</t>
  </si>
  <si>
    <t>WAVE LIFE SCIENCES LTD WVE</t>
  </si>
  <si>
    <t>WOODWARD INC WWD</t>
  </si>
  <si>
    <t>WORLD WRESTLING ENTMNT WWE</t>
  </si>
  <si>
    <t>WOLVERINE WORLD WIDE WWW</t>
  </si>
  <si>
    <t>WEYERHAEUSER CO WY</t>
  </si>
  <si>
    <t>WYNDHAM WORLDWIDE CORP WYN</t>
  </si>
  <si>
    <t>WYNN RESORTS LTD WYNN</t>
  </si>
  <si>
    <t>UNITED STATES STEEL CORP X</t>
  </si>
  <si>
    <t>XBIOTECH INC XBIT</t>
  </si>
  <si>
    <t>XENITH BANKSHARES INC XBKS</t>
  </si>
  <si>
    <t>XCERRA CORPORATION XCRA</t>
  </si>
  <si>
    <t>CIMAREX ENERGY CO XEC</t>
  </si>
  <si>
    <t>XCEL ENERGY INC XEL</t>
  </si>
  <si>
    <t>INTERSECT ENT INC XENT</t>
  </si>
  <si>
    <t>XENIA HOTELS &amp; RESORTS XHR</t>
  </si>
  <si>
    <t>XL GROUP LTD XL</t>
  </si>
  <si>
    <t>XILINX INC XLNX</t>
  </si>
  <si>
    <t>ACCELERON PHARMA INC XLRN</t>
  </si>
  <si>
    <t>XENCOR INC XNCR</t>
  </si>
  <si>
    <t>EXTRACTION OIL &amp; GAS INC XOG</t>
  </si>
  <si>
    <t>EXXON MOBIL CORP XOM</t>
  </si>
  <si>
    <t>INTREXON CORP XON</t>
  </si>
  <si>
    <t>EXONE COMPANY XONE</t>
  </si>
  <si>
    <t>XO GROUP INC XOXO</t>
  </si>
  <si>
    <t>XPERI CORPORATION XPER</t>
  </si>
  <si>
    <t>XPO LOGISTICS INC XPO</t>
  </si>
  <si>
    <t>DENTSPLY SIRONA INC XRAY</t>
  </si>
  <si>
    <t>XEROX CORP XRX</t>
  </si>
  <si>
    <t>XACTLY CORP XTLY</t>
  </si>
  <si>
    <t>XYLEM INC XYL</t>
  </si>
  <si>
    <t>ALLEGHANY CORP Y</t>
  </si>
  <si>
    <t>YELP INC YELP</t>
  </si>
  <si>
    <t>YORK WATER COMPANY YORW</t>
  </si>
  <si>
    <t>YRC WORLDWIDE INC YRCW</t>
  </si>
  <si>
    <t>YUM! BRANDS INC YUM</t>
  </si>
  <si>
    <t>YUM CHINA HOLDINGS INC YUMC</t>
  </si>
  <si>
    <t>ZILLOW GROUP INC CLASS C Z</t>
  </si>
  <si>
    <t>ZAGG INC ZAGG</t>
  </si>
  <si>
    <t>ZAYO GROUP HOLDINGS INC ZAYO</t>
  </si>
  <si>
    <t>ZIMMER BIOMET HOLDINGS ZBH</t>
  </si>
  <si>
    <t>ZEBRA TECHNOLOGIES CORP ZBRA</t>
  </si>
  <si>
    <t>ZENDESK INC ZEN</t>
  </si>
  <si>
    <t>OLYMPIC STEEL INC ZEUS</t>
  </si>
  <si>
    <t>ZILLOW GROUP INC CLASS A ZG</t>
  </si>
  <si>
    <t>ZOGENIX INC ZGNX</t>
  </si>
  <si>
    <t>ZIONS BANCORPORATION ZION</t>
  </si>
  <si>
    <t>ZIOPHARM ONCOLOGY INC ZIOP</t>
  </si>
  <si>
    <t>ZIX CORP ZIXI</t>
  </si>
  <si>
    <t>ZYNGA INC ZNGA</t>
  </si>
  <si>
    <t>ZOES KITCHEN INC ZOES</t>
  </si>
  <si>
    <t>ZOETIS INC ZTS</t>
  </si>
  <si>
    <t>ZUMIEZ INC ZUMZ</t>
  </si>
  <si>
    <t>Investment Portfolio Return Case</t>
  </si>
  <si>
    <t>DASHBOARD AREA</t>
  </si>
  <si>
    <t>Stock Symbol</t>
  </si>
  <si>
    <t>Investment Portfoilo one</t>
  </si>
  <si>
    <t xml:space="preserve">Company Name </t>
  </si>
  <si>
    <t>7 Year Total Return</t>
  </si>
  <si>
    <r>
      <t>Portfolio</t>
    </r>
    <r>
      <rPr>
        <sz val="10"/>
        <rFont val="Verdana"/>
        <family val="2"/>
      </rPr>
      <t>: Mutual Fund 1</t>
    </r>
  </si>
  <si>
    <t>Low</t>
  </si>
  <si>
    <t>High</t>
  </si>
  <si>
    <t>Open</t>
  </si>
  <si>
    <t>Date</t>
  </si>
  <si>
    <t># of shares of Stock</t>
  </si>
  <si>
    <t>Total 7 Year % Return</t>
  </si>
  <si>
    <t>Total Dollar Return in Dollars</t>
  </si>
  <si>
    <t>Russel Benchmark CAGR</t>
  </si>
  <si>
    <t>CAGR</t>
  </si>
  <si>
    <t>Russel RUA Benchmark Total Return 7 year</t>
  </si>
  <si>
    <t>Total Dollars Invested 2018</t>
  </si>
  <si>
    <t>Invested Dollars 2018</t>
  </si>
  <si>
    <t>Purchased Price Per Share Jan 2018</t>
  </si>
  <si>
    <t>Total Dollars Invested 2025</t>
  </si>
  <si>
    <t>Total Return 2018-2025 %</t>
  </si>
  <si>
    <t>Invested Dollars 2025</t>
  </si>
  <si>
    <t>Close </t>
  </si>
  <si>
    <t>Adj Close </t>
  </si>
  <si>
    <t>Current P/E</t>
  </si>
  <si>
    <t>Sold Price Per Share FEB 2025</t>
  </si>
  <si>
    <t>Grand Total</t>
  </si>
  <si>
    <t>Sum of Invested Dollars 2025</t>
  </si>
  <si>
    <t>Average of Current P/E</t>
  </si>
  <si>
    <t>Sum of 7 Year Total Return</t>
  </si>
  <si>
    <t>Stock</t>
  </si>
  <si>
    <t>Sum of Invested Dollars 2018</t>
  </si>
  <si>
    <t>Sum of Return %</t>
  </si>
  <si>
    <t>% Return</t>
  </si>
  <si>
    <t>Bottom 5 Stocks</t>
  </si>
  <si>
    <t>Top 5 Stocks</t>
  </si>
  <si>
    <t>Total Invested Dollars</t>
  </si>
  <si>
    <t>Top 5 Sectors</t>
  </si>
  <si>
    <t>Bottom 5 Sectors</t>
  </si>
  <si>
    <r>
      <t>Benchmark</t>
    </r>
    <r>
      <rPr>
        <sz val="10"/>
        <rFont val="Verdana"/>
        <family val="2"/>
      </rPr>
      <t>:Russell 3000 TR USD</t>
    </r>
  </si>
  <si>
    <t xml:space="preserve">   </t>
  </si>
  <si>
    <t>Stocks by % Return</t>
  </si>
  <si>
    <t>Stocks by Total Invested Dollars</t>
  </si>
  <si>
    <t>Sectors by % Return</t>
  </si>
  <si>
    <t>Sectors by Total Invested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</si>
</sst>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0000%"/>
    <numFmt numFmtId="166" formatCode="&quot;$&quot;#,##0"/>
    <numFmt numFmtId="167" formatCode="&quot;$&quot;#,##0.00"/>
    <numFmt numFmtId="168" formatCode="_(&quot;$&quot;* #,##0_);_(&quot;$&quot;* \(#,##0\);_(&quot;$&quot;* &quot;-&quot;??_);_(@_)"/>
    <numFmt numFmtId="169" formatCode="_(* #,##0_);_(* \(#,##0\);_(* &quot;-&quot;??_);_(@_)"/>
  </numFmts>
  <fonts count="25" x14ac:knownFonts="1">
    <font>
      <sz val="10"/>
      <name val="Arial"/>
    </font>
    <font>
      <sz val="11"/>
      <color theme="1"/>
      <name val="Impact"/>
      <family val="2"/>
      <scheme val="minor"/>
    </font>
    <font>
      <sz val="10"/>
      <name val="Arial"/>
      <family val="2"/>
    </font>
    <font>
      <sz val="10"/>
      <name val="Verdana"/>
      <family val="2"/>
    </font>
    <font>
      <b/>
      <sz val="10"/>
      <name val="Verdana"/>
      <family val="2"/>
    </font>
    <font>
      <sz val="10"/>
      <name val="Arial"/>
      <family val="2"/>
    </font>
    <font>
      <sz val="11"/>
      <color theme="1"/>
      <name val="Impact"/>
      <family val="2"/>
      <scheme val="minor"/>
    </font>
    <font>
      <b/>
      <sz val="14"/>
      <name val="Arial"/>
      <family val="2"/>
    </font>
    <font>
      <b/>
      <sz val="10"/>
      <name val="Arial"/>
      <family val="2"/>
    </font>
    <font>
      <sz val="14"/>
      <name val="Arial"/>
      <family val="2"/>
    </font>
    <font>
      <sz val="18"/>
      <name val="Arial"/>
      <family val="2"/>
    </font>
    <font>
      <sz val="28"/>
      <color theme="1"/>
      <name val="Impact"/>
      <family val="2"/>
      <scheme val="minor"/>
    </font>
    <font>
      <sz val="8"/>
      <color rgb="FF232A31"/>
      <name val="Arial"/>
      <family val="2"/>
    </font>
    <font>
      <sz val="9"/>
      <color indexed="81"/>
      <name val="Tahoma"/>
      <family val="2"/>
    </font>
    <font>
      <b/>
      <sz val="9"/>
      <color indexed="81"/>
      <name val="Tahoma"/>
      <family val="2"/>
    </font>
    <font>
      <sz val="10"/>
      <color rgb="FF000000"/>
      <name val="Tahoma"/>
      <family val="2"/>
    </font>
    <font>
      <b/>
      <sz val="10"/>
      <color rgb="FF000000"/>
      <name val="Tahoma"/>
      <family val="2"/>
    </font>
    <font>
      <b/>
      <sz val="7"/>
      <color rgb="FF232A31"/>
      <name val="Arial"/>
      <family val="2"/>
    </font>
    <font>
      <sz val="7"/>
      <color rgb="FF232A31"/>
      <name val="Arial"/>
      <family val="2"/>
    </font>
    <font>
      <sz val="10"/>
      <name val="Arial"/>
      <family val="2"/>
    </font>
    <font>
      <sz val="11"/>
      <name val="Arial"/>
      <family val="2"/>
    </font>
    <font>
      <sz val="10"/>
      <name val="Arial"/>
      <family val="2"/>
    </font>
    <font>
      <sz val="7"/>
      <name val="Arial"/>
      <family val="2"/>
    </font>
    <font>
      <sz val="11"/>
      <color theme="1"/>
      <name val="Calibri"/>
      <family val="2"/>
    </font>
    <font>
      <sz val="10"/>
      <name val="Calibri"/>
      <family val="2"/>
    </font>
  </fonts>
  <fills count="10">
    <fill>
      <patternFill patternType="none"/>
    </fill>
    <fill>
      <patternFill patternType="gray125"/>
    </fill>
    <fill>
      <patternFill patternType="solid">
        <fgColor rgb="FFFFFF00"/>
        <bgColor indexed="64"/>
      </patternFill>
    </fill>
    <fill>
      <patternFill patternType="solid">
        <fgColor theme="6" tint="-0.24997711111789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1"/>
        <bgColor indexed="64"/>
      </patternFill>
    </fill>
    <fill>
      <patternFill patternType="solid">
        <fgColor theme="6" tint="0.39997558519241921"/>
        <bgColor indexed="64"/>
      </patternFill>
    </fill>
    <fill>
      <patternFill patternType="solid">
        <fgColor rgb="FFFFFFFF"/>
        <bgColor indexed="64"/>
      </patternFill>
    </fill>
  </fills>
  <borders count="23">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style="medium">
        <color auto="1"/>
      </top>
      <bottom/>
      <diagonal/>
    </border>
    <border>
      <left style="medium">
        <color auto="1"/>
      </left>
      <right style="medium">
        <color auto="1"/>
      </right>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6" fillId="0" borderId="0"/>
    <xf numFmtId="9" fontId="2" fillId="0" borderId="0" applyFont="0" applyFill="0" applyBorder="0" applyAlignment="0" applyProtection="0"/>
    <xf numFmtId="0" fontId="1" fillId="0" borderId="0"/>
    <xf numFmtId="44" fontId="19" fillId="0" borderId="0" applyFont="0" applyFill="0" applyBorder="0" applyAlignment="0" applyProtection="0"/>
    <xf numFmtId="43" fontId="21" fillId="0" borderId="0" applyFont="0" applyFill="0" applyBorder="0" applyAlignment="0" applyProtection="0"/>
  </cellStyleXfs>
  <cellXfs count="109">
    <xf numFmtId="0" fontId="0" fillId="0" borderId="0" xfId="0"/>
    <xf numFmtId="0" fontId="3" fillId="0" borderId="0" xfId="0" applyFont="1"/>
    <xf numFmtId="0" fontId="4" fillId="0" borderId="0" xfId="0" applyFont="1"/>
    <xf numFmtId="4" fontId="3" fillId="0" borderId="0" xfId="0" applyNumberFormat="1" applyFont="1"/>
    <xf numFmtId="0" fontId="6" fillId="0" borderId="0" xfId="1"/>
    <xf numFmtId="164" fontId="3" fillId="0" borderId="0" xfId="2" applyNumberFormat="1" applyFont="1" applyAlignment="1"/>
    <xf numFmtId="0" fontId="4" fillId="2" borderId="1" xfId="0" applyFont="1" applyFill="1" applyBorder="1" applyAlignment="1">
      <alignment horizontal="center" vertical="center" wrapText="1"/>
    </xf>
    <xf numFmtId="165" fontId="3" fillId="0" borderId="0" xfId="2" applyNumberFormat="1" applyFont="1" applyAlignment="1"/>
    <xf numFmtId="0" fontId="0" fillId="3" borderId="0" xfId="0" applyFill="1"/>
    <xf numFmtId="0" fontId="7" fillId="3" borderId="0" xfId="0" applyFont="1" applyFill="1"/>
    <xf numFmtId="0" fontId="8" fillId="3" borderId="0" xfId="0" applyFont="1" applyFill="1"/>
    <xf numFmtId="0" fontId="9" fillId="3" borderId="0" xfId="0" applyFont="1" applyFill="1"/>
    <xf numFmtId="0" fontId="4" fillId="2" borderId="9" xfId="0" applyFont="1" applyFill="1" applyBorder="1" applyAlignment="1">
      <alignment horizontal="center" vertical="center" wrapText="1"/>
    </xf>
    <xf numFmtId="0" fontId="6" fillId="5" borderId="0" xfId="1" applyFill="1"/>
    <xf numFmtId="0" fontId="6" fillId="6" borderId="5" xfId="1" applyFill="1" applyBorder="1"/>
    <xf numFmtId="0" fontId="6" fillId="6" borderId="6" xfId="1" applyFill="1" applyBorder="1"/>
    <xf numFmtId="0" fontId="6" fillId="6" borderId="7" xfId="1" applyFill="1" applyBorder="1"/>
    <xf numFmtId="0" fontId="6" fillId="6" borderId="12" xfId="1" applyFill="1" applyBorder="1"/>
    <xf numFmtId="0" fontId="6" fillId="6" borderId="13" xfId="1" applyFill="1" applyBorder="1"/>
    <xf numFmtId="167" fontId="0" fillId="0" borderId="0" xfId="0" applyNumberFormat="1"/>
    <xf numFmtId="0" fontId="4" fillId="0" borderId="14" xfId="0" applyFont="1" applyBorder="1" applyAlignment="1">
      <alignment horizontal="left"/>
    </xf>
    <xf numFmtId="0" fontId="4" fillId="0" borderId="15" xfId="0" applyFont="1" applyBorder="1" applyAlignment="1">
      <alignment horizontal="left"/>
    </xf>
    <xf numFmtId="0" fontId="4" fillId="0" borderId="16" xfId="0" applyFont="1" applyBorder="1" applyAlignment="1">
      <alignment horizontal="left"/>
    </xf>
    <xf numFmtId="0" fontId="0" fillId="7" borderId="0" xfId="0" applyFill="1"/>
    <xf numFmtId="4" fontId="12" fillId="7" borderId="0" xfId="0" applyNumberFormat="1" applyFont="1" applyFill="1" applyAlignment="1">
      <alignment horizontal="right" vertical="center"/>
    </xf>
    <xf numFmtId="0" fontId="4" fillId="7" borderId="0" xfId="0" applyFont="1" applyFill="1" applyAlignment="1">
      <alignment horizontal="center" vertical="center" wrapText="1"/>
    </xf>
    <xf numFmtId="0" fontId="4" fillId="7" borderId="0" xfId="0" applyFont="1" applyFill="1" applyAlignment="1">
      <alignment wrapText="1"/>
    </xf>
    <xf numFmtId="0" fontId="10" fillId="4" borderId="2" xfId="0" applyFont="1" applyFill="1" applyBorder="1"/>
    <xf numFmtId="0" fontId="10" fillId="4" borderId="8" xfId="0" applyFont="1" applyFill="1" applyBorder="1"/>
    <xf numFmtId="9" fontId="0" fillId="0" borderId="0" xfId="2" applyFont="1"/>
    <xf numFmtId="0" fontId="4" fillId="2" borderId="2" xfId="0" applyFont="1" applyFill="1" applyBorder="1" applyAlignment="1">
      <alignment horizontal="center" vertical="center" wrapText="1"/>
    </xf>
    <xf numFmtId="0" fontId="2" fillId="0" borderId="18" xfId="0" applyFont="1" applyBorder="1"/>
    <xf numFmtId="0" fontId="2" fillId="0" borderId="19" xfId="0" applyFont="1" applyBorder="1"/>
    <xf numFmtId="0" fontId="5" fillId="0" borderId="14" xfId="0" applyFont="1" applyBorder="1"/>
    <xf numFmtId="0" fontId="2" fillId="0" borderId="15" xfId="0" applyFont="1" applyBorder="1"/>
    <xf numFmtId="0" fontId="10" fillId="7" borderId="8" xfId="0" applyFont="1" applyFill="1" applyBorder="1"/>
    <xf numFmtId="0" fontId="4" fillId="0" borderId="20" xfId="0" applyFont="1" applyBorder="1" applyAlignment="1">
      <alignment horizontal="left"/>
    </xf>
    <xf numFmtId="0" fontId="2" fillId="0" borderId="21" xfId="0" applyFont="1" applyBorder="1"/>
    <xf numFmtId="0" fontId="4" fillId="0" borderId="15" xfId="0" applyFont="1" applyBorder="1" applyAlignment="1">
      <alignment horizontal="left" wrapText="1"/>
    </xf>
    <xf numFmtId="0" fontId="17" fillId="9" borderId="0" xfId="0" applyFont="1" applyFill="1" applyAlignment="1">
      <alignment horizontal="right" vertical="center"/>
    </xf>
    <xf numFmtId="15" fontId="18" fillId="9" borderId="0" xfId="0" applyNumberFormat="1" applyFont="1" applyFill="1" applyAlignment="1">
      <alignment horizontal="left" vertical="center"/>
    </xf>
    <xf numFmtId="4" fontId="18" fillId="9" borderId="0" xfId="0" applyNumberFormat="1" applyFont="1" applyFill="1" applyAlignment="1">
      <alignment horizontal="right" vertical="center"/>
    </xf>
    <xf numFmtId="4" fontId="0" fillId="0" borderId="0" xfId="0" applyNumberFormat="1"/>
    <xf numFmtId="0" fontId="10" fillId="7" borderId="0" xfId="0" applyFont="1" applyFill="1"/>
    <xf numFmtId="164" fontId="4" fillId="0" borderId="0" xfId="0" applyNumberFormat="1" applyFont="1" applyAlignment="1">
      <alignment horizontal="center" vertical="center" wrapText="1"/>
    </xf>
    <xf numFmtId="166" fontId="0" fillId="0" borderId="0" xfId="0" applyNumberFormat="1"/>
    <xf numFmtId="0" fontId="4" fillId="8" borderId="0" xfId="0" applyFont="1" applyFill="1" applyAlignment="1">
      <alignment horizontal="center" vertical="center" wrapText="1"/>
    </xf>
    <xf numFmtId="166" fontId="3" fillId="0" borderId="0" xfId="2" applyNumberFormat="1" applyFont="1" applyAlignment="1"/>
    <xf numFmtId="168" fontId="3" fillId="0" borderId="0" xfId="4" applyNumberFormat="1" applyFont="1" applyAlignment="1"/>
    <xf numFmtId="4" fontId="18" fillId="2" borderId="0" xfId="0" applyNumberFormat="1" applyFont="1" applyFill="1" applyAlignment="1">
      <alignment horizontal="right" vertical="center"/>
    </xf>
    <xf numFmtId="167" fontId="10" fillId="7" borderId="8" xfId="0" applyNumberFormat="1" applyFont="1" applyFill="1" applyBorder="1"/>
    <xf numFmtId="167" fontId="0" fillId="7" borderId="0" xfId="0" applyNumberFormat="1" applyFill="1"/>
    <xf numFmtId="167" fontId="12" fillId="7" borderId="0" xfId="0" applyNumberFormat="1" applyFont="1" applyFill="1" applyAlignment="1">
      <alignment horizontal="right" vertical="center"/>
    </xf>
    <xf numFmtId="167" fontId="4" fillId="7" borderId="0" xfId="0" applyNumberFormat="1" applyFont="1" applyFill="1" applyAlignment="1">
      <alignment wrapText="1"/>
    </xf>
    <xf numFmtId="167" fontId="4" fillId="2" borderId="9" xfId="0" applyNumberFormat="1" applyFont="1" applyFill="1" applyBorder="1" applyAlignment="1">
      <alignment horizontal="center" vertical="center" wrapText="1"/>
    </xf>
    <xf numFmtId="167" fontId="3" fillId="0" borderId="0" xfId="2" applyNumberFormat="1" applyFont="1" applyAlignment="1"/>
    <xf numFmtId="167" fontId="3" fillId="0" borderId="0" xfId="0" applyNumberFormat="1" applyFont="1"/>
    <xf numFmtId="167" fontId="10" fillId="7" borderId="11" xfId="0" applyNumberFormat="1" applyFont="1" applyFill="1" applyBorder="1"/>
    <xf numFmtId="167" fontId="4" fillId="2" borderId="2" xfId="0" applyNumberFormat="1" applyFont="1" applyFill="1" applyBorder="1" applyAlignment="1">
      <alignment horizontal="center" vertical="center" wrapText="1"/>
    </xf>
    <xf numFmtId="10" fontId="4" fillId="0" borderId="17" xfId="0" applyNumberFormat="1" applyFont="1" applyBorder="1" applyAlignment="1">
      <alignment horizontal="center" vertical="center" wrapText="1"/>
    </xf>
    <xf numFmtId="0" fontId="0" fillId="0" borderId="0" xfId="0" pivotButton="1"/>
    <xf numFmtId="0" fontId="0" fillId="0" borderId="0" xfId="0" applyAlignment="1">
      <alignment horizontal="left"/>
    </xf>
    <xf numFmtId="9" fontId="0" fillId="0" borderId="0" xfId="0" applyNumberFormat="1"/>
    <xf numFmtId="10" fontId="4" fillId="8" borderId="3" xfId="0" applyNumberFormat="1" applyFont="1" applyFill="1" applyBorder="1" applyAlignment="1">
      <alignment horizontal="center" vertical="center" wrapText="1"/>
    </xf>
    <xf numFmtId="10" fontId="0" fillId="8" borderId="0" xfId="0" applyNumberFormat="1" applyFill="1"/>
    <xf numFmtId="0" fontId="20" fillId="0" borderId="0" xfId="0" applyFont="1"/>
    <xf numFmtId="165" fontId="20" fillId="0" borderId="0" xfId="2" applyNumberFormat="1" applyFont="1" applyAlignment="1"/>
    <xf numFmtId="166" fontId="20" fillId="0" borderId="0" xfId="2" applyNumberFormat="1" applyFont="1" applyAlignment="1"/>
    <xf numFmtId="167" fontId="20" fillId="0" borderId="0" xfId="0" applyNumberFormat="1" applyFont="1"/>
    <xf numFmtId="4" fontId="20" fillId="0" borderId="0" xfId="0" applyNumberFormat="1" applyFont="1"/>
    <xf numFmtId="9" fontId="20" fillId="0" borderId="0" xfId="2" applyFont="1"/>
    <xf numFmtId="166" fontId="20" fillId="0" borderId="0" xfId="0" applyNumberFormat="1" applyFont="1"/>
    <xf numFmtId="166" fontId="0" fillId="0" borderId="19" xfId="0" applyNumberFormat="1" applyBorder="1"/>
    <xf numFmtId="166" fontId="4" fillId="8" borderId="13" xfId="0" applyNumberFormat="1" applyFont="1" applyFill="1" applyBorder="1" applyAlignment="1">
      <alignment horizontal="center" vertical="center" wrapText="1"/>
    </xf>
    <xf numFmtId="166" fontId="4" fillId="8" borderId="3" xfId="0" applyNumberFormat="1" applyFont="1" applyFill="1" applyBorder="1" applyAlignment="1">
      <alignment horizontal="center" vertical="center" wrapText="1"/>
    </xf>
    <xf numFmtId="4" fontId="22" fillId="0" borderId="0" xfId="0" applyNumberFormat="1" applyFont="1"/>
    <xf numFmtId="10" fontId="0" fillId="0" borderId="0" xfId="0" applyNumberFormat="1"/>
    <xf numFmtId="9" fontId="0" fillId="8" borderId="1" xfId="0" applyNumberFormat="1" applyFill="1" applyBorder="1"/>
    <xf numFmtId="10" fontId="20" fillId="0" borderId="0" xfId="0" applyNumberFormat="1" applyFont="1"/>
    <xf numFmtId="0" fontId="2" fillId="0" borderId="22" xfId="0" applyFont="1" applyBorder="1"/>
    <xf numFmtId="9" fontId="2" fillId="0" borderId="22" xfId="2" applyFont="1" applyBorder="1"/>
    <xf numFmtId="0" fontId="0" fillId="0" borderId="22" xfId="0" applyBorder="1"/>
    <xf numFmtId="9" fontId="0" fillId="0" borderId="22" xfId="2" applyFont="1" applyBorder="1"/>
    <xf numFmtId="166" fontId="0" fillId="0" borderId="22" xfId="2" applyNumberFormat="1" applyFont="1" applyBorder="1"/>
    <xf numFmtId="167" fontId="0" fillId="0" borderId="22" xfId="0" applyNumberFormat="1" applyBorder="1"/>
    <xf numFmtId="166" fontId="0" fillId="0" borderId="22" xfId="4" applyNumberFormat="1" applyFont="1" applyBorder="1"/>
    <xf numFmtId="166" fontId="0" fillId="0" borderId="22" xfId="0" applyNumberFormat="1" applyBorder="1"/>
    <xf numFmtId="0" fontId="23" fillId="0" borderId="2" xfId="1" applyFont="1" applyBorder="1" applyAlignment="1">
      <alignment horizontal="center"/>
    </xf>
    <xf numFmtId="0" fontId="23" fillId="0" borderId="4" xfId="1" applyFont="1" applyBorder="1" applyAlignment="1">
      <alignment horizontal="center"/>
    </xf>
    <xf numFmtId="0" fontId="23" fillId="0" borderId="3" xfId="1" applyFont="1" applyBorder="1" applyAlignment="1">
      <alignment horizontal="center"/>
    </xf>
    <xf numFmtId="0" fontId="23" fillId="0" borderId="0" xfId="1" applyFont="1"/>
    <xf numFmtId="0" fontId="24" fillId="0" borderId="0" xfId="0" applyFont="1"/>
    <xf numFmtId="15" fontId="17" fillId="9" borderId="0" xfId="0" applyNumberFormat="1" applyFont="1" applyFill="1" applyAlignment="1">
      <alignment horizontal="left" vertical="center"/>
    </xf>
    <xf numFmtId="15" fontId="22" fillId="0" borderId="0" xfId="0" applyNumberFormat="1" applyFont="1" applyAlignment="1">
      <alignment horizontal="left"/>
    </xf>
    <xf numFmtId="15" fontId="0" fillId="0" borderId="0" xfId="0" applyNumberFormat="1" applyAlignment="1">
      <alignment horizontal="left"/>
    </xf>
    <xf numFmtId="169" fontId="20" fillId="0" borderId="0" xfId="5" applyNumberFormat="1" applyFont="1"/>
    <xf numFmtId="0" fontId="0" fillId="0" borderId="0" xfId="0" applyAlignment="1">
      <alignment horizontal="center"/>
    </xf>
    <xf numFmtId="0" fontId="11" fillId="6" borderId="10" xfId="1" applyFont="1" applyFill="1" applyBorder="1" applyAlignment="1">
      <alignment horizontal="center"/>
    </xf>
    <xf numFmtId="0" fontId="11" fillId="6" borderId="8" xfId="1" applyFont="1" applyFill="1" applyBorder="1" applyAlignment="1">
      <alignment horizontal="center"/>
    </xf>
    <xf numFmtId="0" fontId="11" fillId="6" borderId="11" xfId="1" applyFont="1" applyFill="1" applyBorder="1" applyAlignment="1">
      <alignment horizontal="center"/>
    </xf>
    <xf numFmtId="0" fontId="8" fillId="2" borderId="22" xfId="0" applyFont="1" applyFill="1" applyBorder="1" applyAlignment="1">
      <alignment horizontal="center"/>
    </xf>
    <xf numFmtId="0" fontId="0" fillId="0" borderId="0" xfId="0" applyAlignment="1">
      <alignment horizontal="center"/>
    </xf>
    <xf numFmtId="0" fontId="2" fillId="0" borderId="22" xfId="0" applyFont="1" applyBorder="1" applyAlignment="1">
      <alignment horizontal="center"/>
    </xf>
    <xf numFmtId="0" fontId="0" fillId="0" borderId="22" xfId="0" applyBorder="1" applyAlignment="1">
      <alignment horizontal="center"/>
    </xf>
    <xf numFmtId="0" fontId="2" fillId="2" borderId="22" xfId="0" applyFont="1" applyFill="1" applyBorder="1" applyAlignment="1">
      <alignment horizontal="center"/>
    </xf>
    <xf numFmtId="0" fontId="0" fillId="2" borderId="22" xfId="0" applyFill="1" applyBorder="1" applyAlignment="1">
      <alignment horizontal="center"/>
    </xf>
    <xf numFmtId="9" fontId="0" fillId="0" borderId="22" xfId="2" applyFont="1" applyBorder="1" applyAlignment="1">
      <alignment horizontal="center"/>
    </xf>
    <xf numFmtId="0" fontId="6" fillId="5" borderId="0" xfId="1" applyFill="1" applyBorder="1"/>
    <xf numFmtId="0" fontId="6" fillId="6" borderId="0" xfId="1" applyFill="1" applyBorder="1"/>
  </cellXfs>
  <cellStyles count="6">
    <cellStyle name="Comma" xfId="5" builtinId="3"/>
    <cellStyle name="Currency" xfId="4" builtinId="4"/>
    <cellStyle name="Normal" xfId="0" builtinId="0"/>
    <cellStyle name="Normal 2" xfId="1" xr:uid="{00000000-0005-0000-0000-000001000000}"/>
    <cellStyle name="Normal 3" xfId="3" xr:uid="{8E70FFED-AC47-4DF3-BEA0-C063079D3EC7}"/>
    <cellStyle name="Percent" xfId="2" builtinId="5"/>
  </cellStyles>
  <dxfs count="5">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100" baseline="0">
                <a:ln>
                  <a:noFill/>
                </a:ln>
                <a:solidFill>
                  <a:schemeClr val="tx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2000"/>
              <a:t>Bottom 5 Stocks Total 7 Year % Return</a:t>
            </a:r>
          </a:p>
        </c:rich>
      </c:tx>
      <c:overlay val="0"/>
      <c:spPr>
        <a:noFill/>
        <a:ln>
          <a:noFill/>
        </a:ln>
        <a:effectLst/>
      </c:spPr>
      <c:txPr>
        <a:bodyPr rot="0" spcFirstLastPara="1" vertOverflow="ellipsis" vert="horz" wrap="square" anchor="ctr" anchorCtr="1"/>
        <a:lstStyle/>
        <a:p>
          <a:pPr>
            <a:defRPr sz="2000" b="1" i="0" u="none" strike="noStrike" kern="1200" spc="100" baseline="0">
              <a:ln>
                <a:noFill/>
              </a:ln>
              <a:solidFill>
                <a:schemeClr val="tx1"/>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8.245031871016123E-2"/>
          <c:y val="0.22663888888888889"/>
          <c:w val="0.86499515685539308"/>
          <c:h val="0.66055074365704292"/>
        </c:manualLayout>
      </c:layout>
      <c:barChart>
        <c:barDir val="bar"/>
        <c:grouping val="clustered"/>
        <c:varyColors val="0"/>
        <c:ser>
          <c:idx val="0"/>
          <c:order val="0"/>
          <c:tx>
            <c:strRef>
              <c:f>'Stock Pivot Table'!$I$14</c:f>
              <c:strCache>
                <c:ptCount val="1"/>
                <c:pt idx="0">
                  <c:v>% Return</c:v>
                </c:pt>
              </c:strCache>
            </c:strRef>
          </c:tx>
          <c:spPr>
            <a:blipFill>
              <a:blip xmlns:r="http://schemas.openxmlformats.org/officeDocument/2006/relationships" r:embed="rId3">
                <a:duotone>
                  <a:schemeClr val="accent5">
                    <a:shade val="88000"/>
                    <a:lumMod val="88000"/>
                  </a:schemeClr>
                  <a:schemeClr val="accent5"/>
                </a:duotone>
              </a:blip>
              <a:tile tx="0" ty="0" sx="100000" sy="100000" flip="none" algn="tl"/>
            </a:blipFill>
            <a:ln>
              <a:noFill/>
            </a:ln>
            <a:effectLst>
              <a:outerShdw blurRad="25400" dist="12700" dir="5400000" rotWithShape="0">
                <a:srgbClr val="000000">
                  <a:alpha val="60000"/>
                </a:srgbClr>
              </a:outerShdw>
            </a:effectLst>
          </c:spPr>
          <c:invertIfNegative val="0"/>
          <c:cat>
            <c:strRef>
              <c:f>'Stock Pivot Table'!$H$15:$H$19</c:f>
              <c:strCache>
                <c:ptCount val="5"/>
                <c:pt idx="0">
                  <c:v>AGR</c:v>
                </c:pt>
                <c:pt idx="1">
                  <c:v>CERS</c:v>
                </c:pt>
                <c:pt idx="2">
                  <c:v>DISH</c:v>
                </c:pt>
                <c:pt idx="3">
                  <c:v>AMD</c:v>
                </c:pt>
                <c:pt idx="4">
                  <c:v>ATO</c:v>
                </c:pt>
              </c:strCache>
            </c:strRef>
          </c:cat>
          <c:val>
            <c:numRef>
              <c:f>'Stock Pivot Table'!$I$15:$I$19</c:f>
              <c:numCache>
                <c:formatCode>0%</c:formatCode>
                <c:ptCount val="5"/>
                <c:pt idx="0">
                  <c:v>-0.98283567766170377</c:v>
                </c:pt>
                <c:pt idx="1">
                  <c:v>-0.98535729943007455</c:v>
                </c:pt>
                <c:pt idx="2">
                  <c:v>-0.99758298420883018</c:v>
                </c:pt>
                <c:pt idx="3">
                  <c:v>-0.99898161244695882</c:v>
                </c:pt>
                <c:pt idx="4">
                  <c:v>-1</c:v>
                </c:pt>
              </c:numCache>
            </c:numRef>
          </c:val>
          <c:extLst>
            <c:ext xmlns:c16="http://schemas.microsoft.com/office/drawing/2014/chart" uri="{C3380CC4-5D6E-409C-BE32-E72D297353CC}">
              <c16:uniqueId val="{00000000-01D8-4DA4-B9BB-8ED55D6D6B0C}"/>
            </c:ext>
          </c:extLst>
        </c:ser>
        <c:dLbls>
          <c:showLegendKey val="0"/>
          <c:showVal val="0"/>
          <c:showCatName val="0"/>
          <c:showSerName val="0"/>
          <c:showPercent val="0"/>
          <c:showBubbleSize val="0"/>
        </c:dLbls>
        <c:gapWidth val="115"/>
        <c:overlap val="-20"/>
        <c:axId val="203937471"/>
        <c:axId val="203938431"/>
      </c:barChart>
      <c:catAx>
        <c:axId val="2039374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1" i="0" u="none" strike="noStrike" kern="1200" baseline="0">
                <a:ln>
                  <a:no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938431"/>
        <c:crosses val="autoZero"/>
        <c:auto val="1"/>
        <c:lblAlgn val="ctr"/>
        <c:lblOffset val="100"/>
        <c:noMultiLvlLbl val="0"/>
      </c:catAx>
      <c:valAx>
        <c:axId val="203938431"/>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2000" b="1" i="0" u="none" strike="noStrike" kern="1200" cap="all" baseline="0">
                    <a:ln>
                      <a:noFill/>
                    </a:ln>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Figure</a:t>
                </a:r>
                <a:r>
                  <a:rPr lang="en-US" baseline="0"/>
                  <a:t> 2</a:t>
                </a:r>
                <a:endParaRPr lang="en-US"/>
              </a:p>
            </c:rich>
          </c:tx>
          <c:overlay val="0"/>
          <c:spPr>
            <a:noFill/>
            <a:ln>
              <a:noFill/>
            </a:ln>
            <a:effectLst/>
          </c:spPr>
          <c:txPr>
            <a:bodyPr rot="0" spcFirstLastPara="1" vertOverflow="ellipsis" vert="horz" wrap="square" anchor="ctr" anchorCtr="1"/>
            <a:lstStyle/>
            <a:p>
              <a:pPr>
                <a:defRPr sz="2000" b="1" i="0" u="none" strike="noStrike" kern="1200" cap="all" baseline="0">
                  <a:ln>
                    <a:no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2000" b="1" i="0" u="none" strike="noStrike" kern="1200" baseline="0">
                <a:ln>
                  <a:no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937471"/>
        <c:crosses val="autoZero"/>
        <c:crossBetween val="between"/>
      </c:valAx>
      <c:spPr>
        <a:noFill/>
        <a:ln>
          <a:noFill/>
        </a:ln>
        <a:effectLst/>
      </c:spPr>
    </c:plotArea>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a:lstStyle/>
    <a:p>
      <a:pPr>
        <a:defRPr sz="2000" b="1">
          <a:ln>
            <a:no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tx>
            <c:strRef>
              <c:f>'Sector Pivot Table'!$I$11:$I$12</c:f>
              <c:strCache>
                <c:ptCount val="2"/>
                <c:pt idx="0">
                  <c:v>Bottom 5 Sectors</c:v>
                </c:pt>
                <c:pt idx="1">
                  <c:v>% Return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 Pivot Table'!$H$13:$H$17</c:f>
              <c:strCache>
                <c:ptCount val="5"/>
                <c:pt idx="0">
                  <c:v>Farm Products</c:v>
                </c:pt>
                <c:pt idx="1">
                  <c:v>Real Estate - General</c:v>
                </c:pt>
                <c:pt idx="2">
                  <c:v>Industrial Metals &amp; Minerals</c:v>
                </c:pt>
                <c:pt idx="3">
                  <c:v>REIT - Hotel &amp; Motel</c:v>
                </c:pt>
                <c:pt idx="4">
                  <c:v>REIT - Office</c:v>
                </c:pt>
              </c:strCache>
            </c:strRef>
          </c:cat>
          <c:val>
            <c:numRef>
              <c:f>'Sector Pivot Table'!$I$13:$I$17</c:f>
              <c:numCache>
                <c:formatCode>0%</c:formatCode>
                <c:ptCount val="5"/>
                <c:pt idx="0">
                  <c:v>-0.78490887032732071</c:v>
                </c:pt>
                <c:pt idx="1">
                  <c:v>-0.79432043940633401</c:v>
                </c:pt>
                <c:pt idx="2">
                  <c:v>-0.84775878314712616</c:v>
                </c:pt>
                <c:pt idx="3">
                  <c:v>-0.88936731163677274</c:v>
                </c:pt>
                <c:pt idx="4">
                  <c:v>-0.94169107639859007</c:v>
                </c:pt>
              </c:numCache>
            </c:numRef>
          </c:val>
          <c:extLst>
            <c:ext xmlns:c16="http://schemas.microsoft.com/office/drawing/2014/chart" uri="{C3380CC4-5D6E-409C-BE32-E72D297353CC}">
              <c16:uniqueId val="{00000000-7DB3-478B-A394-8509183A958C}"/>
            </c:ext>
          </c:extLst>
        </c:ser>
        <c:dLbls>
          <c:dLblPos val="outEnd"/>
          <c:showLegendKey val="0"/>
          <c:showVal val="1"/>
          <c:showCatName val="0"/>
          <c:showSerName val="0"/>
          <c:showPercent val="0"/>
          <c:showBubbleSize val="0"/>
        </c:dLbls>
        <c:gapWidth val="182"/>
        <c:axId val="268897968"/>
        <c:axId val="268899408"/>
      </c:barChart>
      <c:catAx>
        <c:axId val="26889796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8899408"/>
        <c:crosses val="max"/>
        <c:auto val="1"/>
        <c:lblAlgn val="ctr"/>
        <c:lblOffset val="100"/>
        <c:noMultiLvlLbl val="0"/>
      </c:catAx>
      <c:valAx>
        <c:axId val="268899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FIGURE</a:t>
                </a:r>
                <a:r>
                  <a:rPr lang="en-US" baseline="0"/>
                  <a:t> 6</a:t>
                </a:r>
                <a:endParaRPr lang="en-US"/>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8897968"/>
        <c:crosses val="autoZero"/>
        <c:crossBetween val="between"/>
      </c:valAx>
      <c:spPr>
        <a:noFill/>
        <a:ln>
          <a:noFill/>
        </a:ln>
        <a:effectLst/>
      </c:spPr>
    </c:plotArea>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0800000" scaled="1"/>
      <a:tileRect/>
    </a:gradFill>
    <a:ln w="9525" cap="flat" cmpd="sng" algn="ctr">
      <a:solidFill>
        <a:schemeClr val="tx1">
          <a:lumMod val="15000"/>
          <a:lumOff val="85000"/>
        </a:schemeClr>
      </a:solidFill>
      <a:round/>
    </a:ln>
    <a:effectLst/>
  </c:spPr>
  <c:txPr>
    <a:bodyPr/>
    <a:lstStyle/>
    <a:p>
      <a:pPr>
        <a:defRPr sz="20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Top 5 Sectors by Total Invested Dollars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stacked"/>
        <c:varyColors val="0"/>
        <c:ser>
          <c:idx val="0"/>
          <c:order val="0"/>
          <c:tx>
            <c:strRef>
              <c:f>'Sector Pivot Table'!$H$21</c:f>
              <c:strCache>
                <c:ptCount val="1"/>
                <c:pt idx="0">
                  <c:v>Specialty Retail</c:v>
                </c:pt>
              </c:strCache>
            </c:strRef>
          </c:tx>
          <c:spPr>
            <a:solidFill>
              <a:schemeClr val="accent1"/>
            </a:solidFill>
            <a:ln>
              <a:noFill/>
            </a:ln>
            <a:effectLst/>
          </c:spPr>
          <c:invertIfNegative val="0"/>
          <c:cat>
            <c:strRef>
              <c:f>'Sector Pivot Table'!$I$19:$I$20</c:f>
              <c:strCache>
                <c:ptCount val="2"/>
                <c:pt idx="1">
                  <c:v>Total Invested Dollars</c:v>
                </c:pt>
              </c:strCache>
            </c:strRef>
          </c:cat>
          <c:val>
            <c:numRef>
              <c:f>'Sector Pivot Table'!$I$21</c:f>
              <c:numCache>
                <c:formatCode>"$"#,##0</c:formatCode>
                <c:ptCount val="1"/>
                <c:pt idx="0">
                  <c:v>3994122865.2981176</c:v>
                </c:pt>
              </c:numCache>
            </c:numRef>
          </c:val>
          <c:extLst>
            <c:ext xmlns:c16="http://schemas.microsoft.com/office/drawing/2014/chart" uri="{C3380CC4-5D6E-409C-BE32-E72D297353CC}">
              <c16:uniqueId val="{00000000-63D8-4413-8755-E70F14902B28}"/>
            </c:ext>
          </c:extLst>
        </c:ser>
        <c:ser>
          <c:idx val="1"/>
          <c:order val="1"/>
          <c:tx>
            <c:strRef>
              <c:f>'Sector Pivot Table'!$H$22</c:f>
              <c:strCache>
                <c:ptCount val="1"/>
                <c:pt idx="0">
                  <c:v>Diversified Industrials</c:v>
                </c:pt>
              </c:strCache>
            </c:strRef>
          </c:tx>
          <c:spPr>
            <a:solidFill>
              <a:schemeClr val="accent2"/>
            </a:solidFill>
            <a:ln>
              <a:noFill/>
            </a:ln>
            <a:effectLst/>
          </c:spPr>
          <c:invertIfNegative val="0"/>
          <c:cat>
            <c:strRef>
              <c:f>'Sector Pivot Table'!$I$19:$I$20</c:f>
              <c:strCache>
                <c:ptCount val="2"/>
                <c:pt idx="1">
                  <c:v>Total Invested Dollars</c:v>
                </c:pt>
              </c:strCache>
            </c:strRef>
          </c:cat>
          <c:val>
            <c:numRef>
              <c:f>'Sector Pivot Table'!$I$22</c:f>
              <c:numCache>
                <c:formatCode>"$"#,##0</c:formatCode>
                <c:ptCount val="1"/>
                <c:pt idx="0">
                  <c:v>3888917723.732584</c:v>
                </c:pt>
              </c:numCache>
            </c:numRef>
          </c:val>
          <c:extLst>
            <c:ext xmlns:c16="http://schemas.microsoft.com/office/drawing/2014/chart" uri="{C3380CC4-5D6E-409C-BE32-E72D297353CC}">
              <c16:uniqueId val="{00000009-63D8-4413-8755-E70F14902B28}"/>
            </c:ext>
          </c:extLst>
        </c:ser>
        <c:ser>
          <c:idx val="2"/>
          <c:order val="2"/>
          <c:tx>
            <c:strRef>
              <c:f>'Sector Pivot Table'!$H$23</c:f>
              <c:strCache>
                <c:ptCount val="1"/>
                <c:pt idx="0">
                  <c:v>Insurance Brokers</c:v>
                </c:pt>
              </c:strCache>
            </c:strRef>
          </c:tx>
          <c:spPr>
            <a:solidFill>
              <a:schemeClr val="accent3"/>
            </a:solidFill>
            <a:ln>
              <a:noFill/>
            </a:ln>
            <a:effectLst/>
          </c:spPr>
          <c:invertIfNegative val="0"/>
          <c:cat>
            <c:strRef>
              <c:f>'Sector Pivot Table'!$I$19:$I$20</c:f>
              <c:strCache>
                <c:ptCount val="2"/>
                <c:pt idx="1">
                  <c:v>Total Invested Dollars</c:v>
                </c:pt>
              </c:strCache>
            </c:strRef>
          </c:cat>
          <c:val>
            <c:numRef>
              <c:f>'Sector Pivot Table'!$I$23</c:f>
              <c:numCache>
                <c:formatCode>"$"#,##0</c:formatCode>
                <c:ptCount val="1"/>
                <c:pt idx="0">
                  <c:v>3312096073.8402658</c:v>
                </c:pt>
              </c:numCache>
            </c:numRef>
          </c:val>
          <c:extLst>
            <c:ext xmlns:c16="http://schemas.microsoft.com/office/drawing/2014/chart" uri="{C3380CC4-5D6E-409C-BE32-E72D297353CC}">
              <c16:uniqueId val="{0000000A-63D8-4413-8755-E70F14902B28}"/>
            </c:ext>
          </c:extLst>
        </c:ser>
        <c:ser>
          <c:idx val="3"/>
          <c:order val="3"/>
          <c:tx>
            <c:strRef>
              <c:f>'Sector Pivot Table'!$H$24</c:f>
              <c:strCache>
                <c:ptCount val="1"/>
                <c:pt idx="0">
                  <c:v>Software - Application</c:v>
                </c:pt>
              </c:strCache>
            </c:strRef>
          </c:tx>
          <c:spPr>
            <a:solidFill>
              <a:schemeClr val="accent4"/>
            </a:solidFill>
            <a:ln>
              <a:noFill/>
            </a:ln>
            <a:effectLst/>
          </c:spPr>
          <c:invertIfNegative val="0"/>
          <c:cat>
            <c:strRef>
              <c:f>'Sector Pivot Table'!$I$19:$I$20</c:f>
              <c:strCache>
                <c:ptCount val="2"/>
                <c:pt idx="1">
                  <c:v>Total Invested Dollars</c:v>
                </c:pt>
              </c:strCache>
            </c:strRef>
          </c:cat>
          <c:val>
            <c:numRef>
              <c:f>'Sector Pivot Table'!$I$24</c:f>
              <c:numCache>
                <c:formatCode>"$"#,##0</c:formatCode>
                <c:ptCount val="1"/>
                <c:pt idx="0">
                  <c:v>2583966796.8830824</c:v>
                </c:pt>
              </c:numCache>
            </c:numRef>
          </c:val>
          <c:extLst>
            <c:ext xmlns:c16="http://schemas.microsoft.com/office/drawing/2014/chart" uri="{C3380CC4-5D6E-409C-BE32-E72D297353CC}">
              <c16:uniqueId val="{0000000B-63D8-4413-8755-E70F14902B28}"/>
            </c:ext>
          </c:extLst>
        </c:ser>
        <c:ser>
          <c:idx val="4"/>
          <c:order val="4"/>
          <c:tx>
            <c:strRef>
              <c:f>'Sector Pivot Table'!$H$25</c:f>
              <c:strCache>
                <c:ptCount val="1"/>
                <c:pt idx="0">
                  <c:v>Software - Infrastructure</c:v>
                </c:pt>
              </c:strCache>
            </c:strRef>
          </c:tx>
          <c:spPr>
            <a:solidFill>
              <a:schemeClr val="accent5"/>
            </a:solidFill>
            <a:ln>
              <a:noFill/>
            </a:ln>
            <a:effectLst/>
          </c:spPr>
          <c:invertIfNegative val="0"/>
          <c:cat>
            <c:strRef>
              <c:f>'Sector Pivot Table'!$I$19:$I$20</c:f>
              <c:strCache>
                <c:ptCount val="2"/>
                <c:pt idx="1">
                  <c:v>Total Invested Dollars</c:v>
                </c:pt>
              </c:strCache>
            </c:strRef>
          </c:cat>
          <c:val>
            <c:numRef>
              <c:f>'Sector Pivot Table'!$I$25</c:f>
              <c:numCache>
                <c:formatCode>"$"#,##0</c:formatCode>
                <c:ptCount val="1"/>
                <c:pt idx="0">
                  <c:v>2441156026.044322</c:v>
                </c:pt>
              </c:numCache>
            </c:numRef>
          </c:val>
          <c:extLst>
            <c:ext xmlns:c16="http://schemas.microsoft.com/office/drawing/2014/chart" uri="{C3380CC4-5D6E-409C-BE32-E72D297353CC}">
              <c16:uniqueId val="{0000000C-63D8-4413-8755-E70F14902B28}"/>
            </c:ext>
          </c:extLst>
        </c:ser>
        <c:dLbls>
          <c:showLegendKey val="0"/>
          <c:showVal val="0"/>
          <c:showCatName val="0"/>
          <c:showSerName val="0"/>
          <c:showPercent val="0"/>
          <c:showBubbleSize val="0"/>
        </c:dLbls>
        <c:gapWidth val="219"/>
        <c:overlap val="100"/>
        <c:axId val="268896048"/>
        <c:axId val="268904208"/>
      </c:barChart>
      <c:catAx>
        <c:axId val="268896048"/>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FIGURE</a:t>
                </a:r>
                <a:r>
                  <a:rPr lang="en-US" baseline="0"/>
                  <a:t> 7</a:t>
                </a:r>
                <a:endParaRPr lang="en-US"/>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8904208"/>
        <c:crosses val="autoZero"/>
        <c:auto val="1"/>
        <c:lblAlgn val="ctr"/>
        <c:lblOffset val="100"/>
        <c:noMultiLvlLbl val="0"/>
      </c:catAx>
      <c:valAx>
        <c:axId val="26890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889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path path="circle">
        <a:fillToRect t="100000" r="100000"/>
      </a:path>
      <a:tileRect l="-100000" b="-100000"/>
    </a:gradFill>
    <a:ln w="9525" cap="flat" cmpd="sng" algn="ctr">
      <a:noFill/>
      <a:round/>
    </a:ln>
    <a:effectLst/>
  </c:spPr>
  <c:txPr>
    <a:bodyPr/>
    <a:lstStyle/>
    <a:p>
      <a:pPr>
        <a:defRPr sz="20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2000"/>
              <a:t>Bottom 5 Sectors by Total Invested Dollars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'Sector Pivot Table'!$I$27:$I$28</c:f>
              <c:strCache>
                <c:ptCount val="2"/>
                <c:pt idx="0">
                  <c:v>Bottom 5 Sectors</c:v>
                </c:pt>
                <c:pt idx="1">
                  <c:v>Total Invested Dollars</c:v>
                </c:pt>
              </c:strCache>
            </c:strRef>
          </c:tx>
          <c:spPr>
            <a:solidFill>
              <a:schemeClr val="accent5"/>
            </a:solidFill>
            <a:ln>
              <a:noFill/>
            </a:ln>
            <a:effectLst/>
          </c:spPr>
          <c:invertIfNegative val="0"/>
          <c:cat>
            <c:strRef>
              <c:f>'Sector Pivot Table'!$H$29:$H$33</c:f>
              <c:strCache>
                <c:ptCount val="5"/>
                <c:pt idx="0">
                  <c:v>REIT - Hotel &amp; Motel</c:v>
                </c:pt>
                <c:pt idx="1">
                  <c:v>Real Estate - General</c:v>
                </c:pt>
                <c:pt idx="2">
                  <c:v>Industrial Metals &amp; Minerals</c:v>
                </c:pt>
                <c:pt idx="3">
                  <c:v>Steel</c:v>
                </c:pt>
                <c:pt idx="4">
                  <c:v>REIT - Office</c:v>
                </c:pt>
              </c:strCache>
            </c:strRef>
          </c:cat>
          <c:val>
            <c:numRef>
              <c:f>'Sector Pivot Table'!$I$29:$I$33</c:f>
              <c:numCache>
                <c:formatCode>"$"#,##0</c:formatCode>
                <c:ptCount val="5"/>
                <c:pt idx="0">
                  <c:v>8634937.6719240546</c:v>
                </c:pt>
                <c:pt idx="1">
                  <c:v>7619785.7710638009</c:v>
                </c:pt>
                <c:pt idx="2">
                  <c:v>5832823.7358653229</c:v>
                </c:pt>
                <c:pt idx="3">
                  <c:v>5772230.8676881287</c:v>
                </c:pt>
                <c:pt idx="4">
                  <c:v>3066473.9985218891</c:v>
                </c:pt>
              </c:numCache>
            </c:numRef>
          </c:val>
          <c:extLst>
            <c:ext xmlns:c16="http://schemas.microsoft.com/office/drawing/2014/chart" uri="{C3380CC4-5D6E-409C-BE32-E72D297353CC}">
              <c16:uniqueId val="{00000000-71D0-45A5-98BE-FD568DC3B67D}"/>
            </c:ext>
          </c:extLst>
        </c:ser>
        <c:dLbls>
          <c:showLegendKey val="0"/>
          <c:showVal val="0"/>
          <c:showCatName val="0"/>
          <c:showSerName val="0"/>
          <c:showPercent val="0"/>
          <c:showBubbleSize val="0"/>
        </c:dLbls>
        <c:gapWidth val="219"/>
        <c:overlap val="-27"/>
        <c:axId val="176790448"/>
        <c:axId val="176804368"/>
      </c:barChart>
      <c:catAx>
        <c:axId val="176790448"/>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2000"/>
                  <a:t>FIGURE</a:t>
                </a:r>
                <a:r>
                  <a:rPr lang="en-US" sz="2000" baseline="0"/>
                  <a:t> 8</a:t>
                </a:r>
                <a:endParaRPr lang="en-US"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6804368"/>
        <c:crosses val="autoZero"/>
        <c:auto val="1"/>
        <c:lblAlgn val="ctr"/>
        <c:lblOffset val="100"/>
        <c:noMultiLvlLbl val="0"/>
      </c:catAx>
      <c:valAx>
        <c:axId val="176804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76790448"/>
        <c:crosses val="autoZero"/>
        <c:crossBetween val="between"/>
      </c:valAx>
      <c:spPr>
        <a:noFill/>
        <a:ln>
          <a:noFill/>
        </a:ln>
        <a:effectLst/>
      </c:spPr>
    </c:plotArea>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6200000" scaled="1"/>
      <a:tileRect/>
    </a:gradFill>
    <a:ln w="9525" cap="flat" cmpd="sng" algn="ctr">
      <a:solidFill>
        <a:schemeClr val="tx1">
          <a:lumMod val="15000"/>
          <a:lumOff val="85000"/>
        </a:schemeClr>
      </a:solidFill>
      <a:round/>
    </a:ln>
    <a:effectLst/>
  </c:spPr>
  <c:txPr>
    <a:bodyPr/>
    <a:lstStyle/>
    <a:p>
      <a:pPr>
        <a:defRPr sz="16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Mutual Fund vs Russell 3000 % Return</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tx>
            <c:strRef>
              <c:f>Portfolio!$B$5</c:f>
              <c:strCache>
                <c:ptCount val="1"/>
                <c:pt idx="0">
                  <c:v>Russel RUA Benchmark Total Return 7 year</c:v>
                </c:pt>
              </c:strCache>
            </c:strRef>
          </c:tx>
          <c:spPr>
            <a:solidFill>
              <a:schemeClr val="accent2">
                <a:shade val="76000"/>
              </a:schemeClr>
            </a:solidFill>
            <a:ln>
              <a:noFill/>
            </a:ln>
            <a:effectLst/>
          </c:spPr>
          <c:invertIfNegative val="0"/>
          <c:val>
            <c:numRef>
              <c:f>Portfolio!$C$5</c:f>
              <c:numCache>
                <c:formatCode>0%</c:formatCode>
                <c:ptCount val="1"/>
                <c:pt idx="0">
                  <c:v>1.1606400848731324</c:v>
                </c:pt>
              </c:numCache>
            </c:numRef>
          </c:val>
          <c:extLst>
            <c:ext xmlns:c16="http://schemas.microsoft.com/office/drawing/2014/chart" uri="{C3380CC4-5D6E-409C-BE32-E72D297353CC}">
              <c16:uniqueId val="{00000000-0BB1-45F3-A475-8D57B14D13F0}"/>
            </c:ext>
          </c:extLst>
        </c:ser>
        <c:ser>
          <c:idx val="1"/>
          <c:order val="1"/>
          <c:tx>
            <c:strRef>
              <c:f>Portfolio!$I$7</c:f>
              <c:strCache>
                <c:ptCount val="1"/>
                <c:pt idx="0">
                  <c:v>Total Return 2018-2025 %</c:v>
                </c:pt>
              </c:strCache>
            </c:strRef>
          </c:tx>
          <c:spPr>
            <a:solidFill>
              <a:schemeClr val="accent2">
                <a:tint val="77000"/>
              </a:schemeClr>
            </a:solidFill>
            <a:ln>
              <a:noFill/>
            </a:ln>
            <a:effectLst/>
          </c:spPr>
          <c:invertIfNegative val="0"/>
          <c:val>
            <c:numRef>
              <c:f>Portfolio!$J$7</c:f>
              <c:numCache>
                <c:formatCode>0.00%</c:formatCode>
                <c:ptCount val="1"/>
                <c:pt idx="0">
                  <c:v>3.4509250555854925</c:v>
                </c:pt>
              </c:numCache>
            </c:numRef>
          </c:val>
          <c:extLst>
            <c:ext xmlns:c16="http://schemas.microsoft.com/office/drawing/2014/chart" uri="{C3380CC4-5D6E-409C-BE32-E72D297353CC}">
              <c16:uniqueId val="{00000001-0BB1-45F3-A475-8D57B14D13F0}"/>
            </c:ext>
          </c:extLst>
        </c:ser>
        <c:dLbls>
          <c:showLegendKey val="0"/>
          <c:showVal val="0"/>
          <c:showCatName val="0"/>
          <c:showSerName val="0"/>
          <c:showPercent val="0"/>
          <c:showBubbleSize val="0"/>
        </c:dLbls>
        <c:gapWidth val="182"/>
        <c:axId val="332594176"/>
        <c:axId val="332596576"/>
      </c:barChart>
      <c:catAx>
        <c:axId val="332594176"/>
        <c:scaling>
          <c:orientation val="minMax"/>
        </c:scaling>
        <c:delete val="1"/>
        <c:axPos val="l"/>
        <c:majorTickMark val="none"/>
        <c:minorTickMark val="none"/>
        <c:tickLblPos val="nextTo"/>
        <c:crossAx val="332596576"/>
        <c:crosses val="autoZero"/>
        <c:auto val="1"/>
        <c:lblAlgn val="ctr"/>
        <c:lblOffset val="100"/>
        <c:noMultiLvlLbl val="0"/>
      </c:catAx>
      <c:valAx>
        <c:axId val="332596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FIGURE 9</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32594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sz="20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Bottom 5 Stocks by Total Invested Dollars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'Stock Pivot Table'!$I$32</c:f>
              <c:strCache>
                <c:ptCount val="1"/>
                <c:pt idx="0">
                  <c:v>Total Invested Dollars</c:v>
                </c:pt>
              </c:strCache>
            </c:strRef>
          </c:tx>
          <c:spPr>
            <a:solidFill>
              <a:schemeClr val="accent2"/>
            </a:solidFill>
            <a:ln>
              <a:noFill/>
            </a:ln>
            <a:effectLst/>
          </c:spPr>
          <c:invertIfNegative val="0"/>
          <c:cat>
            <c:strRef>
              <c:f>'Stock Pivot Table'!$H$33:$H$37</c:f>
              <c:strCache>
                <c:ptCount val="5"/>
                <c:pt idx="0">
                  <c:v>GES</c:v>
                </c:pt>
                <c:pt idx="1">
                  <c:v>CNX</c:v>
                </c:pt>
                <c:pt idx="2">
                  <c:v>DISH</c:v>
                </c:pt>
                <c:pt idx="3">
                  <c:v>AMD</c:v>
                </c:pt>
                <c:pt idx="4">
                  <c:v>ATO</c:v>
                </c:pt>
              </c:strCache>
            </c:strRef>
          </c:cat>
          <c:val>
            <c:numRef>
              <c:f>'Stock Pivot Table'!$I$33:$I$37</c:f>
              <c:numCache>
                <c:formatCode>"$"#,##0.00</c:formatCode>
                <c:ptCount val="5"/>
                <c:pt idx="0">
                  <c:v>386755.51304170967</c:v>
                </c:pt>
                <c:pt idx="1">
                  <c:v>377646.38632283406</c:v>
                </c:pt>
                <c:pt idx="2">
                  <c:v>41444.706477098684</c:v>
                </c:pt>
                <c:pt idx="3">
                  <c:v>17311.914062379175</c:v>
                </c:pt>
                <c:pt idx="4">
                  <c:v>0</c:v>
                </c:pt>
              </c:numCache>
            </c:numRef>
          </c:val>
          <c:extLst>
            <c:ext xmlns:c16="http://schemas.microsoft.com/office/drawing/2014/chart" uri="{C3380CC4-5D6E-409C-BE32-E72D297353CC}">
              <c16:uniqueId val="{00000000-DC40-4476-8E35-CA4BE04271B2}"/>
            </c:ext>
          </c:extLst>
        </c:ser>
        <c:dLbls>
          <c:showLegendKey val="0"/>
          <c:showVal val="0"/>
          <c:showCatName val="0"/>
          <c:showSerName val="0"/>
          <c:showPercent val="0"/>
          <c:showBubbleSize val="0"/>
        </c:dLbls>
        <c:gapWidth val="219"/>
        <c:overlap val="-27"/>
        <c:axId val="270087440"/>
        <c:axId val="270091280"/>
      </c:barChart>
      <c:catAx>
        <c:axId val="270087440"/>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t>FIGURE</a:t>
                </a:r>
                <a:r>
                  <a:rPr lang="en-US" baseline="0"/>
                  <a:t> 5</a:t>
                </a:r>
                <a:endParaRPr lang="en-US"/>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70091280"/>
        <c:crosses val="autoZero"/>
        <c:auto val="1"/>
        <c:lblAlgn val="ctr"/>
        <c:lblOffset val="100"/>
        <c:noMultiLvlLbl val="0"/>
      </c:catAx>
      <c:valAx>
        <c:axId val="27009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70087440"/>
        <c:crosses val="autoZero"/>
        <c:crossBetween val="between"/>
      </c:valAx>
      <c:spPr>
        <a:noFill/>
        <a:ln>
          <a:noFill/>
        </a:ln>
        <a:effectLst/>
      </c:spPr>
    </c:plotArea>
    <c:plotVisOnly val="1"/>
    <c:dispBlanksAs val="gap"/>
    <c:showDLblsOverMax val="0"/>
  </c:chart>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sz="20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Stocks by Total Invested Dollars</cx:v>
        </cx:txData>
      </cx:tx>
      <cx:txPr>
        <a:bodyPr rot="0" spcFirstLastPara="1" vertOverflow="ellipsis" vert="horz" wrap="square" lIns="38100" tIns="19050" rIns="38100" bIns="19050" anchor="ctr" anchorCtr="1" compatLnSpc="0"/>
        <a:lstStyle/>
        <a:p>
          <a:pPr algn="ctr" rtl="0">
            <a:defRPr sz="2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kumimoji="0" lang="en-US" sz="2400" b="1" i="0" u="none" strike="noStrike" kern="1200" cap="none" spc="0" normalizeH="0" baseline="0" noProof="0">
              <a:ln>
                <a:noFill/>
              </a:ln>
              <a:solidFill>
                <a:schemeClr val="tx1"/>
              </a:solidFill>
              <a:effectLst/>
              <a:uLnTx/>
              <a:uFillTx/>
              <a:latin typeface="Calibri" panose="020F0502020204030204" pitchFamily="34" charset="0"/>
              <a:ea typeface="Calibri" panose="020F0502020204030204" pitchFamily="34" charset="0"/>
              <a:cs typeface="Calibri" panose="020F0502020204030204" pitchFamily="34" charset="0"/>
            </a:rPr>
            <a:t>Top 5 Stocks by Total Invested Dollars</a:t>
          </a:r>
        </a:p>
      </cx:txPr>
    </cx:title>
    <cx:plotArea>
      <cx:plotAreaRegion>
        <cx:series layoutId="funnel" uniqueId="{AD08E192-E3A1-4A83-B299-41F14D49835D}">
          <cx:tx>
            <cx:txData>
              <cx:f>_xlchart.v2.1</cx:f>
              <cx:v>Total Invested Dollars</cx:v>
            </cx:txData>
          </cx:tx>
          <cx:dataLabels>
            <cx:numFmt formatCode="$0.00,,, &quot;M&quot;" sourceLinked="0"/>
            <cx:txPr>
              <a:bodyPr vertOverflow="overflow" horzOverflow="overflow" wrap="square" lIns="0" tIns="0" rIns="0" bIns="0"/>
              <a:lstStyle/>
              <a:p>
                <a:pPr algn="ctr" rtl="0">
                  <a:defRPr sz="24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4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separator>, </cx:separator>
          </cx:dataLabels>
          <cx:dataId val="0"/>
          <cx:layoutPr/>
        </cx:series>
      </cx:plotAreaRegion>
      <cx:axis id="0">
        <cx:catScaling gapWidth="0.5"/>
        <cx:tickLabels/>
        <cx:txPr>
          <a:bodyPr vertOverflow="overflow" horzOverflow="overflow" wrap="square" lIns="0" tIns="0" rIns="0" bIns="0"/>
          <a:lstStyle/>
          <a:p>
            <a:pPr algn="ctr" rtl="0">
              <a:defRPr sz="24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4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legend pos="t" align="ctr" overlay="0">
      <cx:txPr>
        <a:bodyPr vertOverflow="overflow" horzOverflow="overflow" wrap="square" lIns="0" tIns="0" rIns="0" bIns="0"/>
        <a:lstStyle/>
        <a:p>
          <a:pPr algn="ctr" rtl="0">
            <a:defRPr sz="24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4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legend>
  </cx:chart>
  <cx: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0" scaled="1"/>
      <a:tileRect/>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Top 5 Sectors by % Return</cx:v>
        </cx:txData>
      </cx:tx>
      <cx:txPr>
        <a:bodyPr spcFirstLastPara="1" vertOverflow="ellipsis" horzOverflow="overflow" wrap="square" lIns="0" tIns="0" rIns="0" bIns="0" anchor="ctr" anchorCtr="1"/>
        <a:lstStyle/>
        <a:p>
          <a:pPr algn="ctr" rtl="0">
            <a:defRPr sz="2000" b="1">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20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Top 5 Sectors by % Return</a:t>
          </a:r>
        </a:p>
      </cx:txPr>
    </cx:title>
    <cx:plotArea>
      <cx:plotAreaRegion>
        <cx:series layoutId="funnel" uniqueId="{5CFA03AE-5627-41E8-9D49-01B0FE97D963}">
          <cx:tx>
            <cx:txData>
              <cx:f>_xlchart.v2.4</cx:f>
              <cx:v>% Return</cx:v>
            </cx:txData>
          </cx:tx>
          <cx:dataLabels>
            <cx:txPr>
              <a:bodyPr vertOverflow="overflow" horzOverflow="overflow" wrap="square" lIns="0" tIns="0" rIns="0" bIns="0"/>
              <a:lstStyle/>
              <a:p>
                <a:pPr algn="ctr" rtl="0">
                  <a:defRPr sz="20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0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20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0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path path="circle">
        <a:fillToRect l="100000" b="100000"/>
      </a:path>
      <a:tileRect t="-100000" r="-100000"/>
    </a:gra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Top 5 Stocks % Return</cx:v>
        </cx:txData>
      </cx:tx>
      <cx:txPr>
        <a:bodyPr spcFirstLastPara="1" vertOverflow="ellipsis" horzOverflow="overflow" wrap="square" lIns="0" tIns="0" rIns="0" bIns="0" anchor="ctr" anchorCtr="1"/>
        <a:lstStyle/>
        <a:p>
          <a:pPr algn="ctr" rtl="0">
            <a:defRPr sz="2400" b="1">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2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Top 5 Stocks % Return</a:t>
          </a:r>
        </a:p>
      </cx:txPr>
    </cx:title>
    <cx:plotArea>
      <cx:plotAreaRegion>
        <cx:series layoutId="funnel" uniqueId="{39F5096F-CEEB-4052-B5B3-397DFEB6F66F}">
          <cx:tx>
            <cx:txData>
              <cx:f>_xlchart.v2.7</cx:f>
              <cx:v>% Return</cx:v>
            </cx:txData>
          </cx:tx>
          <cx:dataLabels>
            <cx:numFmt formatCode="0%" sourceLinked="0"/>
            <cx:txPr>
              <a:bodyPr vertOverflow="overflow" horzOverflow="overflow" wrap="square" lIns="0" tIns="0" rIns="0" bIns="0"/>
              <a:lstStyle/>
              <a:p>
                <a:pPr algn="ctr" rtl="0">
                  <a:defRPr sz="24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4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separator>, </cx:separator>
          </cx:dataLabels>
          <cx:dataId val="0"/>
        </cx:series>
      </cx:plotAreaRegion>
      <cx:axis id="0">
        <cx:catScaling gapWidth="0.5"/>
        <cx:title/>
        <cx:tickLabels/>
        <cx:txPr>
          <a:bodyPr vertOverflow="overflow" horzOverflow="overflow" wrap="square" lIns="0" tIns="0" rIns="0" bIns="0"/>
          <a:lstStyle/>
          <a:p>
            <a:pPr algn="ctr" rtl="0">
              <a:defRPr sz="24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2400" b="1">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path path="circle">
        <a:fillToRect r="100000" b="100000"/>
      </a:path>
      <a:tileRect l="-100000" t="-100000"/>
    </a:gradFill>
    <a:ln w="57150">
      <a:noFill/>
    </a:ln>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336</xdr:colOff>
      <xdr:row>2</xdr:row>
      <xdr:rowOff>11969</xdr:rowOff>
    </xdr:from>
    <xdr:to>
      <xdr:col>22</xdr:col>
      <xdr:colOff>140855</xdr:colOff>
      <xdr:row>91</xdr:row>
      <xdr:rowOff>114300</xdr:rowOff>
    </xdr:to>
    <xdr:sp macro="" textlink="">
      <xdr:nvSpPr>
        <xdr:cNvPr id="2" name="TextBox 1">
          <a:extLst>
            <a:ext uri="{FF2B5EF4-FFF2-40B4-BE49-F238E27FC236}">
              <a16:creationId xmlns:a16="http://schemas.microsoft.com/office/drawing/2014/main" id="{08E46E7F-8467-9D4D-A8E7-1FD6C01409A5}"/>
            </a:ext>
          </a:extLst>
        </xdr:cNvPr>
        <xdr:cNvSpPr txBox="1"/>
      </xdr:nvSpPr>
      <xdr:spPr>
        <a:xfrm>
          <a:off x="724236" y="392969"/>
          <a:ext cx="15342419" cy="17323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Calibri" panose="020F0502020204030204" pitchFamily="34" charset="0"/>
              <a:ea typeface="Calibri" panose="020F0502020204030204" pitchFamily="34" charset="0"/>
              <a:cs typeface="Calibri" panose="020F0502020204030204" pitchFamily="34" charset="0"/>
            </a:rPr>
            <a:t>Executive</a:t>
          </a:r>
          <a:r>
            <a:rPr lang="en-US" sz="1800" b="1" baseline="0">
              <a:latin typeface="Calibri" panose="020F0502020204030204" pitchFamily="34" charset="0"/>
              <a:ea typeface="Calibri" panose="020F0502020204030204" pitchFamily="34" charset="0"/>
              <a:cs typeface="Calibri" panose="020F0502020204030204" pitchFamily="34" charset="0"/>
            </a:rPr>
            <a:t> Summary</a:t>
          </a:r>
        </a:p>
        <a:p>
          <a:r>
            <a:rPr lang="en-US" sz="1800" b="1" baseline="0">
              <a:latin typeface="Calibri" panose="020F0502020204030204" pitchFamily="34" charset="0"/>
              <a:ea typeface="Calibri" panose="020F0502020204030204" pitchFamily="34" charset="0"/>
              <a:cs typeface="Calibri" panose="020F0502020204030204" pitchFamily="34" charset="0"/>
            </a:rPr>
            <a:t>Subject: Portfolio Return</a:t>
          </a:r>
        </a:p>
        <a:p>
          <a:endParaRPr lang="en-US" sz="1200" baseline="0">
            <a:latin typeface="Calibri" panose="020F0502020204030204" pitchFamily="34" charset="0"/>
            <a:ea typeface="Calibri" panose="020F0502020204030204" pitchFamily="34" charset="0"/>
            <a:cs typeface="Calibri" panose="020F0502020204030204" pitchFamily="34" charset="0"/>
          </a:endParaRPr>
        </a:p>
        <a:p>
          <a:r>
            <a:rPr lang="en-US" sz="1600" b="1" baseline="0">
              <a:latin typeface="Calibri" panose="020F0502020204030204" pitchFamily="34" charset="0"/>
              <a:ea typeface="Calibri" panose="020F0502020204030204" pitchFamily="34" charset="0"/>
              <a:cs typeface="Calibri" panose="020F0502020204030204" pitchFamily="34" charset="0"/>
            </a:rPr>
            <a:t>INTRODUCTION:</a:t>
          </a:r>
        </a:p>
        <a:p>
          <a:pPr rtl="0"/>
          <a:r>
            <a:rPr lang="en-US"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This report analyzes the performance of a stock portfolio over a seven year period from 2018 to 2025. The goal is to evaluate how different stocks and sectors performed during this time by looking at their percentage returns, total dollar returns, and other key financial metrics. To make this analysis more detailed, sector and company names were added to the dataset.</a:t>
          </a:r>
          <a:endParaRPr lang="en-US" sz="1600" b="0">
            <a:effectLst/>
            <a:latin typeface="Calibri" panose="020F0502020204030204" pitchFamily="34" charset="0"/>
            <a:ea typeface="Calibri" panose="020F0502020204030204" pitchFamily="34" charset="0"/>
            <a:cs typeface="Calibri" panose="020F0502020204030204" pitchFamily="34" charset="0"/>
          </a:endParaRPr>
        </a:p>
        <a:p>
          <a:pPr rtl="0"/>
          <a:r>
            <a:rPr lang="en-US"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One of the main calculations in this report is the 7-year return, measuring how much a stock's price changed from 2018 to 2025. In addition, the total amount invested in each stock in both years was determined, factoring in how much the investment grew or declined. Other important metrics like the compound annual growth rate (CAGR) and price-to-earnings (P/E) ratio by sector were also calculated to get a clearer picture of long-term trends. These calculations help paint a better picture of how well each stock performed over the seven year period</a:t>
          </a:r>
          <a:endParaRPr lang="en-US" sz="1600" b="0">
            <a:effectLst/>
            <a:latin typeface="Calibri" panose="020F0502020204030204" pitchFamily="34" charset="0"/>
            <a:ea typeface="Calibri" panose="020F0502020204030204" pitchFamily="34" charset="0"/>
            <a:cs typeface="Calibri" panose="020F0502020204030204" pitchFamily="34" charset="0"/>
          </a:endParaRPr>
        </a:p>
        <a:p>
          <a:pPr rtl="0"/>
          <a:r>
            <a:rPr lang="en-US"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The Russell 3000 Total Return Index (RUA) was used as a benchmark to compare the portfolio’s performance to the overall market. Stocks were also grouped by sector using pivot tables to find cumulative returns, total invested dollars, and sector-wide trends.</a:t>
          </a:r>
          <a:endParaRPr lang="en-US" sz="1600" b="0">
            <a:effectLst/>
            <a:latin typeface="Calibri" panose="020F0502020204030204" pitchFamily="34" charset="0"/>
            <a:ea typeface="Calibri" panose="020F0502020204030204" pitchFamily="34" charset="0"/>
            <a:cs typeface="Calibri" panose="020F0502020204030204" pitchFamily="34" charset="0"/>
          </a:endParaRPr>
        </a:p>
        <a:p>
          <a:pPr rtl="0"/>
          <a:r>
            <a:rPr lang="en-US"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A key part of this report is the dashboard, which highlights specifics such as the top and bottom five performing stocks and sectors based on percentage return and total dollar amount. Visualizations like charts and graphs were created to make these trends easier to understand.</a:t>
          </a:r>
          <a:endParaRPr lang="en-US" sz="1600" b="0">
            <a:effectLst/>
            <a:latin typeface="Calibri" panose="020F0502020204030204" pitchFamily="34" charset="0"/>
            <a:ea typeface="Calibri" panose="020F0502020204030204" pitchFamily="34" charset="0"/>
            <a:cs typeface="Calibri" panose="020F0502020204030204" pitchFamily="34" charset="0"/>
          </a:endParaRPr>
        </a:p>
        <a:p>
          <a:br>
            <a:rPr lang="en-US" sz="1600">
              <a:latin typeface="Calibri" panose="020F0502020204030204" pitchFamily="34" charset="0"/>
              <a:ea typeface="Calibri" panose="020F0502020204030204" pitchFamily="34" charset="0"/>
              <a:cs typeface="Calibri" panose="020F0502020204030204" pitchFamily="34" charset="0"/>
            </a:rPr>
          </a:br>
          <a:r>
            <a:rPr lang="en-US" sz="1600" b="1" baseline="0">
              <a:latin typeface="Calibri" panose="020F0502020204030204" pitchFamily="34" charset="0"/>
              <a:ea typeface="Calibri" panose="020F0502020204030204" pitchFamily="34" charset="0"/>
              <a:cs typeface="Calibri" panose="020F0502020204030204" pitchFamily="34" charset="0"/>
            </a:rPr>
            <a:t>FINANCIAL ANALYSIS:</a:t>
          </a:r>
        </a:p>
        <a:p>
          <a:r>
            <a:rPr lang="en-US" sz="1600" baseline="0">
              <a:latin typeface="Calibri" panose="020F0502020204030204" pitchFamily="34" charset="0"/>
              <a:ea typeface="Calibri" panose="020F0502020204030204" pitchFamily="34" charset="0"/>
              <a:cs typeface="Calibri" panose="020F0502020204030204" pitchFamily="34" charset="0"/>
            </a:rPr>
            <a:t>The portfolio's performance from 2018 to 2025 saw a significant overall return, with an increase of $33.7 billion from an initial investment of $9.7 billion, reflecting a huge total portfolio return of 345 percent. While many stocks achieved remarkable gains, there were some big fallers over the years, signifying the importance of strategic asset allocation and diversification.</a:t>
          </a:r>
        </a:p>
        <a:p>
          <a:r>
            <a:rPr lang="en-US" sz="1600" baseline="0">
              <a:latin typeface="Calibri" panose="020F0502020204030204" pitchFamily="34" charset="0"/>
              <a:ea typeface="Calibri" panose="020F0502020204030204" pitchFamily="34" charset="0"/>
              <a:cs typeface="Calibri" panose="020F0502020204030204" pitchFamily="34" charset="0"/>
            </a:rPr>
            <a:t>Several individual stocks performed extremely well, driving much of the portfolio's overall growth. AutoZone delivered the highest return, growing from $28.57 million to $3.74 billion, a massive 12,975 percent increase. Arthur J. Gallagher &amp; Co. followed with a 9,161 percent return, while Cummins Inc. and Fair Isaac Corporation both exceeded 5,000 percent gains, as shown within figure 1. These stocks, primarily in retail, financial services, and industrials, benefited from strong business fundamentals, market demand, and sector growth. Other significant performers included Adobe, Discover Financial, and Deere &amp; Co., all achieving over 1,000 percent returns, showing the strength of financial, industrial, and technology stocks in lasting value.</a:t>
          </a:r>
        </a:p>
        <a:p>
          <a:r>
            <a:rPr lang="en-US" sz="1600" baseline="0">
              <a:latin typeface="Calibri" panose="020F0502020204030204" pitchFamily="34" charset="0"/>
              <a:ea typeface="Calibri" panose="020F0502020204030204" pitchFamily="34" charset="0"/>
              <a:cs typeface="Calibri" panose="020F0502020204030204" pitchFamily="34" charset="0"/>
            </a:rPr>
            <a:t>While technology, finance, and industrial sectors led gains, some stocks suffered substantial losses, even losses of the entire investment in the stock. Companies like Dish Network, Advanced Micro Devices, and Atmos Energy experienced total value losses, returning negative 100 percent. Real estate stocks, particularly in the REIT sector, also performed poorly, with office and hospitality-related REITs such as Brandywine Realty Trust, Geo Group, and Chatham Lodging Trust losing over 90 percent of their value. The energy sector faced volatility, with companies like CNX Resources and Dynavax Technologies experiencing nearly complete losses. These findings, also reflected in figure 6, reveal the struggles faced by commercial real estate, particularly office spaces, likely due to structural shifts such as remote work, economic downturns, and declining demand for industrial commodities.</a:t>
          </a:r>
        </a:p>
        <a:p>
          <a:r>
            <a:rPr lang="en-US" sz="1600" baseline="0">
              <a:latin typeface="Calibri" panose="020F0502020204030204" pitchFamily="34" charset="0"/>
              <a:ea typeface="Calibri" panose="020F0502020204030204" pitchFamily="34" charset="0"/>
              <a:cs typeface="Calibri" panose="020F0502020204030204" pitchFamily="34" charset="0"/>
            </a:rPr>
            <a:t>Sector performance aligned closely with individual stock trends. Specialty retail, insurance brokers, and software infrastructure emerged as dominant performers, with specialty retail starting from $139.03 million and ballooning to nearly $4 billion, a 2,773 percent increase. Insurance brokers and software infrastructure also saw gains of 2,788 percent and 1,386 percent, respectively. Industrial and healthcare sectors also saw strong returns, with medical devices and diagnostics stocks contributing significantly to overall gains, which may be directly correlated to the pandemic experienced within this seven-year span.</a:t>
          </a:r>
        </a:p>
        <a:p>
          <a:r>
            <a:rPr lang="en-US" sz="1600" baseline="0">
              <a:latin typeface="Calibri" panose="020F0502020204030204" pitchFamily="34" charset="0"/>
              <a:ea typeface="Calibri" panose="020F0502020204030204" pitchFamily="34" charset="0"/>
              <a:cs typeface="Calibri" panose="020F0502020204030204" pitchFamily="34" charset="0"/>
            </a:rPr>
            <a:t>On the not-so-great end, the real estate sector was one of the worst-performing, with REITs in office, hospitality, and general real estate losing substantial value. The office REIT sector plummeted by 94 percent, with industrial metals, shipping, and certain financial sectors also struggling mightily. Energy and materials companies faced mixed results, with some oil and gas companies benefiting from commodity price fluctuations while others experienced sharp declines.</a:t>
          </a:r>
        </a:p>
        <a:p>
          <a:r>
            <a:rPr lang="en-US" sz="1600" baseline="0">
              <a:latin typeface="Calibri" panose="020F0502020204030204" pitchFamily="34" charset="0"/>
              <a:ea typeface="Calibri" panose="020F0502020204030204" pitchFamily="34" charset="0"/>
              <a:cs typeface="Calibri" panose="020F0502020204030204" pitchFamily="34" charset="0"/>
            </a:rPr>
            <a:t>Finally, the portfolio’s performance is compared against the Russell 3000 Total Return Index in Figure 9, exhibiting that the portfolio significantly outperformed the benchmark over the same period. This suggests that the selection strategy successfully identified many high-growth opportunities while avoiding large amounts of risk, although of course not completely without loss.</a:t>
          </a:r>
        </a:p>
        <a:p>
          <a:br>
            <a:rPr lang="en-US" sz="1600" baseline="0">
              <a:latin typeface="Calibri" panose="020F0502020204030204" pitchFamily="34" charset="0"/>
              <a:ea typeface="Calibri" panose="020F0502020204030204" pitchFamily="34" charset="0"/>
              <a:cs typeface="Calibri" panose="020F0502020204030204" pitchFamily="34" charset="0"/>
            </a:rPr>
          </a:br>
          <a:r>
            <a:rPr lang="en-US" sz="1600" b="1" baseline="0">
              <a:latin typeface="Calibri" panose="020F0502020204030204" pitchFamily="34" charset="0"/>
              <a:ea typeface="Calibri" panose="020F0502020204030204" pitchFamily="34" charset="0"/>
              <a:cs typeface="Calibri" panose="020F0502020204030204" pitchFamily="34" charset="0"/>
            </a:rPr>
            <a:t>RECOMMENDATIONS: </a:t>
          </a:r>
        </a:p>
        <a:p>
          <a:r>
            <a:rPr lang="en-US" sz="1600" b="0">
              <a:latin typeface="Calibri" panose="020F0502020204030204" pitchFamily="34" charset="0"/>
              <a:ea typeface="Calibri" panose="020F0502020204030204" pitchFamily="34" charset="0"/>
              <a:cs typeface="Calibri" panose="020F0502020204030204" pitchFamily="34" charset="0"/>
            </a:rPr>
            <a:t>To maintain and build upon the portfolio’s strong performance, a few strategies may be considered. Given the rise of specialty retail, insurance, and software infrastructure sectors over this seven-year span, it would be beneficial to maintain strong positions in these areas and possibly even increase exposure here. Stocks like AutoZone, Arthur J. Gallagher &amp; Co., and Adobe have shown resilience and growth, indicating that consumer-driven and financial service industries continue to thrive. These can provide a good benchmark for future asset acquisitions as companies with similar fundamentals, strong earnings growth, and positive industry trends could be strong investment opportunities.</a:t>
          </a:r>
        </a:p>
        <a:p>
          <a:r>
            <a:rPr lang="en-US" sz="1600" b="0">
              <a:latin typeface="Calibri" panose="020F0502020204030204" pitchFamily="34" charset="0"/>
              <a:ea typeface="Calibri" panose="020F0502020204030204" pitchFamily="34" charset="0"/>
              <a:cs typeface="Calibri" panose="020F0502020204030204" pitchFamily="34" charset="0"/>
            </a:rPr>
            <a:t>Diversification should remain a core focus, particularly to counter the extreme, sometimes unavoidable, volatility seen in underperforming sectors. Real estate investment trusts (REITs), particularly in office and hospitality, struggled significantly due to shifts in workplace dynamics and economic uncertainty during this tumultuous span. Instead of continuing exposure to these assets, reallocating remaining funds to more promising real estate sectors, such as logistics and data centers, may offer better stability and longevity. Additionally, the energy sector’s mixed results suggest that future investments in this space should be more selective, favoring companies with stronger financials and adaptability to changing market conditions. Another suggestion may be to decrease exposure to these volatile assets as a whole and reinvest some of those funds into more proven assets.</a:t>
          </a:r>
        </a:p>
        <a:p>
          <a:r>
            <a:rPr lang="en-US" sz="1600" b="0">
              <a:latin typeface="Calibri" panose="020F0502020204030204" pitchFamily="34" charset="0"/>
              <a:ea typeface="Calibri" panose="020F0502020204030204" pitchFamily="34" charset="0"/>
              <a:cs typeface="Calibri" panose="020F0502020204030204" pitchFamily="34" charset="0"/>
            </a:rPr>
            <a:t>Given the portfolio’s outperformance of the Russell 3000 Total Return Index, there is definitive evidence that the selection strategy of this portfolio effectively identified high-growth opportunities. However, reducing exposure to stocks with a history of steep losses, such as Dish Network, CNX Resources, and Advanced Micro Devices, could minimize downside. The data from Figure 6 shows that bottom-performing sectors experienced sharp declines, reinforcing the need to shift away from investments within these falling sectors.</a:t>
          </a:r>
        </a:p>
        <a:p>
          <a:r>
            <a:rPr lang="en-US" sz="1600" b="0">
              <a:latin typeface="Calibri" panose="020F0502020204030204" pitchFamily="34" charset="0"/>
              <a:ea typeface="Calibri" panose="020F0502020204030204" pitchFamily="34" charset="0"/>
              <a:cs typeface="Calibri" panose="020F0502020204030204" pitchFamily="34" charset="0"/>
            </a:rPr>
            <a:t>Future improvements should also include more focus on emerging trends that could drive new market leaders. Healthcare stocks, particularly in medical devices and diagnostics, performed well, likely due to the increased demand for innovation within the sector. Continuing to identify high-growth companies in medical technology development could enhance future returns. Similarly, technology-driven industries, including artificial intelligence, cloud computing, and cybersecurity, present compelling investment opportunities that align with long-term economic trends in this technologically driven world we seem to be heading towards.</a:t>
          </a:r>
        </a:p>
        <a:p>
          <a:r>
            <a:rPr lang="en-US" sz="1600" b="0">
              <a:latin typeface="Calibri" panose="020F0502020204030204" pitchFamily="34" charset="0"/>
              <a:ea typeface="Calibri" panose="020F0502020204030204" pitchFamily="34" charset="0"/>
              <a:cs typeface="Calibri" panose="020F0502020204030204" pitchFamily="34" charset="0"/>
            </a:rPr>
            <a:t>Another key recommendation is to reassess the balance between growth and value stocks. While high-growth companies contributed to the portfolio’s success, incorporating more value-oriented investments with steady dividends and lower volatility can provide more stability in the inevitable downturns. Industries such as consumer staples, utilities, and industrials may offer strong fundamentals with lower susceptibility to extreme market fluctuations.</a:t>
          </a:r>
        </a:p>
        <a:p>
          <a:r>
            <a:rPr lang="en-US" sz="1600" b="0">
              <a:latin typeface="Calibri" panose="020F0502020204030204" pitchFamily="34" charset="0"/>
              <a:ea typeface="Calibri" panose="020F0502020204030204" pitchFamily="34" charset="0"/>
              <a:cs typeface="Calibri" panose="020F0502020204030204" pitchFamily="34" charset="0"/>
            </a:rPr>
            <a:t>Finally, ongoing portfolio monitoring and rebalancing will be crucial. Regularly reviewing sector performance, adjusting allocations based on trends, and staying ahead of disruptive innovations will help sustain growth. The portfolio has shown strong performance over the past seven years, and by refining investment strategies to focus on high-growth areas while mitigating risks in struggling sectors, continued long-term success is definitely achievable.</a:t>
          </a:r>
        </a:p>
        <a:p>
          <a:br>
            <a:rPr lang="en-US" sz="1600" b="1">
              <a:latin typeface="Calibri" panose="020F0502020204030204" pitchFamily="34" charset="0"/>
              <a:ea typeface="Calibri" panose="020F0502020204030204" pitchFamily="34" charset="0"/>
              <a:cs typeface="Calibri" panose="020F0502020204030204" pitchFamily="34" charset="0"/>
            </a:rPr>
          </a:br>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34</xdr:col>
      <xdr:colOff>458499</xdr:colOff>
      <xdr:row>3</xdr:row>
      <xdr:rowOff>162463</xdr:rowOff>
    </xdr:from>
    <xdr:to>
      <xdr:col>46</xdr:col>
      <xdr:colOff>336714</xdr:colOff>
      <xdr:row>35</xdr:row>
      <xdr:rowOff>176736</xdr:rowOff>
    </xdr:to>
    <xdr:graphicFrame macro="">
      <xdr:nvGraphicFramePr>
        <xdr:cNvPr id="5" name="Chart 4">
          <a:extLst>
            <a:ext uri="{FF2B5EF4-FFF2-40B4-BE49-F238E27FC236}">
              <a16:creationId xmlns:a16="http://schemas.microsoft.com/office/drawing/2014/main" id="{9718C694-9AB8-46EB-85D4-EAC125F25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148839</xdr:colOff>
      <xdr:row>36</xdr:row>
      <xdr:rowOff>73351</xdr:rowOff>
    </xdr:from>
    <xdr:to>
      <xdr:col>34</xdr:col>
      <xdr:colOff>387924</xdr:colOff>
      <xdr:row>68</xdr:row>
      <xdr:rowOff>133063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A8767569-81A6-41C5-9525-A6D5D03A44C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109484" y="6996899"/>
              <a:ext cx="8350698" cy="59590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46</xdr:col>
      <xdr:colOff>422692</xdr:colOff>
      <xdr:row>3</xdr:row>
      <xdr:rowOff>163733</xdr:rowOff>
    </xdr:from>
    <xdr:to>
      <xdr:col>58</xdr:col>
      <xdr:colOff>428890</xdr:colOff>
      <xdr:row>35</xdr:row>
      <xdr:rowOff>167592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F645559-0C57-498A-BC69-AF56E29ECF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4343982" y="1003572"/>
              <a:ext cx="8855231" cy="59032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46</xdr:col>
      <xdr:colOff>491614</xdr:colOff>
      <xdr:row>36</xdr:row>
      <xdr:rowOff>73351</xdr:rowOff>
    </xdr:from>
    <xdr:to>
      <xdr:col>58</xdr:col>
      <xdr:colOff>451915</xdr:colOff>
      <xdr:row>68</xdr:row>
      <xdr:rowOff>125724</xdr:rowOff>
    </xdr:to>
    <xdr:graphicFrame macro="">
      <xdr:nvGraphicFramePr>
        <xdr:cNvPr id="10" name="Chart 9">
          <a:extLst>
            <a:ext uri="{FF2B5EF4-FFF2-40B4-BE49-F238E27FC236}">
              <a16:creationId xmlns:a16="http://schemas.microsoft.com/office/drawing/2014/main" id="{0EDA5B76-37A0-428E-9266-7FD3C3967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141218</xdr:colOff>
      <xdr:row>69</xdr:row>
      <xdr:rowOff>49925</xdr:rowOff>
    </xdr:from>
    <xdr:to>
      <xdr:col>34</xdr:col>
      <xdr:colOff>325203</xdr:colOff>
      <xdr:row>107</xdr:row>
      <xdr:rowOff>47318</xdr:rowOff>
    </xdr:to>
    <xdr:graphicFrame macro="">
      <xdr:nvGraphicFramePr>
        <xdr:cNvPr id="11" name="Chart 10">
          <a:extLst>
            <a:ext uri="{FF2B5EF4-FFF2-40B4-BE49-F238E27FC236}">
              <a16:creationId xmlns:a16="http://schemas.microsoft.com/office/drawing/2014/main" id="{22BDD2AD-455D-4F88-967E-5A2A0EE6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528788</xdr:colOff>
      <xdr:row>69</xdr:row>
      <xdr:rowOff>70409</xdr:rowOff>
    </xdr:from>
    <xdr:to>
      <xdr:col>46</xdr:col>
      <xdr:colOff>327741</xdr:colOff>
      <xdr:row>107</xdr:row>
      <xdr:rowOff>66689</xdr:rowOff>
    </xdr:to>
    <xdr:graphicFrame macro="">
      <xdr:nvGraphicFramePr>
        <xdr:cNvPr id="12" name="Chart 11">
          <a:extLst>
            <a:ext uri="{FF2B5EF4-FFF2-40B4-BE49-F238E27FC236}">
              <a16:creationId xmlns:a16="http://schemas.microsoft.com/office/drawing/2014/main" id="{641A1616-04A4-415E-A88F-38C59CDA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410983</xdr:colOff>
      <xdr:row>69</xdr:row>
      <xdr:rowOff>70409</xdr:rowOff>
    </xdr:from>
    <xdr:to>
      <xdr:col>58</xdr:col>
      <xdr:colOff>512095</xdr:colOff>
      <xdr:row>107</xdr:row>
      <xdr:rowOff>70499</xdr:rowOff>
    </xdr:to>
    <xdr:graphicFrame macro="">
      <xdr:nvGraphicFramePr>
        <xdr:cNvPr id="13" name="Chart 12">
          <a:extLst>
            <a:ext uri="{FF2B5EF4-FFF2-40B4-BE49-F238E27FC236}">
              <a16:creationId xmlns:a16="http://schemas.microsoft.com/office/drawing/2014/main" id="{2C347BB6-716B-468E-A06C-56DC2D86F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144872</xdr:colOff>
      <xdr:row>3</xdr:row>
      <xdr:rowOff>163733</xdr:rowOff>
    </xdr:from>
    <xdr:to>
      <xdr:col>34</xdr:col>
      <xdr:colOff>371250</xdr:colOff>
      <xdr:row>36</xdr:row>
      <xdr:rowOff>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AB34819-31C9-B89C-9AC0-2C07BF0277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7105517" y="1003572"/>
              <a:ext cx="8337991" cy="59199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532581</xdr:colOff>
      <xdr:row>36</xdr:row>
      <xdr:rowOff>73351</xdr:rowOff>
    </xdr:from>
    <xdr:to>
      <xdr:col>46</xdr:col>
      <xdr:colOff>328382</xdr:colOff>
      <xdr:row>68</xdr:row>
      <xdr:rowOff>128264</xdr:rowOff>
    </xdr:to>
    <xdr:graphicFrame macro="">
      <xdr:nvGraphicFramePr>
        <xdr:cNvPr id="19" name="Chart 18">
          <a:extLst>
            <a:ext uri="{FF2B5EF4-FFF2-40B4-BE49-F238E27FC236}">
              <a16:creationId xmlns:a16="http://schemas.microsoft.com/office/drawing/2014/main" id="{849F239B-E21D-5A1A-83BF-FABFD05F4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1</xdr:row>
      <xdr:rowOff>133347</xdr:rowOff>
    </xdr:from>
    <xdr:to>
      <xdr:col>12</xdr:col>
      <xdr:colOff>273539</xdr:colOff>
      <xdr:row>80</xdr:row>
      <xdr:rowOff>122116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22654" y="362924"/>
          <a:ext cx="7175500" cy="13304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b="1">
              <a:latin typeface="Browallia New" panose="020B0502040204020203" pitchFamily="34" charset="-34"/>
              <a:cs typeface="Browallia New" panose="020B0502040204020203" pitchFamily="34" charset="-34"/>
            </a:rPr>
            <a:t>Copyright Michael Nugent © </a:t>
          </a:r>
        </a:p>
        <a:p>
          <a:endParaRPr lang="en-US" b="1">
            <a:latin typeface="Browallia New" panose="020B0502040204020203" pitchFamily="34" charset="-34"/>
            <a:cs typeface="Browallia New" panose="020B0502040204020203" pitchFamily="34" charset="-34"/>
          </a:endParaRPr>
        </a:p>
        <a:p>
          <a:r>
            <a:rPr lang="en-US" b="1">
              <a:latin typeface="Browallia New" panose="020B0502040204020203" pitchFamily="34" charset="-34"/>
              <a:cs typeface="Browallia New" panose="020B0502040204020203" pitchFamily="34" charset="-34"/>
            </a:rPr>
            <a:t>MEMO</a:t>
          </a:r>
          <a:endParaRPr lang="en-US">
            <a:latin typeface="Browallia New" panose="020B0502040204020203" pitchFamily="34" charset="-34"/>
            <a:cs typeface="Browallia New" panose="020B0502040204020203" pitchFamily="34" charset="-34"/>
          </a:endParaRPr>
        </a:p>
        <a:p>
          <a:r>
            <a:rPr lang="en-US" b="1">
              <a:latin typeface="Browallia New" panose="020B0502040204020203" pitchFamily="34" charset="-34"/>
              <a:cs typeface="Browallia New" panose="020B0502040204020203" pitchFamily="34" charset="-34"/>
            </a:rPr>
            <a:t>To:</a:t>
          </a:r>
          <a:r>
            <a:rPr lang="en-US">
              <a:latin typeface="Browallia New" panose="020B0502040204020203" pitchFamily="34" charset="-34"/>
              <a:cs typeface="Browallia New" panose="020B0502040204020203" pitchFamily="34" charset="-34"/>
            </a:rPr>
            <a:t> Financial Analyst Employee</a:t>
          </a:r>
          <a:br>
            <a:rPr lang="en-US">
              <a:latin typeface="Browallia New" panose="020B0502040204020203" pitchFamily="34" charset="-34"/>
              <a:cs typeface="Browallia New" panose="020B0502040204020203" pitchFamily="34" charset="-34"/>
            </a:rPr>
          </a:br>
          <a:r>
            <a:rPr lang="en-US" b="1">
              <a:latin typeface="Browallia New" panose="020B0502040204020203" pitchFamily="34" charset="-34"/>
              <a:cs typeface="Browallia New" panose="020B0502040204020203" pitchFamily="34" charset="-34"/>
            </a:rPr>
            <a:t>From:</a:t>
          </a:r>
          <a:r>
            <a:rPr lang="en-US">
              <a:latin typeface="Browallia New" panose="020B0502040204020203" pitchFamily="34" charset="-34"/>
              <a:cs typeface="Browallia New" panose="020B0502040204020203" pitchFamily="34" charset="-34"/>
            </a:rPr>
            <a:t> CFO</a:t>
          </a:r>
          <a:br>
            <a:rPr lang="en-US">
              <a:latin typeface="Browallia New" panose="020B0502040204020203" pitchFamily="34" charset="-34"/>
              <a:cs typeface="Browallia New" panose="020B0502040204020203" pitchFamily="34" charset="-34"/>
            </a:rPr>
          </a:br>
          <a:r>
            <a:rPr lang="en-US" b="1">
              <a:latin typeface="Browallia New" panose="020B0502040204020203" pitchFamily="34" charset="-34"/>
              <a:cs typeface="Browallia New" panose="020B0502040204020203" pitchFamily="34" charset="-34"/>
            </a:rPr>
            <a:t>Subject:</a:t>
          </a:r>
          <a:r>
            <a:rPr lang="en-US">
              <a:latin typeface="Browallia New" panose="020B0502040204020203" pitchFamily="34" charset="-34"/>
              <a:cs typeface="Browallia New" panose="020B0502040204020203" pitchFamily="34" charset="-34"/>
            </a:rPr>
            <a:t> Portfolio Return vs Benchmark Index</a:t>
          </a:r>
        </a:p>
        <a:p>
          <a:r>
            <a:rPr lang="en-US" b="1">
              <a:latin typeface="Browallia New" panose="020B0502040204020203" pitchFamily="34" charset="-34"/>
              <a:cs typeface="Browallia New" panose="020B0502040204020203" pitchFamily="34" charset="-34"/>
            </a:rPr>
            <a:t>Tasks:</a:t>
          </a:r>
          <a:endParaRPr lang="en-US">
            <a:latin typeface="Browallia New" panose="020B0502040204020203" pitchFamily="34" charset="-34"/>
            <a:cs typeface="Browallia New" panose="020B0502040204020203" pitchFamily="34" charset="-34"/>
          </a:endParaRPr>
        </a:p>
        <a:p>
          <a:r>
            <a:rPr lang="en-US" b="1">
              <a:latin typeface="Browallia New" panose="020B0502040204020203" pitchFamily="34" charset="-34"/>
              <a:cs typeface="Browallia New" panose="020B0502040204020203" pitchFamily="34" charset="-34"/>
            </a:rPr>
            <a:t>Add Sector and Company Information: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From the </a:t>
          </a:r>
          <a:r>
            <a:rPr lang="en-US" b="1">
              <a:latin typeface="Browallia New" panose="020B0502040204020203" pitchFamily="34" charset="-34"/>
              <a:cs typeface="Browallia New" panose="020B0502040204020203" pitchFamily="34" charset="-34"/>
            </a:rPr>
            <a:t>Sector</a:t>
          </a:r>
          <a:r>
            <a:rPr lang="en-US">
              <a:latin typeface="Browallia New" panose="020B0502040204020203" pitchFamily="34" charset="-34"/>
              <a:cs typeface="Browallia New" panose="020B0502040204020203" pitchFamily="34" charset="-34"/>
            </a:rPr>
            <a:t> worksheet, add the </a:t>
          </a:r>
          <a:r>
            <a:rPr lang="en-US" b="1">
              <a:latin typeface="Browallia New" panose="020B0502040204020203" pitchFamily="34" charset="-34"/>
              <a:cs typeface="Browallia New" panose="020B0502040204020203" pitchFamily="34" charset="-34"/>
            </a:rPr>
            <a:t>sector name</a:t>
          </a:r>
          <a:r>
            <a:rPr lang="en-US">
              <a:latin typeface="Browallia New" panose="020B0502040204020203" pitchFamily="34" charset="-34"/>
              <a:cs typeface="Browallia New" panose="020B0502040204020203" pitchFamily="34" charset="-34"/>
            </a:rPr>
            <a:t> and </a:t>
          </a:r>
          <a:r>
            <a:rPr lang="en-US" b="1">
              <a:latin typeface="Browallia New" panose="020B0502040204020203" pitchFamily="34" charset="-34"/>
              <a:cs typeface="Browallia New" panose="020B0502040204020203" pitchFamily="34" charset="-34"/>
            </a:rPr>
            <a:t>company name</a:t>
          </a:r>
          <a:r>
            <a:rPr lang="en-US">
              <a:latin typeface="Browallia New" panose="020B0502040204020203" pitchFamily="34" charset="-34"/>
              <a:cs typeface="Browallia New" panose="020B0502040204020203" pitchFamily="34" charset="-34"/>
            </a:rPr>
            <a:t> for each stock to the corresponding rows on the </a:t>
          </a:r>
          <a:r>
            <a:rPr lang="en-US" b="1">
              <a:latin typeface="Browallia New" panose="020B0502040204020203" pitchFamily="34" charset="-34"/>
              <a:cs typeface="Browallia New" panose="020B0502040204020203" pitchFamily="34" charset="-34"/>
            </a:rPr>
            <a:t>Portfolio</a:t>
          </a:r>
          <a:r>
            <a:rPr lang="en-US">
              <a:latin typeface="Browallia New" panose="020B0502040204020203" pitchFamily="34" charset="-34"/>
              <a:cs typeface="Browallia New" panose="020B0502040204020203" pitchFamily="34" charset="-34"/>
            </a:rPr>
            <a:t> worksheet.</a:t>
          </a:r>
        </a:p>
        <a:p>
          <a:pPr lvl="1"/>
          <a:r>
            <a:rPr lang="en-US">
              <a:latin typeface="Browallia New" panose="020B0502040204020203" pitchFamily="34" charset="-34"/>
              <a:cs typeface="Browallia New" panose="020B0502040204020203" pitchFamily="34" charset="-34"/>
            </a:rPr>
            <a:t>(Hint: Use the XLOOKUP function to retrieve the sector and company names based on the stock symbols).</a:t>
          </a:r>
        </a:p>
        <a:p>
          <a:r>
            <a:rPr lang="en-US" b="1">
              <a:latin typeface="Browallia New" panose="020B0502040204020203" pitchFamily="34" charset="-34"/>
              <a:cs typeface="Browallia New" panose="020B0502040204020203" pitchFamily="34" charset="-34"/>
            </a:rPr>
            <a:t>Calculate the 7-Year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For each stock in the </a:t>
          </a:r>
          <a:r>
            <a:rPr lang="en-US" b="1">
              <a:latin typeface="Browallia New" panose="020B0502040204020203" pitchFamily="34" charset="-34"/>
              <a:cs typeface="Browallia New" panose="020B0502040204020203" pitchFamily="34" charset="-34"/>
            </a:rPr>
            <a:t>Portfolio</a:t>
          </a:r>
          <a:r>
            <a:rPr lang="en-US">
              <a:latin typeface="Browallia New" panose="020B0502040204020203" pitchFamily="34" charset="-34"/>
              <a:cs typeface="Browallia New" panose="020B0502040204020203" pitchFamily="34" charset="-34"/>
            </a:rPr>
            <a:t> worksheet, calculate the </a:t>
          </a:r>
          <a:r>
            <a:rPr lang="en-US" b="1">
              <a:latin typeface="Browallia New" panose="020B0502040204020203" pitchFamily="34" charset="-34"/>
              <a:cs typeface="Browallia New" panose="020B0502040204020203" pitchFamily="34" charset="-34"/>
            </a:rPr>
            <a:t>7-year return</a:t>
          </a:r>
          <a:r>
            <a:rPr lang="en-US">
              <a:latin typeface="Browallia New" panose="020B0502040204020203" pitchFamily="34" charset="-34"/>
              <a:cs typeface="Browallia New" panose="020B0502040204020203" pitchFamily="34" charset="-34"/>
            </a:rPr>
            <a:t> based on data from 2018 to 2025 (updated time period).</a:t>
          </a:r>
        </a:p>
        <a:p>
          <a:pPr lvl="1"/>
          <a:r>
            <a:rPr lang="en-US">
              <a:latin typeface="Browallia New" panose="020B0502040204020203" pitchFamily="34" charset="-34"/>
              <a:cs typeface="Browallia New" panose="020B0502040204020203" pitchFamily="34" charset="-34"/>
            </a:rPr>
            <a:t>The return should reflect the percentage change in the stock price from the beginning of 2018 to the end of 2025.</a:t>
          </a:r>
        </a:p>
        <a:p>
          <a:r>
            <a:rPr lang="en-US" b="1">
              <a:latin typeface="Browallia New" panose="020B0502040204020203" pitchFamily="34" charset="-34"/>
              <a:cs typeface="Browallia New" panose="020B0502040204020203" pitchFamily="34" charset="-34"/>
            </a:rPr>
            <a:t>Calculate the Total Invested Dollars:</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For each stock, calculate the </a:t>
          </a:r>
          <a:r>
            <a:rPr lang="en-US" b="1">
              <a:latin typeface="Browallia New" panose="020B0502040204020203" pitchFamily="34" charset="-34"/>
              <a:cs typeface="Browallia New" panose="020B0502040204020203" pitchFamily="34" charset="-34"/>
            </a:rPr>
            <a:t>total invested dollars</a:t>
          </a:r>
          <a:r>
            <a:rPr lang="en-US">
              <a:latin typeface="Browallia New" panose="020B0502040204020203" pitchFamily="34" charset="-34"/>
              <a:cs typeface="Browallia New" panose="020B0502040204020203" pitchFamily="34" charset="-34"/>
            </a:rPr>
            <a:t> in </a:t>
          </a:r>
          <a:r>
            <a:rPr lang="en-US" b="1">
              <a:latin typeface="Browallia New" panose="020B0502040204020203" pitchFamily="34" charset="-34"/>
              <a:cs typeface="Browallia New" panose="020B0502040204020203" pitchFamily="34" charset="-34"/>
            </a:rPr>
            <a:t>2018</a:t>
          </a:r>
          <a:r>
            <a:rPr lang="en-US">
              <a:latin typeface="Browallia New" panose="020B0502040204020203" pitchFamily="34" charset="-34"/>
              <a:cs typeface="Browallia New" panose="020B0502040204020203" pitchFamily="34" charset="-34"/>
            </a:rPr>
            <a:t> and in </a:t>
          </a:r>
          <a:r>
            <a:rPr lang="en-US" b="1">
              <a:latin typeface="Browallia New" panose="020B0502040204020203" pitchFamily="34" charset="-34"/>
              <a:cs typeface="Browallia New" panose="020B0502040204020203" pitchFamily="34" charset="-34"/>
            </a:rPr>
            <a:t>2025</a:t>
          </a:r>
          <a:r>
            <a:rPr lang="en-US">
              <a:latin typeface="Browallia New" panose="020B0502040204020203" pitchFamily="34" charset="-34"/>
              <a:cs typeface="Browallia New" panose="020B0502040204020203" pitchFamily="34" charset="-34"/>
            </a:rPr>
            <a:t>. </a:t>
          </a:r>
        </a:p>
        <a:p>
          <a:pPr lvl="2"/>
          <a:r>
            <a:rPr lang="en-US" b="1">
              <a:latin typeface="Browallia New" panose="020B0502040204020203" pitchFamily="34" charset="-34"/>
              <a:cs typeface="Browallia New" panose="020B0502040204020203" pitchFamily="34" charset="-34"/>
            </a:rPr>
            <a:t>2018</a:t>
          </a:r>
          <a:r>
            <a:rPr lang="en-US">
              <a:latin typeface="Browallia New" panose="020B0502040204020203" pitchFamily="34" charset="-34"/>
              <a:cs typeface="Browallia New" panose="020B0502040204020203" pitchFamily="34" charset="-34"/>
            </a:rPr>
            <a:t> invested dollars: Use the stock price at the beginning of 2018 and the amount invested.</a:t>
          </a:r>
        </a:p>
        <a:p>
          <a:pPr lvl="2"/>
          <a:r>
            <a:rPr lang="en-US" b="1">
              <a:latin typeface="Browallia New" panose="020B0502040204020203" pitchFamily="34" charset="-34"/>
              <a:cs typeface="Browallia New" panose="020B0502040204020203" pitchFamily="34" charset="-34"/>
            </a:rPr>
            <a:t>2025</a:t>
          </a:r>
          <a:r>
            <a:rPr lang="en-US">
              <a:latin typeface="Browallia New" panose="020B0502040204020203" pitchFamily="34" charset="-34"/>
              <a:cs typeface="Browallia New" panose="020B0502040204020203" pitchFamily="34" charset="-34"/>
            </a:rPr>
            <a:t> invested dollars: Use the stock price at the end of 2025 along with the cumulative return for each stock to update the invested amount.</a:t>
          </a:r>
        </a:p>
        <a:p>
          <a:r>
            <a:rPr lang="en-US" b="1">
              <a:latin typeface="Browallia New" panose="020B0502040204020203" pitchFamily="34" charset="-34"/>
              <a:cs typeface="Browallia New" panose="020B0502040204020203" pitchFamily="34" charset="-34"/>
            </a:rPr>
            <a:t>Calculate Total Dollars Invested and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At the top of the </a:t>
          </a:r>
          <a:r>
            <a:rPr lang="en-US" b="1">
              <a:latin typeface="Browallia New" panose="020B0502040204020203" pitchFamily="34" charset="-34"/>
              <a:cs typeface="Browallia New" panose="020B0502040204020203" pitchFamily="34" charset="-34"/>
            </a:rPr>
            <a:t>Portfolio</a:t>
          </a:r>
          <a:r>
            <a:rPr lang="en-US">
              <a:latin typeface="Browallia New" panose="020B0502040204020203" pitchFamily="34" charset="-34"/>
              <a:cs typeface="Browallia New" panose="020B0502040204020203" pitchFamily="34" charset="-34"/>
            </a:rPr>
            <a:t> worksheet (cells </a:t>
          </a:r>
          <a:r>
            <a:rPr lang="en-US" b="1">
              <a:latin typeface="Browallia New" panose="020B0502040204020203" pitchFamily="34" charset="-34"/>
              <a:cs typeface="Browallia New" panose="020B0502040204020203" pitchFamily="34" charset="-34"/>
            </a:rPr>
            <a:t>H4</a:t>
          </a:r>
          <a:r>
            <a:rPr lang="en-US">
              <a:latin typeface="Browallia New" panose="020B0502040204020203" pitchFamily="34" charset="-34"/>
              <a:cs typeface="Browallia New" panose="020B0502040204020203" pitchFamily="34" charset="-34"/>
            </a:rPr>
            <a:t> and </a:t>
          </a:r>
          <a:r>
            <a:rPr lang="en-US" b="1">
              <a:latin typeface="Browallia New" panose="020B0502040204020203" pitchFamily="34" charset="-34"/>
              <a:cs typeface="Browallia New" panose="020B0502040204020203" pitchFamily="34" charset="-34"/>
            </a:rPr>
            <a:t>H5</a:t>
          </a:r>
          <a:r>
            <a:rPr lang="en-US">
              <a:latin typeface="Browallia New" panose="020B0502040204020203" pitchFamily="34" charset="-34"/>
              <a:cs typeface="Browallia New" panose="020B0502040204020203" pitchFamily="34" charset="-34"/>
            </a:rPr>
            <a:t>), calculate the </a:t>
          </a:r>
          <a:r>
            <a:rPr lang="en-US" b="1">
              <a:latin typeface="Browallia New" panose="020B0502040204020203" pitchFamily="34" charset="-34"/>
              <a:cs typeface="Browallia New" panose="020B0502040204020203" pitchFamily="34" charset="-34"/>
            </a:rPr>
            <a:t>Total Dollars Invested in 2018</a:t>
          </a:r>
          <a:r>
            <a:rPr lang="en-US">
              <a:latin typeface="Browallia New" panose="020B0502040204020203" pitchFamily="34" charset="-34"/>
              <a:cs typeface="Browallia New" panose="020B0502040204020203" pitchFamily="34" charset="-34"/>
            </a:rPr>
            <a:t> and the </a:t>
          </a:r>
          <a:r>
            <a:rPr lang="en-US" b="1">
              <a:latin typeface="Browallia New" panose="020B0502040204020203" pitchFamily="34" charset="-34"/>
              <a:cs typeface="Browallia New" panose="020B0502040204020203" pitchFamily="34" charset="-34"/>
            </a:rPr>
            <a:t>Total Dollar Return from 2018-2025</a:t>
          </a:r>
          <a:r>
            <a:rPr lang="en-US">
              <a:latin typeface="Browallia New" panose="020B0502040204020203" pitchFamily="34" charset="-34"/>
              <a:cs typeface="Browallia New" panose="020B0502040204020203" pitchFamily="34" charset="-34"/>
            </a:rPr>
            <a:t> for the entire portfolio.</a:t>
          </a:r>
        </a:p>
        <a:p>
          <a:r>
            <a:rPr lang="en-US" b="1">
              <a:latin typeface="Browallia New" panose="020B0502040204020203" pitchFamily="34" charset="-34"/>
              <a:cs typeface="Browallia New" panose="020B0502040204020203" pitchFamily="34" charset="-34"/>
            </a:rPr>
            <a:t>Benchmark Comparison (Russell 3000):</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At the top of the </a:t>
          </a:r>
          <a:r>
            <a:rPr lang="en-US" b="1">
              <a:latin typeface="Browallia New" panose="020B0502040204020203" pitchFamily="34" charset="-34"/>
              <a:cs typeface="Browallia New" panose="020B0502040204020203" pitchFamily="34" charset="-34"/>
            </a:rPr>
            <a:t>Portfolio</a:t>
          </a:r>
          <a:r>
            <a:rPr lang="en-US">
              <a:latin typeface="Browallia New" panose="020B0502040204020203" pitchFamily="34" charset="-34"/>
              <a:cs typeface="Browallia New" panose="020B0502040204020203" pitchFamily="34" charset="-34"/>
            </a:rPr>
            <a:t> worksheet in </a:t>
          </a:r>
          <a:r>
            <a:rPr lang="en-US" b="1">
              <a:latin typeface="Browallia New" panose="020B0502040204020203" pitchFamily="34" charset="-34"/>
              <a:cs typeface="Browallia New" panose="020B0502040204020203" pitchFamily="34" charset="-34"/>
            </a:rPr>
            <a:t>Cell C5</a:t>
          </a:r>
          <a:r>
            <a:rPr lang="en-US">
              <a:latin typeface="Browallia New" panose="020B0502040204020203" pitchFamily="34" charset="-34"/>
              <a:cs typeface="Browallia New" panose="020B0502040204020203" pitchFamily="34" charset="-34"/>
            </a:rPr>
            <a:t>, calculate the return of the </a:t>
          </a:r>
          <a:r>
            <a:rPr lang="en-US" b="1">
              <a:latin typeface="Browallia New" panose="020B0502040204020203" pitchFamily="34" charset="-34"/>
              <a:cs typeface="Browallia New" panose="020B0502040204020203" pitchFamily="34" charset="-34"/>
            </a:rPr>
            <a:t>Russell 3000 Total Return</a:t>
          </a:r>
          <a:r>
            <a:rPr lang="en-US">
              <a:latin typeface="Browallia New" panose="020B0502040204020203" pitchFamily="34" charset="-34"/>
              <a:cs typeface="Browallia New" panose="020B0502040204020203" pitchFamily="34" charset="-34"/>
            </a:rPr>
            <a:t> index for the period from </a:t>
          </a:r>
          <a:r>
            <a:rPr lang="en-US" b="1">
              <a:latin typeface="Browallia New" panose="020B0502040204020203" pitchFamily="34" charset="-34"/>
              <a:cs typeface="Browallia New" panose="020B0502040204020203" pitchFamily="34" charset="-34"/>
            </a:rPr>
            <a:t>2018-2025</a:t>
          </a:r>
          <a:r>
            <a:rPr lang="en-US">
              <a:latin typeface="Browallia New" panose="020B0502040204020203" pitchFamily="34" charset="-34"/>
              <a:cs typeface="Browallia New" panose="020B0502040204020203" pitchFamily="34" charset="-34"/>
            </a:rPr>
            <a:t> (Stock Symbol: </a:t>
          </a:r>
          <a:r>
            <a:rPr lang="en-US" b="1">
              <a:latin typeface="Browallia New" panose="020B0502040204020203" pitchFamily="34" charset="-34"/>
              <a:cs typeface="Browallia New" panose="020B0502040204020203" pitchFamily="34" charset="-34"/>
            </a:rPr>
            <a:t>RUA</a:t>
          </a:r>
          <a:r>
            <a:rPr lang="en-US">
              <a:latin typeface="Browallia New" panose="020B0502040204020203" pitchFamily="34" charset="-34"/>
              <a:cs typeface="Browallia New" panose="020B0502040204020203" pitchFamily="34" charset="-34"/>
            </a:rPr>
            <a:t>). </a:t>
          </a:r>
        </a:p>
        <a:p>
          <a:pPr lvl="2"/>
          <a:r>
            <a:rPr lang="en-US">
              <a:latin typeface="Browallia New" panose="020B0502040204020203" pitchFamily="34" charset="-34"/>
              <a:cs typeface="Browallia New" panose="020B0502040204020203" pitchFamily="34" charset="-34"/>
            </a:rPr>
            <a:t>Verify if the return data for </a:t>
          </a:r>
          <a:r>
            <a:rPr lang="en-US" b="1">
              <a:latin typeface="Browallia New" panose="020B0502040204020203" pitchFamily="34" charset="-34"/>
              <a:cs typeface="Browallia New" panose="020B0502040204020203" pitchFamily="34" charset="-34"/>
            </a:rPr>
            <a:t>RUA</a:t>
          </a:r>
          <a:r>
            <a:rPr lang="en-US">
              <a:latin typeface="Browallia New" panose="020B0502040204020203" pitchFamily="34" charset="-34"/>
              <a:cs typeface="Browallia New" panose="020B0502040204020203" pitchFamily="34" charset="-34"/>
            </a:rPr>
            <a:t> is available in the </a:t>
          </a:r>
          <a:r>
            <a:rPr lang="en-US" b="1">
              <a:latin typeface="Browallia New" panose="020B0502040204020203" pitchFamily="34" charset="-34"/>
              <a:cs typeface="Browallia New" panose="020B0502040204020203" pitchFamily="34" charset="-34"/>
            </a:rPr>
            <a:t>RUA</a:t>
          </a:r>
          <a:r>
            <a:rPr lang="en-US">
              <a:latin typeface="Browallia New" panose="020B0502040204020203" pitchFamily="34" charset="-34"/>
              <a:cs typeface="Browallia New" panose="020B0502040204020203" pitchFamily="34" charset="-34"/>
            </a:rPr>
            <a:t> worksheet.</a:t>
          </a:r>
        </a:p>
        <a:p>
          <a:r>
            <a:rPr lang="en-US" b="1">
              <a:latin typeface="Browallia New" panose="020B0502040204020203" pitchFamily="34" charset="-34"/>
              <a:cs typeface="Browallia New" panose="020B0502040204020203" pitchFamily="34" charset="-34"/>
            </a:rPr>
            <a:t>Group Stocks by Sector:</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Use the </a:t>
          </a:r>
          <a:r>
            <a:rPr lang="en-US" b="1">
              <a:latin typeface="Browallia New" panose="020B0502040204020203" pitchFamily="34" charset="-34"/>
              <a:cs typeface="Browallia New" panose="020B0502040204020203" pitchFamily="34" charset="-34"/>
            </a:rPr>
            <a:t>Subtotal function</a:t>
          </a:r>
          <a:r>
            <a:rPr lang="en-US">
              <a:latin typeface="Browallia New" panose="020B0502040204020203" pitchFamily="34" charset="-34"/>
              <a:cs typeface="Browallia New" panose="020B0502040204020203" pitchFamily="34" charset="-34"/>
            </a:rPr>
            <a:t> or create a </a:t>
          </a:r>
          <a:r>
            <a:rPr lang="en-US" b="1">
              <a:latin typeface="Browallia New" panose="020B0502040204020203" pitchFamily="34" charset="-34"/>
              <a:cs typeface="Browallia New" panose="020B0502040204020203" pitchFamily="34" charset="-34"/>
            </a:rPr>
            <a:t>Pivot Table</a:t>
          </a:r>
          <a:r>
            <a:rPr lang="en-US">
              <a:latin typeface="Browallia New" panose="020B0502040204020203" pitchFamily="34" charset="-34"/>
              <a:cs typeface="Browallia New" panose="020B0502040204020203" pitchFamily="34" charset="-34"/>
            </a:rPr>
            <a:t> to group the stocks by sector.</a:t>
          </a:r>
        </a:p>
        <a:p>
          <a:pPr lvl="1"/>
          <a:r>
            <a:rPr lang="en-US">
              <a:latin typeface="Browallia New" panose="020B0502040204020203" pitchFamily="34" charset="-34"/>
              <a:cs typeface="Browallia New" panose="020B0502040204020203" pitchFamily="34" charset="-34"/>
            </a:rPr>
            <a:t>Include totals for columns that involve dollar amounts (Total Invested Dollars and Total Dollar Return).</a:t>
          </a:r>
        </a:p>
        <a:p>
          <a:pPr lvl="1"/>
          <a:r>
            <a:rPr lang="en-US">
              <a:latin typeface="Browallia New" panose="020B0502040204020203" pitchFamily="34" charset="-34"/>
              <a:cs typeface="Browallia New" panose="020B0502040204020203" pitchFamily="34" charset="-34"/>
            </a:rPr>
            <a:t>For each sector, calculate: </a:t>
          </a:r>
        </a:p>
        <a:p>
          <a:pPr lvl="2"/>
          <a:r>
            <a:rPr lang="en-US" b="1">
              <a:latin typeface="Browallia New" panose="020B0502040204020203" pitchFamily="34" charset="-34"/>
              <a:cs typeface="Browallia New" panose="020B0502040204020203" pitchFamily="34" charset="-34"/>
            </a:rPr>
            <a:t>Cumulative 7-year return</a:t>
          </a:r>
          <a:r>
            <a:rPr lang="en-US">
              <a:latin typeface="Browallia New" panose="020B0502040204020203" pitchFamily="34" charset="-34"/>
              <a:cs typeface="Browallia New" panose="020B0502040204020203" pitchFamily="34" charset="-34"/>
            </a:rPr>
            <a:t> in percentage.</a:t>
          </a:r>
        </a:p>
        <a:p>
          <a:pPr lvl="2"/>
          <a:r>
            <a:rPr lang="en-US" b="1">
              <a:latin typeface="Browallia New" panose="020B0502040204020203" pitchFamily="34" charset="-34"/>
              <a:cs typeface="Browallia New" panose="020B0502040204020203" pitchFamily="34" charset="-34"/>
            </a:rPr>
            <a:t>Total dollar amount</a:t>
          </a:r>
          <a:r>
            <a:rPr lang="en-US">
              <a:latin typeface="Browallia New" panose="020B0502040204020203" pitchFamily="34" charset="-34"/>
              <a:cs typeface="Browallia New" panose="020B0502040204020203" pitchFamily="34" charset="-34"/>
            </a:rPr>
            <a:t> for the sector.</a:t>
          </a:r>
        </a:p>
        <a:p>
          <a:pPr lvl="2"/>
          <a:r>
            <a:rPr lang="en-US" b="1">
              <a:latin typeface="Browallia New" panose="020B0502040204020203" pitchFamily="34" charset="-34"/>
              <a:cs typeface="Browallia New" panose="020B0502040204020203" pitchFamily="34" charset="-34"/>
            </a:rPr>
            <a:t>Calculate average</a:t>
          </a:r>
          <a:r>
            <a:rPr lang="en-US" b="1" baseline="0">
              <a:latin typeface="Browallia New" panose="020B0502040204020203" pitchFamily="34" charset="-34"/>
              <a:cs typeface="Browallia New" panose="020B0502040204020203" pitchFamily="34" charset="-34"/>
            </a:rPr>
            <a:t> </a:t>
          </a:r>
          <a:r>
            <a:rPr lang="en-US" baseline="0">
              <a:latin typeface="Browallia New" panose="020B0502040204020203" pitchFamily="34" charset="-34"/>
              <a:cs typeface="Browallia New" panose="020B0502040204020203" pitchFamily="34" charset="-34"/>
            </a:rPr>
            <a:t>P/E by Sector. </a:t>
          </a:r>
          <a:endParaRPr lang="en-US">
            <a:latin typeface="Browallia New" panose="020B0502040204020203" pitchFamily="34" charset="-34"/>
            <a:cs typeface="Browallia New" panose="020B0502040204020203" pitchFamily="34" charset="-34"/>
          </a:endParaRPr>
        </a:p>
        <a:p>
          <a:r>
            <a:rPr lang="en-US" sz="1100" b="1">
              <a:solidFill>
                <a:schemeClr val="dk1"/>
              </a:solidFill>
              <a:effectLst/>
              <a:latin typeface="Browallia New" panose="020B0502040204020203" pitchFamily="34" charset="-34"/>
              <a:ea typeface="+mn-ea"/>
              <a:cs typeface="Browallia New" panose="020B0502040204020203" pitchFamily="34" charset="-34"/>
            </a:rPr>
            <a:t>Calculation of Compound Annual Growth Rate (CAGR):</a:t>
          </a:r>
          <a:endParaRPr lang="en-US">
            <a:effectLst/>
            <a:latin typeface="Browallia New" panose="020B0502040204020203" pitchFamily="34" charset="-34"/>
            <a:cs typeface="Browallia New" panose="020B0502040204020203" pitchFamily="34" charset="-34"/>
          </a:endParaRPr>
        </a:p>
        <a:p>
          <a:r>
            <a:rPr lang="en-US" sz="1100" b="1">
              <a:solidFill>
                <a:schemeClr val="dk1"/>
              </a:solidFill>
              <a:effectLst/>
              <a:latin typeface="Browallia New" panose="020B0502040204020203" pitchFamily="34" charset="-34"/>
              <a:ea typeface="+mn-ea"/>
              <a:cs typeface="Browallia New" panose="020B0502040204020203" pitchFamily="34" charset="-34"/>
            </a:rPr>
            <a:t>Calculate CAGR:</a:t>
          </a:r>
          <a:r>
            <a:rPr lang="en-US" sz="1100">
              <a:solidFill>
                <a:schemeClr val="dk1"/>
              </a:solidFill>
              <a:effectLst/>
              <a:latin typeface="Browallia New" panose="020B0502040204020203" pitchFamily="34" charset="-34"/>
              <a:ea typeface="+mn-ea"/>
              <a:cs typeface="Browallia New" panose="020B0502040204020203" pitchFamily="34" charset="-34"/>
            </a:rPr>
            <a:t> </a:t>
          </a:r>
          <a:endParaRPr lang="en-US">
            <a:effectLst/>
            <a:latin typeface="Browallia New" panose="020B0502040204020203" pitchFamily="34" charset="-34"/>
            <a:cs typeface="Browallia New" panose="020B0502040204020203" pitchFamily="34" charset="-34"/>
          </a:endParaRPr>
        </a:p>
        <a:p>
          <a:r>
            <a:rPr lang="en-US" sz="1100">
              <a:solidFill>
                <a:schemeClr val="dk1"/>
              </a:solidFill>
              <a:effectLst/>
              <a:latin typeface="Browallia New" panose="020B0502040204020203" pitchFamily="34" charset="-34"/>
              <a:ea typeface="+mn-ea"/>
              <a:cs typeface="Browallia New" panose="020B0502040204020203" pitchFamily="34" charset="-34"/>
            </a:rPr>
            <a:t>For each stock, calculate the </a:t>
          </a:r>
          <a:r>
            <a:rPr lang="en-US" sz="1100" b="1">
              <a:solidFill>
                <a:schemeClr val="dk1"/>
              </a:solidFill>
              <a:effectLst/>
              <a:latin typeface="Browallia New" panose="020B0502040204020203" pitchFamily="34" charset="-34"/>
              <a:ea typeface="+mn-ea"/>
              <a:cs typeface="Browallia New" panose="020B0502040204020203" pitchFamily="34" charset="-34"/>
            </a:rPr>
            <a:t>CAGR</a:t>
          </a:r>
          <a:r>
            <a:rPr lang="en-US" sz="1100">
              <a:solidFill>
                <a:schemeClr val="dk1"/>
              </a:solidFill>
              <a:effectLst/>
              <a:latin typeface="Browallia New" panose="020B0502040204020203" pitchFamily="34" charset="-34"/>
              <a:ea typeface="+mn-ea"/>
              <a:cs typeface="Browallia New" panose="020B0502040204020203" pitchFamily="34" charset="-34"/>
            </a:rPr>
            <a:t> for the period from </a:t>
          </a:r>
          <a:r>
            <a:rPr lang="en-US" sz="1100" b="1">
              <a:solidFill>
                <a:schemeClr val="dk1"/>
              </a:solidFill>
              <a:effectLst/>
              <a:latin typeface="Browallia New" panose="020B0502040204020203" pitchFamily="34" charset="-34"/>
              <a:ea typeface="+mn-ea"/>
              <a:cs typeface="Browallia New" panose="020B0502040204020203" pitchFamily="34" charset="-34"/>
            </a:rPr>
            <a:t>2018 to 2025</a:t>
          </a:r>
          <a:r>
            <a:rPr lang="en-US" sz="1100">
              <a:solidFill>
                <a:schemeClr val="dk1"/>
              </a:solidFill>
              <a:effectLst/>
              <a:latin typeface="Browallia New" panose="020B0502040204020203" pitchFamily="34" charset="-34"/>
              <a:ea typeface="+mn-ea"/>
              <a:cs typeface="Browallia New" panose="020B0502040204020203" pitchFamily="34" charset="-34"/>
            </a:rPr>
            <a:t> using the following formula:</a:t>
          </a:r>
          <a:endParaRPr lang="en-US">
            <a:effectLst/>
            <a:latin typeface="Browallia New" panose="020B0502040204020203" pitchFamily="34" charset="-34"/>
            <a:cs typeface="Browallia New" panose="020B0502040204020203" pitchFamily="34" charset="-34"/>
          </a:endParaRPr>
        </a:p>
        <a:p>
          <a:r>
            <a:rPr lang="en-US" sz="1100">
              <a:solidFill>
                <a:schemeClr val="dk1"/>
              </a:solidFill>
              <a:effectLst/>
              <a:latin typeface="Browallia New" panose="020B0502040204020203" pitchFamily="34" charset="-34"/>
              <a:ea typeface="+mn-ea"/>
              <a:cs typeface="Browallia New" panose="020B0502040204020203" pitchFamily="34" charset="-34"/>
            </a:rPr>
            <a:t>Where:</a:t>
          </a:r>
          <a:endParaRPr lang="en-US">
            <a:effectLst/>
            <a:latin typeface="Browallia New" panose="020B0502040204020203" pitchFamily="34" charset="-34"/>
            <a:cs typeface="Browallia New" panose="020B0502040204020203" pitchFamily="34" charset="-34"/>
          </a:endParaRPr>
        </a:p>
        <a:p>
          <a:r>
            <a:rPr lang="en-US" sz="1100" b="1">
              <a:solidFill>
                <a:schemeClr val="dk1"/>
              </a:solidFill>
              <a:effectLst/>
              <a:latin typeface="Browallia New" panose="020B0502040204020203" pitchFamily="34" charset="-34"/>
              <a:ea typeface="+mn-ea"/>
              <a:cs typeface="Browallia New" panose="020B0502040204020203" pitchFamily="34" charset="-34"/>
            </a:rPr>
            <a:t>Ending Value</a:t>
          </a:r>
          <a:r>
            <a:rPr lang="en-US" sz="1100">
              <a:solidFill>
                <a:schemeClr val="dk1"/>
              </a:solidFill>
              <a:effectLst/>
              <a:latin typeface="Browallia New" panose="020B0502040204020203" pitchFamily="34" charset="-34"/>
              <a:ea typeface="+mn-ea"/>
              <a:cs typeface="Browallia New" panose="020B0502040204020203" pitchFamily="34" charset="-34"/>
            </a:rPr>
            <a:t> is the stock price at the end of 2025.</a:t>
          </a:r>
          <a:endParaRPr lang="en-US">
            <a:effectLst/>
            <a:latin typeface="Browallia New" panose="020B0502040204020203" pitchFamily="34" charset="-34"/>
            <a:cs typeface="Browallia New" panose="020B0502040204020203" pitchFamily="34" charset="-34"/>
          </a:endParaRPr>
        </a:p>
        <a:p>
          <a:r>
            <a:rPr lang="en-US" sz="1100" b="1">
              <a:solidFill>
                <a:schemeClr val="dk1"/>
              </a:solidFill>
              <a:effectLst/>
              <a:latin typeface="Browallia New" panose="020B0502040204020203" pitchFamily="34" charset="-34"/>
              <a:ea typeface="+mn-ea"/>
              <a:cs typeface="Browallia New" panose="020B0502040204020203" pitchFamily="34" charset="-34"/>
            </a:rPr>
            <a:t>Beginning Value</a:t>
          </a:r>
          <a:r>
            <a:rPr lang="en-US" sz="1100">
              <a:solidFill>
                <a:schemeClr val="dk1"/>
              </a:solidFill>
              <a:effectLst/>
              <a:latin typeface="Browallia New" panose="020B0502040204020203" pitchFamily="34" charset="-34"/>
              <a:ea typeface="+mn-ea"/>
              <a:cs typeface="Browallia New" panose="020B0502040204020203" pitchFamily="34" charset="-34"/>
            </a:rPr>
            <a:t> is the stock price at the beginning of 2018.</a:t>
          </a:r>
          <a:endParaRPr lang="en-US">
            <a:effectLst/>
            <a:latin typeface="Browallia New" panose="020B0502040204020203" pitchFamily="34" charset="-34"/>
            <a:cs typeface="Browallia New" panose="020B0502040204020203" pitchFamily="34" charset="-34"/>
          </a:endParaRPr>
        </a:p>
        <a:p>
          <a:r>
            <a:rPr lang="en-US" sz="1100" b="1">
              <a:solidFill>
                <a:schemeClr val="dk1"/>
              </a:solidFill>
              <a:effectLst/>
              <a:latin typeface="Browallia New" panose="020B0502040204020203" pitchFamily="34" charset="-34"/>
              <a:ea typeface="+mn-ea"/>
              <a:cs typeface="Browallia New" panose="020B0502040204020203" pitchFamily="34" charset="-34"/>
            </a:rPr>
            <a:t>n</a:t>
          </a:r>
          <a:r>
            <a:rPr lang="en-US" sz="1100">
              <a:solidFill>
                <a:schemeClr val="dk1"/>
              </a:solidFill>
              <a:effectLst/>
              <a:latin typeface="Browallia New" panose="020B0502040204020203" pitchFamily="34" charset="-34"/>
              <a:ea typeface="+mn-ea"/>
              <a:cs typeface="Browallia New" panose="020B0502040204020203" pitchFamily="34" charset="-34"/>
            </a:rPr>
            <a:t> is the number of years (7 years in this case).</a:t>
          </a:r>
          <a:endParaRPr lang="en-US">
            <a:effectLst/>
            <a:latin typeface="Browallia New" panose="020B0502040204020203" pitchFamily="34" charset="-34"/>
            <a:cs typeface="Browallia New" panose="020B0502040204020203" pitchFamily="34" charset="-34"/>
          </a:endParaRPr>
        </a:p>
        <a:p>
          <a:r>
            <a:rPr lang="en-US" sz="1100">
              <a:solidFill>
                <a:schemeClr val="dk1"/>
              </a:solidFill>
              <a:effectLst/>
              <a:latin typeface="Browallia New" panose="020B0502040204020203" pitchFamily="34" charset="-34"/>
              <a:ea typeface="+mn-ea"/>
              <a:cs typeface="Browallia New" panose="020B0502040204020203" pitchFamily="34" charset="-34"/>
            </a:rPr>
            <a:t>Add the </a:t>
          </a:r>
          <a:r>
            <a:rPr lang="en-US" sz="1100" b="1">
              <a:solidFill>
                <a:schemeClr val="dk1"/>
              </a:solidFill>
              <a:effectLst/>
              <a:latin typeface="Browallia New" panose="020B0502040204020203" pitchFamily="34" charset="-34"/>
              <a:ea typeface="+mn-ea"/>
              <a:cs typeface="Browallia New" panose="020B0502040204020203" pitchFamily="34" charset="-34"/>
            </a:rPr>
            <a:t>CAGR</a:t>
          </a:r>
          <a:r>
            <a:rPr lang="en-US" sz="1100">
              <a:solidFill>
                <a:schemeClr val="dk1"/>
              </a:solidFill>
              <a:effectLst/>
              <a:latin typeface="Browallia New" panose="020B0502040204020203" pitchFamily="34" charset="-34"/>
              <a:ea typeface="+mn-ea"/>
              <a:cs typeface="Browallia New" panose="020B0502040204020203" pitchFamily="34" charset="-34"/>
            </a:rPr>
            <a:t> calculation for each stock in the </a:t>
          </a:r>
          <a:r>
            <a:rPr lang="en-US" sz="1100" b="1">
              <a:solidFill>
                <a:schemeClr val="dk1"/>
              </a:solidFill>
              <a:effectLst/>
              <a:latin typeface="Browallia New" panose="020B0502040204020203" pitchFamily="34" charset="-34"/>
              <a:ea typeface="+mn-ea"/>
              <a:cs typeface="Browallia New" panose="020B0502040204020203" pitchFamily="34" charset="-34"/>
            </a:rPr>
            <a:t>Portfolio</a:t>
          </a:r>
          <a:r>
            <a:rPr lang="en-US" sz="1100">
              <a:solidFill>
                <a:schemeClr val="dk1"/>
              </a:solidFill>
              <a:effectLst/>
              <a:latin typeface="Browallia New" panose="020B0502040204020203" pitchFamily="34" charset="-34"/>
              <a:ea typeface="+mn-ea"/>
              <a:cs typeface="Browallia New" panose="020B0502040204020203" pitchFamily="34" charset="-34"/>
            </a:rPr>
            <a:t> worksheet.</a:t>
          </a:r>
          <a:endParaRPr lang="en-US">
            <a:effectLst/>
            <a:latin typeface="Browallia New" panose="020B0502040204020203" pitchFamily="34" charset="-34"/>
            <a:cs typeface="Browallia New" panose="020B0502040204020203" pitchFamily="34" charset="-34"/>
          </a:endParaRPr>
        </a:p>
        <a:p>
          <a:r>
            <a:rPr lang="en-US" sz="1100">
              <a:solidFill>
                <a:schemeClr val="dk1"/>
              </a:solidFill>
              <a:effectLst/>
              <a:latin typeface="Browallia New" panose="020B0502040204020203" pitchFamily="34" charset="-34"/>
              <a:ea typeface="+mn-ea"/>
              <a:cs typeface="Browallia New" panose="020B0502040204020203" pitchFamily="34" charset="-34"/>
            </a:rPr>
            <a:t>Let me know if you need further clarification or any adjustments!</a:t>
          </a:r>
          <a:endParaRPr lang="en-US">
            <a:effectLst/>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endParaRPr lang="en-US" b="1">
            <a:latin typeface="Browallia New" panose="020B0502040204020203" pitchFamily="34" charset="-34"/>
            <a:cs typeface="Browallia New" panose="020B0502040204020203" pitchFamily="34" charset="-34"/>
          </a:endParaRPr>
        </a:p>
        <a:p>
          <a:r>
            <a:rPr lang="en-US" b="1">
              <a:latin typeface="Browallia New" panose="020B0502040204020203" pitchFamily="34" charset="-34"/>
              <a:cs typeface="Browallia New" panose="020B0502040204020203" pitchFamily="34" charset="-34"/>
            </a:rPr>
            <a:t>Executive Summary and Dashboard:</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Create an executive summary with your analysis of the data and your conclusions.</a:t>
          </a:r>
        </a:p>
        <a:p>
          <a:pPr lvl="1"/>
          <a:r>
            <a:rPr lang="en-US" b="1">
              <a:latin typeface="Browallia New" panose="020B0502040204020203" pitchFamily="34" charset="-34"/>
              <a:cs typeface="Browallia New" panose="020B0502040204020203" pitchFamily="34" charset="-34"/>
            </a:rPr>
            <a:t>Recommendations</a:t>
          </a:r>
          <a:r>
            <a:rPr lang="en-US">
              <a:latin typeface="Browallia New" panose="020B0502040204020203" pitchFamily="34" charset="-34"/>
              <a:cs typeface="Browallia New" panose="020B0502040204020203" pitchFamily="34" charset="-34"/>
            </a:rPr>
            <a:t> for improving the stock fund should also be included.</a:t>
          </a:r>
        </a:p>
        <a:p>
          <a:pPr lvl="1"/>
          <a:r>
            <a:rPr lang="en-US" b="1">
              <a:latin typeface="Browallia New" panose="020B0502040204020203" pitchFamily="34" charset="-34"/>
              <a:cs typeface="Browallia New" panose="020B0502040204020203" pitchFamily="34" charset="-34"/>
            </a:rPr>
            <a:t>Charts and graphs</a:t>
          </a:r>
          <a:r>
            <a:rPr lang="en-US">
              <a:latin typeface="Browallia New" panose="020B0502040204020203" pitchFamily="34" charset="-34"/>
              <a:cs typeface="Browallia New" panose="020B0502040204020203" pitchFamily="34" charset="-34"/>
            </a:rPr>
            <a:t> should be created to visually represent key data points.</a:t>
          </a:r>
        </a:p>
        <a:p>
          <a:r>
            <a:rPr lang="en-US" b="1">
              <a:latin typeface="Browallia New" panose="020B0502040204020203" pitchFamily="34" charset="-34"/>
              <a:cs typeface="Browallia New" panose="020B0502040204020203" pitchFamily="34" charset="-34"/>
            </a:rPr>
            <a:t>Dashboard Requirements:</a:t>
          </a:r>
          <a:endParaRPr lang="en-US">
            <a:latin typeface="Browallia New" panose="020B0502040204020203" pitchFamily="34" charset="-34"/>
            <a:cs typeface="Browallia New" panose="020B0502040204020203" pitchFamily="34" charset="-34"/>
          </a:endParaRPr>
        </a:p>
        <a:p>
          <a:r>
            <a:rPr lang="en-US" b="1">
              <a:latin typeface="Browallia New" panose="020B0502040204020203" pitchFamily="34" charset="-34"/>
              <a:cs typeface="Browallia New" panose="020B0502040204020203" pitchFamily="34" charset="-34"/>
            </a:rPr>
            <a:t>Top 5 Performing Stocks by %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top 5 performing stocks based on </a:t>
          </a:r>
          <a:r>
            <a:rPr lang="en-US" b="1">
              <a:latin typeface="Browallia New" panose="020B0502040204020203" pitchFamily="34" charset="-34"/>
              <a:cs typeface="Browallia New" panose="020B0502040204020203" pitchFamily="34" charset="-34"/>
            </a:rPr>
            <a:t>% return</a:t>
          </a:r>
          <a:r>
            <a:rPr lang="en-US">
              <a:latin typeface="Browallia New" panose="020B0502040204020203" pitchFamily="34" charset="-34"/>
              <a:cs typeface="Browallia New" panose="020B0502040204020203" pitchFamily="34" charset="-34"/>
            </a:rPr>
            <a:t> from 2018 to 2025.</a:t>
          </a:r>
        </a:p>
        <a:p>
          <a:r>
            <a:rPr lang="en-US" b="1">
              <a:latin typeface="Browallia New" panose="020B0502040204020203" pitchFamily="34" charset="-34"/>
              <a:cs typeface="Browallia New" panose="020B0502040204020203" pitchFamily="34" charset="-34"/>
            </a:rPr>
            <a:t>Top 5 Performing Sectors by %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top 5 performing sectors based on </a:t>
          </a:r>
          <a:r>
            <a:rPr lang="en-US" b="1">
              <a:latin typeface="Browallia New" panose="020B0502040204020203" pitchFamily="34" charset="-34"/>
              <a:cs typeface="Browallia New" panose="020B0502040204020203" pitchFamily="34" charset="-34"/>
            </a:rPr>
            <a:t>% return</a:t>
          </a:r>
          <a:r>
            <a:rPr lang="en-US">
              <a:latin typeface="Browallia New" panose="020B0502040204020203" pitchFamily="34" charset="-34"/>
              <a:cs typeface="Browallia New" panose="020B0502040204020203" pitchFamily="34" charset="-34"/>
            </a:rPr>
            <a:t> from 2018 to 2025.</a:t>
          </a:r>
        </a:p>
        <a:p>
          <a:r>
            <a:rPr lang="en-US" b="1">
              <a:latin typeface="Browallia New" panose="020B0502040204020203" pitchFamily="34" charset="-34"/>
              <a:cs typeface="Browallia New" panose="020B0502040204020203" pitchFamily="34" charset="-34"/>
            </a:rPr>
            <a:t>Bottom 5 Performing Stocks by %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bottom 5 performing stocks based on </a:t>
          </a:r>
          <a:r>
            <a:rPr lang="en-US" b="1">
              <a:latin typeface="Browallia New" panose="020B0502040204020203" pitchFamily="34" charset="-34"/>
              <a:cs typeface="Browallia New" panose="020B0502040204020203" pitchFamily="34" charset="-34"/>
            </a:rPr>
            <a:t>% return</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Bottom 5 Performing Sectors by % Return:</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bottom 5 performing sectors based on </a:t>
          </a:r>
          <a:r>
            <a:rPr lang="en-US" b="1">
              <a:latin typeface="Browallia New" panose="020B0502040204020203" pitchFamily="34" charset="-34"/>
              <a:cs typeface="Browallia New" panose="020B0502040204020203" pitchFamily="34" charset="-34"/>
            </a:rPr>
            <a:t>% return</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Top 5 Performing Stocks by Total Dollar Amount:</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top 5 performing stocks based on </a:t>
          </a:r>
          <a:r>
            <a:rPr lang="en-US" b="1">
              <a:latin typeface="Browallia New" panose="020B0502040204020203" pitchFamily="34" charset="-34"/>
              <a:cs typeface="Browallia New" panose="020B0502040204020203" pitchFamily="34" charset="-34"/>
            </a:rPr>
            <a:t>total dollar amount</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Top 5 Performing Sectors by Total Dollar Amount:</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top 5 performing sectors based on </a:t>
          </a:r>
          <a:r>
            <a:rPr lang="en-US" b="1">
              <a:latin typeface="Browallia New" panose="020B0502040204020203" pitchFamily="34" charset="-34"/>
              <a:cs typeface="Browallia New" panose="020B0502040204020203" pitchFamily="34" charset="-34"/>
            </a:rPr>
            <a:t>total dollar amount</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Bottom 5 Performing Stocks by Total Dollar Amount:</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bottom 5 performing stocks based on </a:t>
          </a:r>
          <a:r>
            <a:rPr lang="en-US" b="1">
              <a:latin typeface="Browallia New" panose="020B0502040204020203" pitchFamily="34" charset="-34"/>
              <a:cs typeface="Browallia New" panose="020B0502040204020203" pitchFamily="34" charset="-34"/>
            </a:rPr>
            <a:t>total dollar amount</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Bottom 5 Performing Sectors by Total Dollar Amount:</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List the bottom 5 performing sectors based on </a:t>
          </a:r>
          <a:r>
            <a:rPr lang="en-US" b="1">
              <a:latin typeface="Browallia New" panose="020B0502040204020203" pitchFamily="34" charset="-34"/>
              <a:cs typeface="Browallia New" panose="020B0502040204020203" pitchFamily="34" charset="-34"/>
            </a:rPr>
            <a:t>total dollar amount</a:t>
          </a:r>
          <a:r>
            <a:rPr lang="en-US">
              <a:latin typeface="Browallia New" panose="020B0502040204020203" pitchFamily="34" charset="-34"/>
              <a:cs typeface="Browallia New" panose="020B0502040204020203" pitchFamily="34" charset="-34"/>
            </a:rPr>
            <a:t>.</a:t>
          </a:r>
        </a:p>
        <a:p>
          <a:r>
            <a:rPr lang="en-US" b="1">
              <a:latin typeface="Browallia New" panose="020B0502040204020203" pitchFamily="34" charset="-34"/>
              <a:cs typeface="Browallia New" panose="020B0502040204020203" pitchFamily="34" charset="-34"/>
            </a:rPr>
            <a:t>Comparison with Benchmark:</a:t>
          </a:r>
          <a:endParaRPr lang="en-US">
            <a:latin typeface="Browallia New" panose="020B0502040204020203" pitchFamily="34" charset="-34"/>
            <a:cs typeface="Browallia New" panose="020B0502040204020203" pitchFamily="34" charset="-34"/>
          </a:endParaRPr>
        </a:p>
        <a:p>
          <a:pPr lvl="1"/>
          <a:r>
            <a:rPr lang="en-US">
              <a:latin typeface="Browallia New" panose="020B0502040204020203" pitchFamily="34" charset="-34"/>
              <a:cs typeface="Browallia New" panose="020B0502040204020203" pitchFamily="34" charset="-34"/>
            </a:rPr>
            <a:t>Compare the </a:t>
          </a:r>
          <a:r>
            <a:rPr lang="en-US" b="1">
              <a:latin typeface="Browallia New" panose="020B0502040204020203" pitchFamily="34" charset="-34"/>
              <a:cs typeface="Browallia New" panose="020B0502040204020203" pitchFamily="34" charset="-34"/>
            </a:rPr>
            <a:t>7-year return of your mutual fund</a:t>
          </a:r>
          <a:r>
            <a:rPr lang="en-US">
              <a:latin typeface="Browallia New" panose="020B0502040204020203" pitchFamily="34" charset="-34"/>
              <a:cs typeface="Browallia New" panose="020B0502040204020203" pitchFamily="34" charset="-34"/>
            </a:rPr>
            <a:t> to the </a:t>
          </a:r>
          <a:r>
            <a:rPr lang="en-US" b="1">
              <a:latin typeface="Browallia New" panose="020B0502040204020203" pitchFamily="34" charset="-34"/>
              <a:cs typeface="Browallia New" panose="020B0502040204020203" pitchFamily="34" charset="-34"/>
            </a:rPr>
            <a:t>7-year return of the Russell 3000 Total Return Index</a:t>
          </a:r>
          <a:r>
            <a:rPr lang="en-US">
              <a:latin typeface="Browallia New" panose="020B0502040204020203" pitchFamily="34" charset="-34"/>
              <a:cs typeface="Browallia New" panose="020B0502040204020203" pitchFamily="34" charset="-34"/>
            </a:rPr>
            <a:t> (RUA) for the period from 2018 to 2025.</a:t>
          </a:r>
        </a:p>
      </xdr:txBody>
    </xdr:sp>
    <xdr:clientData/>
  </xdr:twoCellAnchor>
  <xdr:twoCellAnchor editAs="oneCell">
    <xdr:from>
      <xdr:col>1</xdr:col>
      <xdr:colOff>497840</xdr:colOff>
      <xdr:row>44</xdr:row>
      <xdr:rowOff>19342</xdr:rowOff>
    </xdr:from>
    <xdr:to>
      <xdr:col>8</xdr:col>
      <xdr:colOff>347614</xdr:colOff>
      <xdr:row>49</xdr:row>
      <xdr:rowOff>152056</xdr:rowOff>
    </xdr:to>
    <xdr:pic>
      <xdr:nvPicPr>
        <xdr:cNvPr id="7" name="Picture 6">
          <a:extLst>
            <a:ext uri="{FF2B5EF4-FFF2-40B4-BE49-F238E27FC236}">
              <a16:creationId xmlns:a16="http://schemas.microsoft.com/office/drawing/2014/main" id="{CE373485-0794-4B38-ADB3-39B5182D2356}"/>
            </a:ext>
          </a:extLst>
        </xdr:cNvPr>
        <xdr:cNvPicPr>
          <a:picLocks noChangeAspect="1"/>
        </xdr:cNvPicPr>
      </xdr:nvPicPr>
      <xdr:blipFill>
        <a:blip xmlns:r="http://schemas.openxmlformats.org/officeDocument/2006/relationships" r:embed="rId1"/>
        <a:stretch>
          <a:fillRect/>
        </a:stretch>
      </xdr:blipFill>
      <xdr:spPr>
        <a:xfrm>
          <a:off x="640080" y="8127022"/>
          <a:ext cx="4208414" cy="9963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12.892678587959" createdVersion="8" refreshedVersion="8" minRefreshableVersion="3" recordCount="299" xr:uid="{573DD284-4A3B-45D4-B9E6-DF548DEB162C}">
  <cacheSource type="worksheet">
    <worksheetSource ref="A8:M307" sheet="Portfolio"/>
  </cacheSource>
  <cacheFields count="13">
    <cacheField name="Sector" numFmtId="0">
      <sharedItems count="103">
        <s v="Media - Diversified"/>
        <s v="Building Materials"/>
        <s v="Medical Devices"/>
        <s v="Drug Manufacturers - Major"/>
        <s v="Business Services"/>
        <s v="REIT - Retail"/>
        <s v="Business Equipment"/>
        <s v="Medical Care"/>
        <s v="Auto Parts"/>
        <s v="Software - Application"/>
        <s v="Semiconductors"/>
        <s v="Engineering &amp; Construction"/>
        <s v="Aerospace &amp; Defense"/>
        <s v="Utilities - Diversified"/>
        <s v="Asset Management"/>
        <s v="Insurance - Life"/>
        <s v="Farm &amp; Construction Equipment"/>
        <s v="Biotechnology"/>
        <s v="Rental &amp; Leasing Services"/>
        <s v="Aluminum"/>
        <s v="Real Estate - General"/>
        <s v="Metal Fabrication"/>
        <s v="Airlines"/>
        <s v="Insurance - Property &amp; Casualty"/>
        <s v="Specialty Retail"/>
        <s v="Semiconductor Equipment &amp; Materials"/>
        <s v="Software - Infrastructure"/>
        <s v="Utilities - Regulated Electric"/>
        <s v="Credit Services"/>
        <s v="REIT - Residential"/>
        <s v="Utilities - Regulated Water"/>
        <s v="Telecom Services"/>
        <s v="Agricultural Inputs"/>
        <s v="Home Furnishings &amp; Fixtures"/>
        <s v="Banks - Regional - US"/>
        <s v="Diversified Industrials"/>
        <s v="Drug Manufacturers - Specialty &amp; Generic"/>
        <s v="Electronic Components"/>
        <s v="Food Distribution"/>
        <s v="Oil &amp; Gas E&amp;P"/>
        <s v="Insurance Brokers"/>
        <s v="Packaging &amp; Containers"/>
        <s v="Restaurants"/>
        <s v="Trucking"/>
        <s v="Farm Products"/>
        <s v="Shipping &amp; Ports"/>
        <s v="REIT - Diversified"/>
        <s v="Chemicals"/>
        <s v="Utilities - Regulated Gas"/>
        <s v="Auto &amp; Truck Dealerships"/>
        <s v="Electronics Distribution"/>
        <s v="Banks - Global"/>
        <s v="Diagnostics &amp; Research"/>
        <s v="Lumber &amp; Wood Production"/>
        <s v="Resorts &amp; Casinos"/>
        <s v="REIT - Office"/>
        <s v="Beverages - Wineries &amp; Distilleries"/>
        <s v="Leisure"/>
        <s v="Waste Management"/>
        <s v="Apparel Stores"/>
        <s v="Specialty Chemicals"/>
        <s v="Communication Equipment"/>
        <s v="Packaged Foods"/>
        <s v="Rubber &amp; Plastics"/>
        <s v="Apparel Manufacturing"/>
        <s v="Information Technology Services"/>
        <s v="Health Care Plans"/>
        <s v="REIT - Hotel &amp; Motel"/>
        <s v="Education &amp; Training Services"/>
        <s v="Oil &amp; Gas Integrated"/>
        <s v="Household &amp; Personal Products"/>
        <s v="Gambling"/>
        <s v="Marketing Services"/>
        <s v="Paper &amp; Paper Products"/>
        <s v="Industrial Metals &amp; Minerals"/>
        <s v="Scientific &amp; Technical Instruments"/>
        <s v="Pay TV"/>
        <s v="Steel"/>
        <s v="REIT - Healthcare Facilities"/>
        <s v="Medical Instruments &amp; Supplies"/>
        <s v="Integrated Shipping &amp; Logistics"/>
        <s v="Discount Stores"/>
        <s v="Footwear &amp; Accessories"/>
        <s v="Railroads"/>
        <s v="REIT - Industrial"/>
        <s v="Publishing"/>
        <s v="Department Stores"/>
        <s v="Utilities - Independent Power Producers"/>
        <s v="Long-Term Care Facilities"/>
        <s v="Insurance - Diversified"/>
        <s v="Broadcasting - TV"/>
        <s v="Specialty Finance"/>
        <s v="Capital Markets"/>
        <s v="Consumer Electronics"/>
        <s v="Industrial Distribution"/>
        <s v="Pollution &amp; Treatment Controls"/>
        <s v="Insurance - Specialty"/>
        <s v="Savings &amp; Cooperative Banks"/>
        <s v="Auto Manufacturers"/>
        <s v="Oil &amp; Gas Midstream"/>
        <s v="Copper"/>
        <s v="Internet Content &amp; Information"/>
        <s v="Staffing &amp; Outsourcing Services"/>
      </sharedItems>
    </cacheField>
    <cacheField name="Company Name " numFmtId="0">
      <sharedItems/>
    </cacheField>
    <cacheField name="Stock Symbol" numFmtId="0">
      <sharedItems count="299">
        <s v="FOX"/>
        <s v="AAON"/>
        <s v="ABT"/>
        <s v="ABBV"/>
        <s v="ABM"/>
        <s v="AKR"/>
        <s v="ACCO"/>
        <s v="ADUS"/>
        <s v="ADNT"/>
        <s v="ADBE"/>
        <s v="AMD"/>
        <s v="ACM"/>
        <s v="AVAV"/>
        <s v="AES"/>
        <s v="AMG"/>
        <s v="AFL"/>
        <s v="AGCO"/>
        <s v="AGEN"/>
        <s v="AGYS"/>
        <s v="ADC"/>
        <s v="AL"/>
        <s v="AA"/>
        <s v="ALEX"/>
        <s v="ALKS"/>
        <s v="ATI"/>
        <s v="ALGT"/>
        <s v="ALL"/>
        <s v="AOSL"/>
        <s v="AMZN"/>
        <s v="AMBA"/>
        <s v="DOX"/>
        <s v="AMED"/>
        <s v="AEE"/>
        <s v="AEL"/>
        <s v="AXP"/>
        <s v="AMH"/>
        <s v="AWR"/>
        <s v="AMT"/>
        <s v="AVD"/>
        <s v="AMWD"/>
        <s v="ABCB"/>
        <s v="AME"/>
        <s v="AMPH"/>
        <s v="APH"/>
        <s v="ANDE"/>
        <s v="ANSS"/>
        <s v="AR"/>
        <s v="AON"/>
        <s v="APA"/>
        <s v="AIV"/>
        <s v="ATR"/>
        <s v="ARMK"/>
        <s v="ARCB"/>
        <s v="ADM"/>
        <s v="ASC"/>
        <s v="ACRE"/>
        <s v="AROW"/>
        <s v="ARTNA"/>
        <s v="ASH"/>
        <s v="ASB"/>
        <s v="ATKR"/>
        <s v="ATO"/>
        <s v="ADSK"/>
        <s v="AN"/>
        <s v="AZO"/>
        <s v="AGR"/>
        <s v="AVY"/>
        <s v="CAR"/>
        <s v="AVA"/>
        <s v="AVT"/>
        <s v="AXS"/>
        <s v="BCPC"/>
        <s v="BANF"/>
        <s v="BAC"/>
        <s v="BOH"/>
        <s v="BMRC"/>
        <s v="BK"/>
        <s v="BKU"/>
        <s v="BANR"/>
        <s v="BHB"/>
        <s v="BDC"/>
        <s v="BIIB"/>
        <s v="BIO"/>
        <s v="BKH"/>
        <s v="BLKB"/>
        <s v="BLK"/>
        <s v="BPMC"/>
        <s v="BA"/>
        <s v="BCC"/>
        <s v="BOKF"/>
        <s v="BAH"/>
        <s v="BWA"/>
        <s v="BSX"/>
        <s v="BOX"/>
        <s v="BYD"/>
        <s v="BDN"/>
        <s v="BMY"/>
        <s v="AVGO"/>
        <s v="BF.A"/>
        <s v="BRKR"/>
        <s v="BC"/>
        <s v="BTU"/>
        <s v="BKE"/>
        <s v="BG"/>
        <s v="CBT"/>
        <s v="CADE"/>
        <s v="CRC"/>
        <s v="CWT"/>
        <s v="CALX"/>
        <s v="CAC"/>
        <s v="CPT"/>
        <s v="CPB"/>
        <s v="COF"/>
        <s v="CSL"/>
        <s v="CCL"/>
        <s v="CRS"/>
        <s v="CRI"/>
        <s v="CAT"/>
        <s v="CATY"/>
        <s v="CDW"/>
        <s v="CE"/>
        <s v="CNC"/>
        <s v="CENTA"/>
        <s v="CENX"/>
        <s v="CERS"/>
        <s v="CRL"/>
        <s v="CLDT"/>
        <s v="CAKE"/>
        <s v="CHGG"/>
        <s v="CHE"/>
        <s v="CPK"/>
        <s v="CVX"/>
        <s v="CIM"/>
        <s v="CB"/>
        <s v="CHD"/>
        <s v="CHDN"/>
        <s v="CIEN"/>
        <s v="CI"/>
        <s v="CMPR"/>
        <s v="CINF"/>
        <s v="CTAS"/>
        <s v="C"/>
        <s v="CZNC"/>
        <s v="CHCO"/>
        <s v="CLFD"/>
        <s v="CLW"/>
        <s v="CLF"/>
        <s v="CLX"/>
        <s v="CNA"/>
        <s v="CCNE"/>
        <s v="CDXS"/>
        <s v="CGNX"/>
        <s v="CTSH"/>
        <s v="COHR"/>
        <s v="CL"/>
        <s v="COLM"/>
        <s v="CMCO"/>
        <s v="CMCSA"/>
        <s v="CMA"/>
        <s v="CMC"/>
        <s v="CHCT"/>
        <s v="CNDT"/>
        <s v="CNMD"/>
        <s v="COP"/>
        <s v="CNX"/>
        <s v="CNSL"/>
        <s v="COO"/>
        <s v="CPRT"/>
        <s v="CORT"/>
        <s v="GLW"/>
        <s v="CRVL"/>
        <s v="CMRE"/>
        <s v="COST"/>
        <s v="CUZ"/>
        <s v="CACC"/>
        <s v="CROX"/>
        <s v="CSX"/>
        <s v="CUBE"/>
        <s v="CMI"/>
        <s v="CW"/>
        <s v="CVS"/>
        <s v="CYTK"/>
        <s v="DJCO"/>
        <s v="DAN"/>
        <s v="DHR"/>
        <s v="DVA"/>
        <s v="DECK"/>
        <s v="DE"/>
        <s v="DLX"/>
        <s v="DENN"/>
        <s v="DVN"/>
        <s v="DXCM"/>
        <s v="DRH"/>
        <s v="DDS"/>
        <s v="DIOD"/>
        <s v="DFS"/>
        <s v="DISH"/>
        <s v="DIS"/>
        <s v="DG"/>
        <s v="DOV"/>
        <s v="DOW"/>
        <s v="DTE"/>
        <s v="DD"/>
        <s v="DCO"/>
        <s v="DUK"/>
        <s v="DXC"/>
        <s v="DVAX"/>
        <s v="DYN"/>
        <s v="ESTE"/>
        <s v="EMN"/>
        <s v="ETN"/>
        <s v="EBAY"/>
        <s v="ECL"/>
        <s v="EPC"/>
        <s v="EIX"/>
        <s v="EW"/>
        <s v="EE"/>
        <s v="ENS"/>
        <s v="ENSG"/>
        <s v="ESGR"/>
        <s v="ENTG"/>
        <s v="ETR"/>
        <s v="EFSC"/>
        <s v="EVC"/>
        <s v="EPR"/>
        <s v="EQT"/>
        <s v="EFX"/>
        <s v="EQIX"/>
        <s v="EQC"/>
        <s v="EQR"/>
        <s v="ERIE"/>
        <s v="ESNT"/>
        <s v="EL"/>
        <s v="ETSY"/>
        <s v="EVR"/>
        <s v="ES"/>
        <s v="EVTC"/>
        <s v="EXAS"/>
        <s v="EXC"/>
        <s v="EXPO"/>
        <s v="EZPW"/>
        <s v="FFIV"/>
        <s v="FN"/>
        <s v="FICO"/>
        <s v="FAST"/>
        <s v="FBK"/>
        <s v="FBMS"/>
        <s v="AGM"/>
        <s v="FSS"/>
        <s v="FDX"/>
        <s v="FITB"/>
        <s v="FAF"/>
        <s v="FNLC"/>
        <s v="BUSE"/>
        <s v="FCF"/>
        <s v="FHN"/>
        <s v="FRME"/>
        <s v="FE"/>
        <s v="FLS"/>
        <s v="FLR"/>
        <s v="FFIC"/>
        <s v="F"/>
        <s v="FORM"/>
        <s v="FTV"/>
        <s v="FWRD"/>
        <s v="FELE"/>
        <s v="FI"/>
        <s v="FCX"/>
        <s v="FRO"/>
        <s v="AJG"/>
        <s v="GME"/>
        <s v="GCI"/>
        <s v="GATX"/>
        <s v="GD"/>
        <s v="GE"/>
        <s v="GM"/>
        <s v="GCO"/>
        <s v="G"/>
        <s v="GEO"/>
        <s v="GERN"/>
        <s v="GKOS"/>
        <s v="GDDY"/>
        <s v="GLNG"/>
        <s v="GGG"/>
        <s v="GHC"/>
        <s v="GLDD"/>
        <s v="GDOT"/>
        <s v="GBX"/>
        <s v="GEF"/>
        <s v="GFF"/>
        <s v="GES"/>
        <s v="FUL"/>
        <s v="FWONK"/>
        <s v="ASGN"/>
        <s v="BPOP"/>
        <s v="DGX"/>
        <s v="CRM"/>
        <s v="BSRR"/>
        <s v="CC"/>
      </sharedItems>
    </cacheField>
    <cacheField name="Weights %" numFmtId="165">
      <sharedItems containsSemiMixedTypes="0" containsString="0" containsNumber="1" minValue="1.7065160000000002E-3" maxValue="5.3000000000000009E-3"/>
    </cacheField>
    <cacheField name="Invested Dollars 2018" numFmtId="166">
      <sharedItems containsSemiMixedTypes="0" containsString="0" containsNumber="1" minValue="16672246.376985665" maxValue="51779711.293667354"/>
    </cacheField>
    <cacheField name="Invested Dollars 2025" numFmtId="167">
      <sharedItems containsSemiMixedTypes="0" containsString="0" containsNumber="1" minValue="0" maxValue="3735975569.7883244"/>
    </cacheField>
    <cacheField name="7 Year Total Return" numFmtId="167">
      <sharedItems containsSemiMixedTypes="0" containsString="0" containsNumber="1" minValue="-42254542.493696317" maxValue="3707401805.6192737"/>
    </cacheField>
    <cacheField name="Purchased Price Per Share Jan 2018" numFmtId="167">
      <sharedItems containsSemiMixedTypes="0" containsString="0" containsNumber="1" minValue="1.07" maxValue="2552.9699999999998"/>
    </cacheField>
    <cacheField name="Sold Price Per Share FEB 2025" numFmtId="167">
      <sharedItems containsSemiMixedTypes="0" containsString="0" containsNumber="1" minValue="0" maxValue="3389"/>
    </cacheField>
    <cacheField name="Current P/E" numFmtId="0">
      <sharedItems containsSemiMixedTypes="0" containsString="0" containsNumber="1" minValue="0" maxValue="298.2389"/>
    </cacheField>
    <cacheField name="Total 7 Year % Return" numFmtId="9">
      <sharedItems containsSemiMixedTypes="0" containsString="0" containsNumber="1" minValue="-1" maxValue="129.74845679012344" count="299">
        <n v="1.8540772532188843"/>
        <n v="5.3771983020012133"/>
        <n v="35.379403794037941"/>
        <n v="0.34547638110488393"/>
        <n v="2.189352692075015"/>
        <n v="-0.20642361111111113"/>
        <n v="-0.69634551495016606"/>
        <n v="3.7426567295046036"/>
        <n v="-0.46085011185682323"/>
        <n v="14.756106194690267"/>
        <n v="-0.99898161244695893"/>
        <n v="0.26721479958890026"/>
        <n v="27.932710280373833"/>
        <n v="-0.66112000000000004"/>
        <n v="3.7828947368421053"/>
        <n v="5.1533373421527369"/>
        <n v="0.9787617711881389"/>
        <n v="-0.90181180596142607"/>
        <n v="2.8456243854473939"/>
        <n v="7.9557195571955717"/>
        <n v="2.9589632829373751E-2"/>
        <n v="-0.71379453189726594"/>
        <n v="-0.79432043940633401"/>
        <n v="-0.35084808259587019"/>
        <n v="0.28675819309123124"/>
        <n v="-0.16112687474665591"/>
        <n v="-0.70268074735986996"/>
        <n v="-0.77858580611648598"/>
        <n v="2.2959539324140024"/>
        <n v="0.27484246243334959"/>
        <n v="2.0835664335664332"/>
        <n v="-0.10219050450986225"/>
        <n v="5.6151097498723544E-3"/>
        <n v="17.384543365392801"/>
        <n v="3.5405982905982909"/>
        <n v="-0.63329187396351572"/>
        <n v="-9.6293647956143466E-2"/>
        <n v="0.62089780649549398"/>
        <n v="-0.94119623655913975"/>
        <n v="4.9421626152556586"/>
        <n v="0.52959652089876785"/>
        <n v="5.5121866295264628"/>
        <n v="-0.24583433953151407"/>
        <n v="-0.41573516766981938"/>
        <n v="-0.51605723370429257"/>
        <n v="3.7841134751773047"/>
        <n v="-8.7008917811520828E-2"/>
        <n v="3.8253369605539755"/>
        <n v="-0.77544204322200394"/>
        <n v="1.0011210762331841"/>
        <n v="3.8811657610613219E-2"/>
        <n v="6.8453159041394329"/>
        <n v="0.75101296596434375"/>
        <n v="-0.78287392679620416"/>
        <n v="-0.82694309507286601"/>
        <n v="-0.89808397880146762"/>
        <n v="-0.70598728955290435"/>
        <n v="-0.67476560137110608"/>
        <n v="-0.65257627480264557"/>
        <n v="-0.83846662260409788"/>
        <n v="-0.30861218923738593"/>
        <n v="-1"/>
        <n v="20.644042232277528"/>
        <n v="3.534736055776893"/>
        <n v="129.74845679012344"/>
        <n v="-0.98283567766170377"/>
        <n v="5.9335324869305452"/>
        <n v="-0.51874432481515109"/>
        <n v="-0.86198190998583313"/>
        <n v="0.67135999999999985"/>
        <n v="-0.73545238393192336"/>
        <n v="1.2106828938471939"/>
        <n v="-0.23593229200705834"/>
        <n v="-0.73217040465171468"/>
        <n v="-0.83448364832613042"/>
        <n v="-0.64143311181739382"/>
        <n v="26.605678233438489"/>
        <n v="0.30629705681040392"/>
        <n v="2.5713533438651925"/>
        <n v="-0.47521395123526561"/>
        <n v="0.24413823758195355"/>
        <n v="3.1739515652687542"/>
        <n v="3.2720533728687915"/>
        <n v="-0.90387030299127402"/>
        <n v="6.0686015831134504E-2"/>
        <n v="4.5377305125014145"/>
        <n v="-3.1932773109243764E-2"/>
        <n v="1.7030965391621133"/>
        <n v="-9.7714769360981807E-2"/>
        <n v="2.250299401197605"/>
        <n v="1.2581679695329724"/>
        <n v="-0.85630406417629146"/>
        <n v="-0.59912946342590812"/>
        <n v="-0.50185597624350409"/>
        <n v="0.2748547717842324"/>
        <n v="-0.96680272108843546"/>
        <n v="-0.76658733141258506"/>
        <n v="10.330749354005167"/>
        <n v="-0.41675695196821966"/>
        <n v="2.3234519104084326"/>
        <n v="7.7651622002820888"/>
        <n v="-0.26260080645161288"/>
        <n v="-0.66334709740102016"/>
        <n v="-0.78768417075935016"/>
        <n v="0.26639283047050027"/>
        <n v="8.4485714285714284"/>
        <n v="2.1325181758096496"/>
        <n v="3.6827021494370529"/>
        <n v="0.5488826815642458"/>
        <n v="0.24206916261789077"/>
        <n v="-0.7817055194627941"/>
        <n v="-0.45223961144090663"/>
        <n v="-0.88410615339749199"/>
        <n v="3.4716529145594892"/>
        <n v="-0.15299175922608382"/>
        <n v="6.0652797704447634"/>
        <n v="1.2230703986429179"/>
        <n v="2.766443395190513"/>
        <n v="0.28603227601558157"/>
        <n v="1.3568993813912387"/>
        <n v="-0.28526984985797377"/>
        <n v="-0.24548783677739991"/>
        <n v="-0.69722455845248121"/>
        <n v="-0.69355648535564851"/>
        <n v="-0.98535729943007455"/>
        <n v="1.6315789473684212"/>
        <n v="-0.92970856894301868"/>
        <n v="4.507042253521127"/>
        <n v="-0.97114624505928848"/>
        <n v="4.6966433127679599"/>
        <n v="2.3661744966442955"/>
        <n v="3.8616099071207435"/>
        <n v="-0.65267344233318603"/>
        <n v="31.195443645083934"/>
        <n v="1.9009655172413793"/>
        <n v="4.6916707257671693"/>
        <n v="0.93944636678200688"/>
        <n v="1.818276220145379"/>
        <n v="0.4312714776632301"/>
        <n v="2.6166755460841773"/>
        <n v="-0.21930560854635639"/>
        <n v="-0.44932710793737979"/>
        <n v="-0.81604438182458616"/>
        <n v="-0.69471964313501744"/>
        <n v="1.0097822656989483E-2"/>
        <n v="0.25579282144479776"/>
        <n v="-0.84775878314712616"/>
        <n v="5.2354349561053466"/>
        <n v="0.35844155844155851"/>
        <n v="-0.23348416289592758"/>
        <n v="-0.89976133651551304"/>
        <n v="1.6161213088587392"/>
        <n v="0.40381140134713334"/>
        <n v="0.60127314814814814"/>
        <n v="0.71887047031611395"/>
        <n v="4.959630911188001E-2"/>
        <n v="0.33970276008492561"/>
        <n v="-0.67625388371060813"/>
        <n v="4.3707037643207851"/>
        <n v="-0.76995928077961295"/>
        <n v="-0.52930591259640103"/>
        <n v="-0.86818980667838308"/>
        <n v="0.42013485235991632"/>
        <n v="2.2065750736015706"/>
        <n v="-0.98189712471074786"/>
        <n v="-0.7626004382761139"/>
        <n v="0.1104979305154898"/>
        <n v="-0.19074074074074074"/>
        <n v="0.53960992053936907"/>
        <n v="2.3847682119205298"/>
        <n v="3.7823247714410102"/>
        <n v="-0.89090684457622926"/>
        <n v="4.9077541642734062"/>
        <n v="-0.53966327923555291"/>
        <n v="3.1196112633939697"/>
        <n v="0.6674400618716162"/>
        <n v="2.2244289970208539"/>
        <n v="0.27647951441578145"/>
        <n v="60.90572390572391"/>
        <n v="37.427196149217806"/>
        <n v="8.4230769230769234"/>
        <n v="0.87855007473841551"/>
        <n v="25.481648422408245"/>
        <n v="0.60020140986908366"/>
        <n v="11.295948326482677"/>
        <n v="-7.9098598824820815E-2"/>
        <n v="0.31521933751119063"/>
        <n v="5.8536312849162018"/>
        <n v="-0.88921207420334814"/>
        <n v="-0.86739130434782608"/>
        <n v="2.2741514360313313"/>
        <n v="-0.4450830938398101"/>
        <n v="-0.83777909504050585"/>
        <n v="34.751682872101725"/>
        <n v="1.0895245170876671"/>
        <n v="19.796592119275822"/>
        <n v="-0.99758298420883018"/>
        <n v="-0.45518950583287437"/>
        <n v="3.494117647058824"/>
        <n v="4.6647903180410921"/>
        <n v="0.98390342052313884"/>
        <n v="7.7921646746347939"/>
        <n v="5.7432098765432098"/>
        <n v="4.041563786008231"/>
        <n v="2.5824964131994261"/>
        <n v="0.48418674698795194"/>
        <n v="-0.98108936706684613"/>
        <n v="-0.73373791010809786"/>
        <n v="-0.2144024276377218"/>
        <n v="2.8151923076923073"/>
        <n v="21.71406844106464"/>
        <n v="4.7067977067977074"/>
        <n v="20.65032679738562"/>
        <n v="3.0387902695595002"/>
        <n v="0.92045454545454541"/>
        <n v="-0.32685269899359559"/>
        <n v="-0.59583273868988151"/>
        <n v="0.72234346147389616"/>
        <n v="0.13481934208161064"/>
        <n v="3.0072332730560576"/>
        <n v="4.2795156407669017"/>
        <n v="3.4622245540398739"/>
        <n v="0.55058517555266562"/>
        <n v="-0.93377885783718106"/>
        <n v="-0.82156227501799861"/>
        <n v="19.355691056910569"/>
        <n v="3.8631256384065376"/>
        <n v="11.267370390165686"/>
        <n v="-0.92960871319080274"/>
        <n v="-0.81603967519786214"/>
        <n v="9.5642719515551899"/>
        <n v="2.6023091725465037"/>
        <n v="-0.37731019522776571"/>
        <n v="0.29591059182118379"/>
        <n v="2.2636125654450261"/>
        <n v="4.7391017173051476E-2"/>
        <n v="-0.59869454853136705"/>
        <n v="-0.54206741992716412"/>
        <n v="-0.33307668617185088"/>
        <n v="0.58611681283821604"/>
        <n v="-0.6420079260237781"/>
        <n v="6.7358244055395877"/>
        <n v="1.6420042144696791"/>
        <n v="56.024422883907661"/>
        <n v="0.29021159470153102"/>
        <n v="3.0470397404703973"/>
        <n v="-0.63156828996658898"/>
        <n v="31.542901716068641"/>
        <n v="1.5309639203015617"/>
        <n v="7.5693185632762674"/>
        <n v="-0.76387747273823225"/>
        <n v="1.7225333907798361"/>
        <n v="-0.85779994458298703"/>
        <n v="1.7583046964490261"/>
        <n v="-0.63459386887446856"/>
        <n v="-0.49115151515151517"/>
        <n v="-0.57307317073170738"/>
        <n v="1.4528083381586567"/>
        <n v="0.57708628005657703"/>
        <n v="1.4729993493819129"/>
        <n v="-0.69263698630136983"/>
        <n v="-0.81895010563952542"/>
        <n v="-0.75169315825846572"/>
        <n v="0.17684534270650268"/>
        <n v="1.8683673469387752"/>
        <n v="2.4973351099267154"/>
        <n v="0.63846591717660472"/>
        <n v="1.9206598586017281"/>
        <n v="-0.94997397667085093"/>
        <n v="91.613636363636374"/>
        <n v="-0.95805111821086264"/>
        <n v="-0.91204274558158649"/>
        <n v="2.1166475754104619"/>
        <n v="2.0835225839010847"/>
        <n v="0.17913534929790834"/>
        <n v="-6.653992395437254E-2"/>
        <n v="1.6995708154506439"/>
        <n v="-0.50662589194699281"/>
        <n v="-0.91525311860603253"/>
        <n v="-0.96699329551315105"/>
        <n v="-0.36814194379739312"/>
        <n v="-0.54019181856718945"/>
        <n v="-0.15494481713914746"/>
        <n v="6.8159564823209422"/>
        <n v="9.5871255431054205"/>
        <n v="-0.93033155955792057"/>
        <n v="-0.9008217301985848"/>
        <n v="-7.0773930753564182E-2"/>
        <n v="-0.17574764440802954"/>
        <n v="20.543026706231451"/>
        <n v="-0.97680243535894562"/>
        <n v="-0.36502528028138054"/>
        <n v="0.26386333771353498"/>
        <n v="1.5432330827067671"/>
        <n v="2.3533685601056802"/>
        <n v="4.3535825545171338"/>
        <n v="37.285539215686271"/>
        <n v="27.196261682242991"/>
        <n v="-0.48585485854858557"/>
      </sharedItems>
    </cacheField>
    <cacheField name="# of shares of Stock" numFmtId="0">
      <sharedItems containsNonDate="0" containsString="0" containsBlank="1"/>
    </cacheField>
    <cacheField name="Return %" numFmtId="0" formula="('Invested Dollars 2025'-'Invested Dollars 2018')/'Invested Dollars 2018'"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s v="21ST CENTURY FOX CL B FOX"/>
    <x v="0"/>
    <n v="4.0501159999999353E-3"/>
    <n v="39568648.525633857"/>
    <n v="112931979.69762453"/>
    <n v="73363331.171990678"/>
    <n v="18.64"/>
    <n v="53.2"/>
    <n v="0"/>
    <x v="0"/>
    <m/>
  </r>
  <r>
    <x v="1"/>
    <s v="AAON INC"/>
    <x v="1"/>
    <n v="2.9075699999999999E-3"/>
    <n v="28406251.918137427"/>
    <n v="181152301.49856472"/>
    <n v="152746049.58042729"/>
    <n v="16.489999999999998"/>
    <n v="105.16"/>
    <n v="45.348300000000002"/>
    <x v="1"/>
    <m/>
  </r>
  <r>
    <x v="2"/>
    <s v="ABBOTT LABORATORIES"/>
    <x v="2"/>
    <n v="4.4399959999998741E-3"/>
    <n v="43377681.325477608"/>
    <n v="1578054184.5886488"/>
    <n v="1534676503.2631712"/>
    <n v="3.69"/>
    <n v="134.24"/>
    <n v="17.549299999999999"/>
    <x v="2"/>
    <m/>
  </r>
  <r>
    <x v="3"/>
    <s v="ABBVIE INC"/>
    <x v="3"/>
    <n v="4.2326359999999069E-3"/>
    <n v="41351824.545505315"/>
    <n v="55637903.241570607"/>
    <n v="14286078.696065292"/>
    <n v="149.88"/>
    <n v="201.66"/>
    <n v="84.844899999999996"/>
    <x v="3"/>
    <m/>
  </r>
  <r>
    <x v="4"/>
    <s v="ABM INDUSTRIES INC"/>
    <x v="4"/>
    <n v="4.1559559999999182E-3"/>
    <n v="40602679.59041138"/>
    <n v="129496265.45713781"/>
    <n v="88893585.866726428"/>
    <n v="16.53"/>
    <n v="52.72"/>
    <n v="41.237499999999997"/>
    <x v="4"/>
    <m/>
  </r>
  <r>
    <x v="5"/>
    <s v="ACADIA REALTY TRUST"/>
    <x v="5"/>
    <n v="4.3697959999998851E-3"/>
    <n v="42691844.394757815"/>
    <n v="33879239.709798262"/>
    <n v="-8812604.6849595532"/>
    <n v="28.8"/>
    <n v="22.855"/>
    <n v="124.93219999999999"/>
    <x v="5"/>
    <m/>
  </r>
  <r>
    <x v="6"/>
    <s v="ACCO BRANDS CORP"/>
    <x v="6"/>
    <n v="2.3728760000000012E-3"/>
    <n v="23182421.550126839"/>
    <n v="7039446.2780119386"/>
    <n v="-16142975.272114901"/>
    <n v="15.05"/>
    <n v="4.57"/>
    <n v="0"/>
    <x v="6"/>
    <m/>
  </r>
  <r>
    <x v="7"/>
    <s v="ADDUS HOMECARE CORP"/>
    <x v="7"/>
    <n v="2.275675999999999E-3"/>
    <n v="22232801.184514657"/>
    <n v="105442544.15347636"/>
    <n v="83209742.968961701"/>
    <n v="22.81"/>
    <n v="108.18"/>
    <n v="25.014900000000001"/>
    <x v="7"/>
    <m/>
  </r>
  <r>
    <x v="8"/>
    <s v="ADIENT PLC"/>
    <x v="8"/>
    <n v="2.6731160000000088E-3"/>
    <n v="26115693.346128929"/>
    <n v="14080273.146346917"/>
    <n v="-12035420.199782012"/>
    <n v="31.29"/>
    <n v="16.87"/>
    <n v="0"/>
    <x v="8"/>
    <m/>
  </r>
  <r>
    <x v="9"/>
    <s v="ADOBE SYSTEMS INC"/>
    <x v="9"/>
    <n v="3.0251960000000169E-3"/>
    <n v="29555429.33712418"/>
    <n v="465678483.26539272"/>
    <n v="436123053.92826855"/>
    <n v="28.25"/>
    <n v="445.11"/>
    <n v="35.841200000000001"/>
    <x v="9"/>
    <m/>
  </r>
  <r>
    <x v="10"/>
    <s v="ADVANCED MICRO DEVICES"/>
    <x v="10"/>
    <n v="1.7399959999999999E-3"/>
    <n v="16999337.836252075"/>
    <n v="17311.914062379175"/>
    <n v="-16982025.922189694"/>
    <n v="35.35"/>
    <n v="3.5999999999999997E-2"/>
    <n v="0"/>
    <x v="10"/>
    <m/>
  </r>
  <r>
    <x v="11"/>
    <s v="AECOM"/>
    <x v="11"/>
    <n v="3.1148360000000192E-3"/>
    <n v="30431190.34096653"/>
    <n v="38562854.769179583"/>
    <n v="8131664.4282130525"/>
    <n v="77.84"/>
    <n v="98.64"/>
    <n v="22.460899999999999"/>
    <x v="11"/>
    <m/>
  </r>
  <r>
    <x v="12"/>
    <s v="AEROVIRONMENT INC"/>
    <x v="12"/>
    <n v="2.4646760000000037E-3"/>
    <n v="24079285.228760574"/>
    <n v="696678983.28221488"/>
    <n v="672599698.05345428"/>
    <n v="5.35"/>
    <n v="154.79"/>
    <n v="89.6554"/>
    <x v="12"/>
    <m/>
  </r>
  <r>
    <x v="13"/>
    <s v="AES CORP"/>
    <x v="13"/>
    <n v="4.3892359999998824E-3"/>
    <n v="42881768.467880227"/>
    <n v="14531773.69839525"/>
    <n v="-28349994.769484974"/>
    <n v="31.25"/>
    <n v="10.59"/>
    <n v="7.1605999999999996"/>
    <x v="13"/>
    <m/>
  </r>
  <r>
    <x v="14"/>
    <s v="AFFILIATED MANAGERS GRP"/>
    <x v="14"/>
    <n v="3.9313159999999538E-3"/>
    <n v="38408001.412108064"/>
    <n v="183701427.8065958"/>
    <n v="145293426.39448774"/>
    <n v="60.8"/>
    <n v="290.8"/>
    <n v="38.42"/>
    <x v="14"/>
    <m/>
  </r>
  <r>
    <x v="15"/>
    <s v="AFLAC INC"/>
    <x v="15"/>
    <n v="3.4085960000000263E-3"/>
    <n v="33301154.11259447"/>
    <n v="204913235.13781074"/>
    <n v="171612081.02521628"/>
    <n v="16.63"/>
    <n v="102.33"/>
    <n v="10.7342"/>
    <x v="15"/>
    <m/>
  </r>
  <r>
    <x v="16"/>
    <s v="AGCO CORP"/>
    <x v="16"/>
    <n v="2.4268760000000027E-3"/>
    <n v="23709988.419911392"/>
    <n v="46916418.680634126"/>
    <n v="23206430.260722734"/>
    <n v="49.91"/>
    <n v="98.76"/>
    <n v="0"/>
    <x v="16"/>
    <m/>
  </r>
  <r>
    <x v="17"/>
    <s v="AGENUS INC"/>
    <x v="17"/>
    <n v="2.2357159999999978E-3"/>
    <n v="21842401.700874086"/>
    <n v="2144665.9764739019"/>
    <n v="-19697735.724400185"/>
    <n v="34.22"/>
    <n v="3.36"/>
    <n v="0"/>
    <x v="17"/>
    <m/>
  </r>
  <r>
    <x v="9"/>
    <s v="AGILYSYS INC"/>
    <x v="18"/>
    <n v="3.2843960000000232E-3"/>
    <n v="32087750.312090009"/>
    <n v="123397435.07432057"/>
    <n v="91309684.76223056"/>
    <n v="20.34"/>
    <n v="78.22"/>
    <n v="98.040199999999999"/>
    <x v="18"/>
    <m/>
  </r>
  <r>
    <x v="5"/>
    <s v="AGREE REALTY CORP "/>
    <x v="19"/>
    <n v="1.7259560000000001E-3"/>
    <n v="16862170.450108096"/>
    <n v="151012869.67679834"/>
    <n v="134150699.22669025"/>
    <n v="8.1300000000000008"/>
    <n v="72.81"/>
    <n v="40.636200000000002"/>
    <x v="19"/>
    <m/>
  </r>
  <r>
    <x v="18"/>
    <s v="AIR LEASE CORP"/>
    <x v="20"/>
    <n v="2.9938760000000164E-3"/>
    <n v="29249440.552649144"/>
    <n v="30114920.759066623"/>
    <n v="865480.20641747862"/>
    <n v="46.3"/>
    <n v="47.67"/>
    <n v="14.331799999999999"/>
    <x v="20"/>
    <m/>
  </r>
  <r>
    <x v="19"/>
    <s v="ALCOA CORPORATION"/>
    <x v="21"/>
    <n v="3.5803160000000083E-3"/>
    <n v="34978816.758509114"/>
    <n v="10011128.624048861"/>
    <n v="-24967688.134460256"/>
    <n v="120.7"/>
    <n v="34.545000000000002"/>
    <n v="0"/>
    <x v="21"/>
    <m/>
  </r>
  <r>
    <x v="20"/>
    <s v="ALEXANDER &amp; BALDWIN INC"/>
    <x v="22"/>
    <n v="3.7919959999999754E-3"/>
    <n v="37046878.888064176"/>
    <n v="7619785.7710638009"/>
    <n v="-29427093.117000375"/>
    <n v="85.57"/>
    <n v="17.600000000000001"/>
    <n v="21.625499999999999"/>
    <x v="22"/>
    <m/>
  </r>
  <r>
    <x v="17"/>
    <s v="ALKERMES PLC"/>
    <x v="23"/>
    <n v="2.3242760000000001E-3"/>
    <n v="22707611.36732075"/>
    <n v="14740689.458764078"/>
    <n v="-7966921.9085566718"/>
    <n v="54.24"/>
    <n v="35.21"/>
    <n v="15.9732"/>
    <x v="23"/>
    <m/>
  </r>
  <r>
    <x v="21"/>
    <s v="ALLEGHENY TECHNOLOGIES"/>
    <x v="24"/>
    <n v="3.3373160000000246E-3"/>
    <n v="32604765.844478868"/>
    <n v="41954449.584204324"/>
    <n v="9349683.7397254556"/>
    <n v="45.16"/>
    <n v="58.11"/>
    <n v="22.7683"/>
    <x v="24"/>
    <m/>
  </r>
  <r>
    <x v="22"/>
    <s v="ALLEGIANT TRAVEL CO"/>
    <x v="25"/>
    <n v="4.0144759999999413E-3"/>
    <n v="39220454.391576126"/>
    <n v="32900985.149317712"/>
    <n v="-6319469.2422584146"/>
    <n v="98.68"/>
    <n v="82.78"/>
    <n v="0"/>
    <x v="25"/>
    <m/>
  </r>
  <r>
    <x v="23"/>
    <s v="ALLSTATE CORP"/>
    <x v="26"/>
    <n v="3.5000000000000001E-3"/>
    <n v="34194148.967516169"/>
    <n v="10166578.815687181"/>
    <n v="-24027570.151828989"/>
    <n v="73.86"/>
    <n v="21.96"/>
    <n v="0"/>
    <x v="26"/>
    <m/>
  </r>
  <r>
    <x v="10"/>
    <s v="ALPHA &amp; OMEGA SEMICON"/>
    <x v="27"/>
    <n v="3.3632360000000251E-3"/>
    <n v="32857997.941975448"/>
    <n v="7275227.1269486565"/>
    <n v="-25582770.81502679"/>
    <n v="154.01"/>
    <n v="34.1"/>
    <n v="0"/>
    <x v="27"/>
    <m/>
  </r>
  <r>
    <x v="24"/>
    <s v="AMAZON COM INC"/>
    <x v="28"/>
    <n v="2.5283960000000052E-3"/>
    <n v="24701814.13510634"/>
    <n v="81416041.436363533"/>
    <n v="56714227.301257193"/>
    <n v="65.989999999999995"/>
    <n v="217.5"/>
    <n v="39.219200000000001"/>
    <x v="28"/>
    <m/>
  </r>
  <r>
    <x v="25"/>
    <s v="AMBARELLA INC"/>
    <x v="29"/>
    <n v="3.8762359999999622E-3"/>
    <n v="37869883.204927921"/>
    <n v="48278135.15703366"/>
    <n v="10408251.952105738"/>
    <n v="61.89"/>
    <n v="78.900000000000006"/>
    <n v="0"/>
    <x v="29"/>
    <m/>
  </r>
  <r>
    <x v="26"/>
    <s v="AMDOCS LTD DOX"/>
    <x v="30"/>
    <n v="3.1699160000000204E-3"/>
    <n v="30969308.548146769"/>
    <n v="95495920.309827387"/>
    <n v="64526611.761680618"/>
    <n v="28.6"/>
    <n v="88.19"/>
    <n v="20.7332"/>
    <x v="30"/>
    <m/>
  </r>
  <r>
    <x v="7"/>
    <s v="AMEDISYS INC"/>
    <x v="31"/>
    <n v="3.1472360000000198E-3"/>
    <n v="30747730.462837256"/>
    <n v="27605604.374306656"/>
    <n v="-3142126.0885306001"/>
    <n v="100.89"/>
    <n v="90.58"/>
    <n v="35.938800000000001"/>
    <x v="31"/>
    <m/>
  </r>
  <r>
    <x v="27"/>
    <s v="AMEREN CORP"/>
    <x v="32"/>
    <n v="2.036995999999998E-3"/>
    <n v="19900955.620067"/>
    <n v="20012701.670001019"/>
    <n v="111746.0499340184"/>
    <n v="97.95"/>
    <n v="98.5"/>
    <n v="22.150200000000002"/>
    <x v="32"/>
    <m/>
  </r>
  <r>
    <x v="15"/>
    <s v="AMERICAN EQUITY INVST"/>
    <x v="33"/>
    <n v="3.3610760000000253E-3"/>
    <n v="32836895.267184071"/>
    <n v="603691325.02440715"/>
    <n v="570854429.75722313"/>
    <n v="117.49"/>
    <n v="2160"/>
    <n v="14.37"/>
    <x v="33"/>
    <m/>
  </r>
  <r>
    <x v="28"/>
    <s v="AMERICAN EXPRESS CO"/>
    <x v="34"/>
    <n v="1.9063160000000003E-3"/>
    <n v="18624243.795188449"/>
    <n v="84565209.540118501"/>
    <n v="65940965.744930051"/>
    <n v="65.52"/>
    <n v="297.5"/>
    <n v="21.257999999999999"/>
    <x v="34"/>
    <m/>
  </r>
  <r>
    <x v="29"/>
    <s v="AMERICAN HOMES 4 RENT"/>
    <x v="35"/>
    <n v="2.3545160000000009E-3"/>
    <n v="23003048.814400095"/>
    <n v="8435404.9238544311"/>
    <n v="-14567643.890545664"/>
    <n v="96.48"/>
    <n v="35.380000000000003"/>
    <n v="32.277500000000003"/>
    <x v="35"/>
    <m/>
  </r>
  <r>
    <x v="30"/>
    <s v="AMERICAN STATES WATER CO"/>
    <x v="36"/>
    <n v="2.0650759999999969E-3"/>
    <n v="20175290.392354947"/>
    <n v="18232538.081900556"/>
    <n v="-1942752.3104543909"/>
    <n v="83.91"/>
    <n v="75.83"/>
    <n v="23.6797"/>
    <x v="36"/>
    <m/>
  </r>
  <r>
    <x v="31"/>
    <s v="AMERICAN TOWER CORP"/>
    <x v="37"/>
    <n v="3.1990760000000216E-3"/>
    <n v="31254194.657830428"/>
    <n v="50659855.564660527"/>
    <n v="19405660.906830098"/>
    <n v="117.62"/>
    <n v="190.65"/>
    <n v="38.842799999999997"/>
    <x v="37"/>
    <m/>
  </r>
  <r>
    <x v="32"/>
    <s v="AMERICAN VANGUARD CORP"/>
    <x v="38"/>
    <n v="4.2574759999999033E-3"/>
    <n v="41594505.305606164"/>
    <n v="2445913.4504304715"/>
    <n v="-39148591.855175689"/>
    <n v="89.28"/>
    <n v="5.25"/>
    <n v="0"/>
    <x v="38"/>
    <m/>
  </r>
  <r>
    <x v="33"/>
    <s v="AMERICAN WOODMARK CORP"/>
    <x v="39"/>
    <n v="3.6742759999999937E-3"/>
    <n v="35896783.111934066"/>
    <n v="213304522.6156753"/>
    <n v="177407739.50374123"/>
    <n v="11.93"/>
    <n v="70.89"/>
    <n v="10.5707"/>
    <x v="39"/>
    <m/>
  </r>
  <r>
    <x v="34"/>
    <s v="AMERIS BANCORP"/>
    <x v="40"/>
    <n v="4.3870759999998831E-3"/>
    <n v="42860665.793088846"/>
    <n v="65559525.280513525"/>
    <n v="22698859.487424679"/>
    <n v="41.39"/>
    <n v="63.31"/>
    <n v="12.247"/>
    <x v="40"/>
    <m/>
  </r>
  <r>
    <x v="35"/>
    <s v="AMETEK INC"/>
    <x v="41"/>
    <n v="1.9786759999999991E-3"/>
    <n v="19331183.400699712"/>
    <n v="125888274.07496056"/>
    <n v="106557090.67426085"/>
    <n v="28.72"/>
    <n v="187.03"/>
    <n v="31.4072"/>
    <x v="41"/>
    <m/>
  </r>
  <r>
    <x v="36"/>
    <s v="AMPHASTAR PHARMA INC"/>
    <x v="42"/>
    <n v="3.3027560000000239E-3"/>
    <n v="32267123.047816757"/>
    <n v="24334756.164774626"/>
    <n v="-7932366.8830421306"/>
    <n v="41.41"/>
    <n v="31.23"/>
    <n v="10.407999999999999"/>
    <x v="42"/>
    <m/>
  </r>
  <r>
    <x v="37"/>
    <s v="AMPHENOL CORP"/>
    <x v="43"/>
    <n v="3.1234760000000195E-3"/>
    <n v="30515601.040132061"/>
    <n v="17829192.525167447"/>
    <n v="-12686408.514964614"/>
    <n v="116.3"/>
    <n v="67.95"/>
    <n v="35.512799999999999"/>
    <x v="43"/>
    <m/>
  </r>
  <r>
    <x v="38"/>
    <s v="ANDERSONS INC"/>
    <x v="44"/>
    <n v="4.0997959999999273E-3"/>
    <n v="40054010.045835555"/>
    <n v="19383848.422817715"/>
    <n v="-20670161.62301784"/>
    <n v="94.35"/>
    <n v="45.66"/>
    <n v="13.710800000000001"/>
    <x v="44"/>
    <m/>
  </r>
  <r>
    <x v="9"/>
    <s v="ANSYS INC"/>
    <x v="45"/>
    <n v="4.0155559999999401E-3"/>
    <n v="39231005.728971802"/>
    <n v="187685583.15273204"/>
    <n v="148454577.42376024"/>
    <n v="70.5"/>
    <n v="337.28"/>
    <n v="51.074300000000001"/>
    <x v="45"/>
    <m/>
  </r>
  <r>
    <x v="39"/>
    <s v="ANTERO RESOURCES CO"/>
    <x v="46"/>
    <n v="4.249915999999904E-3"/>
    <n v="41520645.943836331"/>
    <n v="37907979.473427817"/>
    <n v="-3612666.4704085141"/>
    <n v="41.49"/>
    <n v="37.880000000000003"/>
    <n v="229.76689999999999"/>
    <x v="46"/>
    <m/>
  </r>
  <r>
    <x v="40"/>
    <s v="AON PLC"/>
    <x v="47"/>
    <n v="3.9323959999999535E-3"/>
    <n v="38418552.749503754"/>
    <n v="185382462.55317304"/>
    <n v="146963909.80366927"/>
    <n v="80.87"/>
    <n v="390.22500000000002"/>
    <n v="31.489100000000001"/>
    <x v="47"/>
    <m/>
  </r>
  <r>
    <x v="39"/>
    <s v="APACHE CORP"/>
    <x v="48"/>
    <n v="2.5359560000000054E-3"/>
    <n v="24775673.496876176"/>
    <n v="5563574.6182572627"/>
    <n v="-19212098.878618915"/>
    <n v="101.8"/>
    <n v="22.86"/>
    <n v="3.2433999999999998"/>
    <x v="48"/>
    <m/>
  </r>
  <r>
    <x v="29"/>
    <s v="APARTMENT INVT &amp; MGMT"/>
    <x v="49"/>
    <n v="3.3556760000000249E-3"/>
    <n v="32784138.580205612"/>
    <n v="65605030.67899891"/>
    <n v="32820892.098793298"/>
    <n v="4.46"/>
    <n v="8.9250000000000007"/>
    <n v="0"/>
    <x v="49"/>
    <m/>
  </r>
  <r>
    <x v="41"/>
    <s v="APTARGROUP INC"/>
    <x v="50"/>
    <n v="1.7907560000000001E-3"/>
    <n v="17495250.693849541"/>
    <n v="18174270.373591073"/>
    <n v="679019.67974153161"/>
    <n v="141.71"/>
    <n v="147.21"/>
    <n v="26.349"/>
    <x v="50"/>
    <m/>
  </r>
  <r>
    <x v="42"/>
    <s v="ARAMARK"/>
    <x v="51"/>
    <n v="3.8783959999999619E-3"/>
    <n v="37890985.879719295"/>
    <n v="297266754.14568448"/>
    <n v="259375768.26596519"/>
    <n v="4.59"/>
    <n v="36.01"/>
    <n v="29.050699999999999"/>
    <x v="51"/>
    <m/>
  </r>
  <r>
    <x v="43"/>
    <s v="ARCBEST CORPORATION"/>
    <x v="52"/>
    <n v="4.4497159999998728E-3"/>
    <n v="43472643.362038806"/>
    <n v="76121162.191673711"/>
    <n v="32648518.829634905"/>
    <n v="49.36"/>
    <n v="86.43"/>
    <n v="11.667199999999999"/>
    <x v="52"/>
    <m/>
  </r>
  <r>
    <x v="44"/>
    <s v="ARCHER DANIELS MIDLAND"/>
    <x v="53"/>
    <n v="3.2995160000000236E-3"/>
    <n v="32235469.035629682"/>
    <n v="6999160.8095888244"/>
    <n v="-25236308.226040859"/>
    <n v="221.3"/>
    <n v="48.05"/>
    <n v="13.2189"/>
    <x v="53"/>
    <m/>
  </r>
  <r>
    <x v="45"/>
    <s v="ARDMORE SHIPPING CORP"/>
    <x v="54"/>
    <n v="2.0456359999999978E-3"/>
    <n v="19985366.319232523"/>
    <n v="3458605.6390413688"/>
    <n v="-16526760.680191156"/>
    <n v="57.64"/>
    <n v="9.9749999999999996"/>
    <n v="3.2265999999999999"/>
    <x v="54"/>
    <m/>
  </r>
  <r>
    <x v="46"/>
    <s v="ARES COML REAL ESTATE"/>
    <x v="55"/>
    <n v="3.5000000000000001E-3"/>
    <n v="34194148.967516169"/>
    <n v="3484931.6110391519"/>
    <n v="-30709217.356477018"/>
    <n v="49.06"/>
    <n v="5"/>
    <n v="0"/>
    <x v="55"/>
    <m/>
  </r>
  <r>
    <x v="34"/>
    <s v="ARROW FINANCIAL CORP"/>
    <x v="56"/>
    <n v="4.0587559999999334E-3"/>
    <n v="39653059.224799365"/>
    <n v="11658503.420202471"/>
    <n v="-27994555.804596893"/>
    <n v="89.69"/>
    <n v="26.37"/>
    <n v="14.795299999999999"/>
    <x v="56"/>
    <m/>
  </r>
  <r>
    <x v="30"/>
    <s v="ARTESIAN RESOURCES CORP"/>
    <x v="57"/>
    <n v="4.2779959999998994E-3"/>
    <n v="41794980.716124251"/>
    <n v="13593165.418914888"/>
    <n v="-28201815.297209363"/>
    <n v="99.19"/>
    <n v="32.26"/>
    <n v="16.605799999999999"/>
    <x v="57"/>
    <m/>
  </r>
  <r>
    <x v="47"/>
    <s v="ASHLAND GLOBAL HOLDINGS"/>
    <x v="58"/>
    <n v="3.6440359999999985E-3"/>
    <n v="35601345.664854772"/>
    <n v="12368752.13292253"/>
    <n v="-23232593.531932242"/>
    <n v="187.48"/>
    <n v="65.135000000000005"/>
    <n v="0"/>
    <x v="58"/>
    <m/>
  </r>
  <r>
    <x v="34"/>
    <s v="ASSOCIATED BANC CORP"/>
    <x v="59"/>
    <n v="3.7401559999999832E-3"/>
    <n v="36540414.693071097"/>
    <n v="5902496.5968186203"/>
    <n v="-30637918.096252479"/>
    <n v="151.30000000000001"/>
    <n v="24.44"/>
    <n v="31.531500000000001"/>
    <x v="59"/>
    <m/>
  </r>
  <r>
    <x v="35"/>
    <s v="ATKORE INTL GROUP INC"/>
    <x v="60"/>
    <n v="4.270435999999901E-3"/>
    <n v="41721121.354354426"/>
    <n v="28845474.755748458"/>
    <n v="-12875646.598605968"/>
    <n v="95.33"/>
    <n v="65.91"/>
    <n v="6.3197999999999999"/>
    <x v="60"/>
    <m/>
  </r>
  <r>
    <x v="48"/>
    <s v="ATMOS ENERGY CORP"/>
    <x v="61"/>
    <n v="4.2455959999999045E-3"/>
    <n v="41478440.594253577"/>
    <n v="0"/>
    <n v="-41478440.594253577"/>
    <n v="64.39"/>
    <n v="0"/>
    <n v="0"/>
    <x v="61"/>
    <m/>
  </r>
  <r>
    <x v="9"/>
    <s v="AUTODESK INC"/>
    <x v="62"/>
    <n v="4.0245559999999387E-3"/>
    <n v="39318933.54060255"/>
    <n v="851020658.08091497"/>
    <n v="811701724.54031241"/>
    <n v="13.26"/>
    <n v="287"/>
    <n v="56.618400000000001"/>
    <x v="62"/>
    <m/>
  </r>
  <r>
    <x v="49"/>
    <s v="AUTONATION INC"/>
    <x v="63"/>
    <n v="2.4139160000000025E-3"/>
    <n v="23583372.3711631"/>
    <n v="106944369.0083259"/>
    <n v="83360996.637162805"/>
    <n v="40.159999999999997"/>
    <n v="182.11500000000001"/>
    <n v="10.674099999999999"/>
    <x v="63"/>
    <m/>
  </r>
  <r>
    <x v="24"/>
    <s v="AUTOZONE INC"/>
    <x v="64"/>
    <n v="2.9247159999999999E-3"/>
    <n v="28573764.169050865"/>
    <n v="3735975569.7883244"/>
    <n v="3707401805.6192737"/>
    <n v="25.92"/>
    <n v="3389"/>
    <n v="22.627300000000002"/>
    <x v="64"/>
    <m/>
  </r>
  <r>
    <x v="27"/>
    <s v="AVANGRID INC"/>
    <x v="65"/>
    <n v="2.3221159999999999E-3"/>
    <n v="22686508.692529365"/>
    <n v="389398.54792913346"/>
    <n v="-22297110.144600231"/>
    <n v="2552.9699999999998"/>
    <n v="43.82"/>
    <n v="20.598099999999999"/>
    <x v="65"/>
    <m/>
  </r>
  <r>
    <x v="6"/>
    <s v="AVERY DENNISON CORP"/>
    <x v="66"/>
    <n v="3.2217560000000218E-3"/>
    <n v="31475772.743139934"/>
    <n v="218238292.86580369"/>
    <n v="186762520.12266377"/>
    <n v="26.78"/>
    <n v="185.68"/>
    <n v="21.138000000000002"/>
    <x v="66"/>
    <m/>
  </r>
  <r>
    <x v="18"/>
    <s v="AVIS BUDGET GROUP INC CAR"/>
    <x v="67"/>
    <n v="3.6958759999999903E-3"/>
    <n v="36107809.859847844"/>
    <n v="17377088.413547218"/>
    <n v="-18730721.446300626"/>
    <n v="77.09"/>
    <n v="37.1"/>
    <n v="54.61"/>
    <x v="67"/>
    <m/>
  </r>
  <r>
    <x v="13"/>
    <s v="AVISTA CORP"/>
    <x v="68"/>
    <n v="2.0629159999999971E-3"/>
    <n v="20154187.71756357"/>
    <n v="2781642.4945651051"/>
    <n v="-17372545.222998463"/>
    <n v="275.29000000000002"/>
    <n v="37.994999999999997"/>
    <n v="14.9986"/>
    <x v="68"/>
    <m/>
  </r>
  <r>
    <x v="50"/>
    <s v="AVNET INC"/>
    <x v="69"/>
    <n v="2.1061159999999964E-3"/>
    <n v="20576241.213391189"/>
    <n v="34390306.514413498"/>
    <n v="13814065.30102231"/>
    <n v="31.25"/>
    <n v="52.23"/>
    <n v="14.6967"/>
    <x v="69"/>
    <m/>
  </r>
  <r>
    <x v="23"/>
    <s v="AXIS CAPITAL HOLDINGS"/>
    <x v="70"/>
    <n v="4.1084359999999263E-3"/>
    <n v="40138420.74500107"/>
    <n v="10618523.520827467"/>
    <n v="-29519897.224173605"/>
    <n v="79.91"/>
    <n v="21.14"/>
    <n v="0"/>
    <x v="70"/>
    <m/>
  </r>
  <r>
    <x v="47"/>
    <s v="BALCHEM CORP"/>
    <x v="71"/>
    <n v="4.2229159999999082E-3"/>
    <n v="41256862.508944109"/>
    <n v="91205840.202328369"/>
    <n v="49948977.69338426"/>
    <n v="73.95"/>
    <n v="163.47999999999999"/>
    <n v="43.972099999999998"/>
    <x v="71"/>
    <m/>
  </r>
  <r>
    <x v="34"/>
    <s v="BANCFIRST CORP"/>
    <x v="72"/>
    <n v="3.7963159999999745E-3"/>
    <n v="37089084.23764693"/>
    <n v="28338571.585016031"/>
    <n v="-8750512.6526308991"/>
    <n v="153.01"/>
    <n v="116.91"/>
    <n v="18.028700000000001"/>
    <x v="72"/>
    <m/>
  </r>
  <r>
    <x v="51"/>
    <s v="BANK OF AMERICA CORP"/>
    <x v="73"/>
    <n v="4.006915999999942E-3"/>
    <n v="39146595.029806301"/>
    <n v="10484616.706096219"/>
    <n v="-28661978.323710084"/>
    <n v="168.54"/>
    <n v="45.14"/>
    <n v="14.051299999999999"/>
    <x v="73"/>
    <m/>
  </r>
  <r>
    <x v="34"/>
    <s v="BANK OF HAWAII CORP BOH"/>
    <x v="74"/>
    <n v="4.4302759999998763E-3"/>
    <n v="43282719.288916409"/>
    <n v="7163997.7872256665"/>
    <n v="-36118721.501690745"/>
    <n v="155.03"/>
    <n v="25.66"/>
    <n v="0"/>
    <x v="74"/>
    <m/>
  </r>
  <r>
    <x v="34"/>
    <s v="BANK OF MARIN BANCORP BMRC"/>
    <x v="75"/>
    <n v="4.4648359999998706E-3"/>
    <n v="43620362.085578457"/>
    <n v="15640817.494424405"/>
    <n v="-27979544.591154054"/>
    <n v="69.22"/>
    <n v="24.82"/>
    <n v="0"/>
    <x v="75"/>
    <m/>
  </r>
  <r>
    <x v="14"/>
    <s v="BANK OF NEW YORK MELLON BK"/>
    <x v="76"/>
    <n v="3.4863560000000233E-3"/>
    <n v="34060850.40508417"/>
    <n v="940272876.64003658"/>
    <n v="906212026.23495245"/>
    <n v="3.17"/>
    <n v="87.51"/>
    <n v="15.129099999999999"/>
    <x v="76"/>
    <m/>
  </r>
  <r>
    <x v="34"/>
    <s v="BANKUNITED INC BKU"/>
    <x v="77"/>
    <n v="4.1116759999999261E-3"/>
    <n v="40170074.757188141"/>
    <n v="52474050.427168772"/>
    <n v="12303975.66998063"/>
    <n v="29.22"/>
    <n v="38.17"/>
    <n v="12.3216"/>
    <x v="77"/>
    <m/>
  </r>
  <r>
    <x v="34"/>
    <s v="BANNER CORP"/>
    <x v="78"/>
    <n v="3.107276000000019E-3"/>
    <n v="30357330.979196694"/>
    <n v="108416755.50337651"/>
    <n v="78059424.524179816"/>
    <n v="18.989999999999998"/>
    <n v="67.819999999999993"/>
    <n v="13.790800000000001"/>
    <x v="78"/>
    <m/>
  </r>
  <r>
    <x v="34"/>
    <s v="BAR HBR BANKSHARES"/>
    <x v="79"/>
    <n v="3.1634360000000208E-3"/>
    <n v="30906000.523772627"/>
    <n v="16219037.897991451"/>
    <n v="-14686962.625781177"/>
    <n v="61.93"/>
    <n v="32.5"/>
    <n v="11.7689"/>
    <x v="79"/>
    <m/>
  </r>
  <r>
    <x v="37"/>
    <s v="BELDEN INC"/>
    <x v="80"/>
    <n v="4.2121159999999099E-3"/>
    <n v="41151349.13498722"/>
    <n v="51197966.986922652"/>
    <n v="10046617.851935431"/>
    <n v="89.99"/>
    <n v="111.96"/>
    <n v="23.307200000000002"/>
    <x v="80"/>
    <m/>
  </r>
  <r>
    <x v="17"/>
    <s v="BIOGEN INC"/>
    <x v="81"/>
    <n v="2.477636000000004E-3"/>
    <n v="24205901.277508866"/>
    <n v="101034259.52599907"/>
    <n v="76828358.248490199"/>
    <n v="33.86"/>
    <n v="141.33000000000001"/>
    <n v="12.4742"/>
    <x v="81"/>
    <m/>
  </r>
  <r>
    <x v="52"/>
    <s v="BIO-RAD LABORATORIES INC"/>
    <x v="82"/>
    <n v="2.445236000000003E-3"/>
    <n v="23889361.155638136"/>
    <n v="102056625.90062459"/>
    <n v="78167264.744986445"/>
    <n v="67.45"/>
    <n v="288.14999999999998"/>
    <n v="0"/>
    <x v="82"/>
    <m/>
  </r>
  <r>
    <x v="13"/>
    <s v="BLACK HILLS CORP BKH"/>
    <x v="83"/>
    <n v="2.856716000000013E-3"/>
    <n v="27909420.703396391"/>
    <n v="2682924.155906559"/>
    <n v="-25226496.547489833"/>
    <n v="621.14"/>
    <n v="59.71"/>
    <n v="15.1906"/>
    <x v="83"/>
    <m/>
  </r>
  <r>
    <x v="9"/>
    <s v="BLACKBAUD INC BLKB"/>
    <x v="84"/>
    <n v="4.4011159999998804E-3"/>
    <n v="42997833.179232799"/>
    <n v="45607200.364252195"/>
    <n v="2609367.1850193962"/>
    <n v="64.430000000000007"/>
    <n v="68.34"/>
    <n v="0"/>
    <x v="84"/>
    <m/>
  </r>
  <r>
    <x v="14"/>
    <s v="BLACKROCK INC BLK"/>
    <x v="85"/>
    <n v="2.8340360000000124E-3"/>
    <n v="27687842.618086882"/>
    <n v="153327810.89151677"/>
    <n v="125639968.2734299"/>
    <n v="176.78"/>
    <n v="978.96"/>
    <n v="23.258700000000001"/>
    <x v="85"/>
    <m/>
  </r>
  <r>
    <x v="17"/>
    <s v="BLUEPRINT MEDICINES CORP BPMC"/>
    <x v="86"/>
    <n v="4.3730359999998849E-3"/>
    <n v="42723498.406944886"/>
    <n v="41359218.625882775"/>
    <n v="-1364279.7810621113"/>
    <n v="95.2"/>
    <n v="92.16"/>
    <n v="0"/>
    <x v="86"/>
    <m/>
  </r>
  <r>
    <x v="12"/>
    <s v="BOEING CO"/>
    <x v="87"/>
    <n v="2.4657560000000034E-3"/>
    <n v="24089836.566156264"/>
    <n v="65117153.85095793"/>
    <n v="41027317.284801662"/>
    <n v="65.88"/>
    <n v="178.08"/>
    <n v="0"/>
    <x v="87"/>
    <m/>
  </r>
  <r>
    <x v="53"/>
    <s v="BOISE CASCADE COMPANY"/>
    <x v="88"/>
    <n v="4.3395559999998895E-3"/>
    <n v="42396406.947678521"/>
    <n v="38253651.821051791"/>
    <n v="-4142755.12662673"/>
    <n v="118.15"/>
    <n v="106.605"/>
    <n v="10.8873"/>
    <x v="88"/>
    <m/>
  </r>
  <r>
    <x v="34"/>
    <s v="BOK FINANCIAL CORP BOKF"/>
    <x v="89"/>
    <n v="3.0316760000000174E-3"/>
    <n v="29618737.36149833"/>
    <n v="96269764.310307145"/>
    <n v="66651026.948808819"/>
    <n v="33.4"/>
    <n v="108.56"/>
    <n v="13.336"/>
    <x v="89"/>
    <m/>
  </r>
  <r>
    <x v="4"/>
    <s v="BOOZ ALLEN HAMILTON HLDG"/>
    <x v="90"/>
    <n v="3.272516000000023E-3"/>
    <n v="31971685.600737412"/>
    <n v="72197436.355563775"/>
    <n v="40225750.754826367"/>
    <n v="49.89"/>
    <n v="112.66"/>
    <n v="16.6751"/>
    <x v="90"/>
    <m/>
  </r>
  <r>
    <x v="8"/>
    <s v="BORG WARNER INC BWA"/>
    <x v="91"/>
    <n v="3.1169960000000194E-3"/>
    <n v="30452293.015757915"/>
    <n v="4375870.7428771174"/>
    <n v="-26076422.272880796"/>
    <n v="206.93"/>
    <n v="29.734999999999999"/>
    <n v="19.072399999999998"/>
    <x v="91"/>
    <m/>
  </r>
  <r>
    <x v="2"/>
    <s v="BOSTON SCIENTIFIC CO BSX"/>
    <x v="92"/>
    <n v="3.5479160000000134E-3"/>
    <n v="34662276.636638448"/>
    <n v="13895085.434208864"/>
    <n v="-20767191.202429585"/>
    <n v="259.61"/>
    <n v="104.07"/>
    <n v="83.835899999999995"/>
    <x v="92"/>
    <m/>
  </r>
  <r>
    <x v="26"/>
    <s v="BOX INC BOX"/>
    <x v="93"/>
    <n v="2.0186359999999981E-3"/>
    <n v="19721582.88434026"/>
    <n v="9824188.652852498"/>
    <n v="-9897394.2314877622"/>
    <n v="67.349999999999994"/>
    <n v="33.549999999999997"/>
    <n v="41.7714"/>
    <x v="93"/>
    <m/>
  </r>
  <r>
    <x v="54"/>
    <s v="BOYD GAMING CORP BYD"/>
    <x v="94"/>
    <n v="1.9009160000000003E-3"/>
    <n v="18571487.108209994"/>
    <n v="23675948.959030867"/>
    <n v="5104461.8508208729"/>
    <n v="60.25"/>
    <n v="76.81"/>
    <n v="12.3527"/>
    <x v="94"/>
    <m/>
  </r>
  <r>
    <x v="55"/>
    <s v="BRANDYWINE REALTY TRUST"/>
    <x v="95"/>
    <n v="1.7486360000000002E-3"/>
    <n v="17083748.535417605"/>
    <n v="567133.96498529054"/>
    <n v="-16516614.570432315"/>
    <n v="147"/>
    <n v="4.88"/>
    <n v="0"/>
    <x v="95"/>
    <m/>
  </r>
  <r>
    <x v="3"/>
    <s v="BRISTOL MYERS SQUIBB BMY"/>
    <x v="96"/>
    <n v="3.5273960000000168E-3"/>
    <n v="34461801.226120353"/>
    <n v="8043820.9885177994"/>
    <n v="-26417980.237602554"/>
    <n v="239.49"/>
    <n v="55.9"/>
    <n v="0"/>
    <x v="96"/>
    <m/>
  </r>
  <r>
    <x v="10"/>
    <s v="BROADCOM LIMITED"/>
    <x v="97"/>
    <n v="3.4150760000000269E-3"/>
    <n v="33364462.13696862"/>
    <n v="378044357.80518705"/>
    <n v="344679895.66821843"/>
    <n v="19.350000000000001"/>
    <n v="219.25"/>
    <n v="170.94829999999999"/>
    <x v="97"/>
    <m/>
  </r>
  <r>
    <x v="56"/>
    <s v="BROWN FORMAN CORP CL A"/>
    <x v="98"/>
    <n v="4.2196759999999093E-3"/>
    <n v="41225208.496757045"/>
    <n v="24044316.259394225"/>
    <n v="-17180892.237362821"/>
    <n v="55.38"/>
    <n v="32.299999999999997"/>
    <n v="0"/>
    <x v="98"/>
    <m/>
  </r>
  <r>
    <x v="52"/>
    <s v="BRUKER CORP BRKR"/>
    <x v="99"/>
    <n v="4.1710759999999169E-3"/>
    <n v="40750398.313951038"/>
    <n v="135431989.12640515"/>
    <n v="94681590.812454104"/>
    <n v="15.18"/>
    <n v="50.45"/>
    <n v="66.921300000000002"/>
    <x v="99"/>
    <m/>
  </r>
  <r>
    <x v="57"/>
    <s v="BRUNSWICK CORP"/>
    <x v="100"/>
    <n v="1.9106360000000005E-3"/>
    <n v="18666449.144771211"/>
    <n v="163614454.45723653"/>
    <n v="144948005.31246531"/>
    <n v="7.09"/>
    <n v="62.145000000000003"/>
    <n v="28.212299999999999"/>
    <x v="100"/>
    <m/>
  </r>
  <r>
    <x v="58"/>
    <s v="BTUWaste Management FIRM"/>
    <x v="101"/>
    <n v="1.982995999999999E-3"/>
    <n v="19373388.750282474"/>
    <n v="14285921.240757691"/>
    <n v="-5087467.5095247831"/>
    <n v="19.84"/>
    <n v="14.63"/>
    <n v="5.4162999999999997"/>
    <x v="101"/>
    <m/>
  </r>
  <r>
    <x v="59"/>
    <s v="BUCKLE INC BKE"/>
    <x v="102"/>
    <n v="2.9798360000000161E-3"/>
    <n v="29112273.166505162"/>
    <n v="9800731.2627583575"/>
    <n v="-19311541.903746806"/>
    <n v="123.51"/>
    <n v="41.58"/>
    <n v="10.4724"/>
    <x v="102"/>
    <m/>
  </r>
  <r>
    <x v="44"/>
    <s v="BUNGE LIMITED"/>
    <x v="103"/>
    <n v="2.4193160000000025E-3"/>
    <n v="23636129.058141552"/>
    <n v="5018324.3410183433"/>
    <n v="-18617804.71712321"/>
    <n v="344.11"/>
    <n v="73.06"/>
    <n v="9.1212999999999997"/>
    <x v="103"/>
    <m/>
  </r>
  <r>
    <x v="60"/>
    <s v="CABOT CORP CBT"/>
    <x v="104"/>
    <n v="3.8665159999999635E-3"/>
    <n v="37774921.168366715"/>
    <n v="47837889.339207947"/>
    <n v="10062968.170841232"/>
    <n v="66.95"/>
    <n v="84.784999999999997"/>
    <n v="11.219900000000001"/>
    <x v="104"/>
    <m/>
  </r>
  <r>
    <x v="58"/>
    <s v="CADEWaste Management FIRM"/>
    <x v="105"/>
    <n v="3.176396000000021E-3"/>
    <n v="31032616.572520919"/>
    <n v="293213894.30093336"/>
    <n v="262181277.72841245"/>
    <n v="3.5"/>
    <n v="33.07"/>
    <n v="12.007199999999999"/>
    <x v="105"/>
    <m/>
  </r>
  <r>
    <x v="39"/>
    <s v="CALIFORNIA RESOURCES CRC"/>
    <x v="106"/>
    <n v="3.7066759999999886E-3"/>
    <n v="36213323.23380474"/>
    <n v="113438893.23636323"/>
    <n v="77225570.0025585"/>
    <n v="15.13"/>
    <n v="47.395000000000003"/>
    <n v="7.4141000000000004"/>
    <x v="106"/>
    <m/>
  </r>
  <r>
    <x v="30"/>
    <s v="CALIFORNIA WTR SVC GRP CWT"/>
    <x v="107"/>
    <n v="3.8384359999999681E-3"/>
    <n v="37500586.396078803"/>
    <n v="175604076.52206811"/>
    <n v="138103490.12598932"/>
    <n v="9.77"/>
    <n v="45.75"/>
    <n v="24.924499999999998"/>
    <x v="107"/>
    <m/>
  </r>
  <r>
    <x v="61"/>
    <s v="CALIX INC CALX"/>
    <x v="108"/>
    <n v="1.9624759999999995E-3"/>
    <n v="19172913.339764357"/>
    <n v="29696593.427093115"/>
    <n v="10523680.087328758"/>
    <n v="25.06"/>
    <n v="38.814999999999998"/>
    <n v="0"/>
    <x v="108"/>
    <m/>
  </r>
  <r>
    <x v="34"/>
    <s v="CAMDEN NATIONAL CORP CAC"/>
    <x v="109"/>
    <n v="4.3989559999998802E-3"/>
    <n v="42976730.504441418"/>
    <n v="53380071.669706315"/>
    <n v="10403341.165264897"/>
    <n v="34.99"/>
    <n v="43.46"/>
    <n v="13.474500000000001"/>
    <x v="109"/>
    <m/>
  </r>
  <r>
    <x v="29"/>
    <s v="CAMDEN PROPERTY TRUST CPT"/>
    <x v="110"/>
    <n v="3.578156000000009E-3"/>
    <n v="34957714.083717741"/>
    <n v="7631076.0366733307"/>
    <n v="-27326638.047044411"/>
    <n v="549.51"/>
    <n v="119.955"/>
    <n v="79.860200000000006"/>
    <x v="110"/>
    <m/>
  </r>
  <r>
    <x v="62"/>
    <s v="CAMPBELL SOUP CO CPB"/>
    <x v="111"/>
    <n v="2.147155999999996E-3"/>
    <n v="20977192.034427434"/>
    <n v="11490474.85965669"/>
    <n v="-9486717.1747707445"/>
    <n v="74.12"/>
    <n v="40.6"/>
    <n v="22.102499999999999"/>
    <x v="111"/>
    <m/>
  </r>
  <r>
    <x v="28"/>
    <s v="CAPITAL ONE FINANCIAL COF"/>
    <x v="112"/>
    <n v="1.9257560000000003E-3"/>
    <n v="18814167.86831088"/>
    <n v="2180446.2848838563"/>
    <n v="-16633721.583427023"/>
    <n v="171.45"/>
    <n v="19.87"/>
    <n v="0"/>
    <x v="112"/>
    <m/>
  </r>
  <r>
    <x v="63"/>
    <s v="CARLISLE COS INC CSL"/>
    <x v="113"/>
    <n v="3.7811959999999771E-3"/>
    <n v="36941365.514107287"/>
    <n v="165188964.76896524"/>
    <n v="128247599.25485796"/>
    <n v="75.14"/>
    <n v="336"/>
    <n v="18.262599999999999"/>
    <x v="113"/>
    <m/>
  </r>
  <r>
    <x v="57"/>
    <s v="CARNIVAL CORP CCL"/>
    <x v="114"/>
    <n v="3.0467960000000178E-3"/>
    <n v="29766456.085038003"/>
    <n v="25212433.602662068"/>
    <n v="-4554022.4823759347"/>
    <n v="27.91"/>
    <n v="23.64"/>
    <n v="17.039200000000001"/>
    <x v="114"/>
    <m/>
  </r>
  <r>
    <x v="21"/>
    <s v="CARPENTER TECHNOLOGY CRS"/>
    <x v="115"/>
    <n v="1.8577160000000004E-3"/>
    <n v="18149433.612382367"/>
    <n v="128230826.14659536"/>
    <n v="110081392.53421299"/>
    <n v="27.88"/>
    <n v="196.98"/>
    <n v="37.463099999999997"/>
    <x v="115"/>
    <m/>
  </r>
  <r>
    <x v="64"/>
    <s v="CARTER INC CRI"/>
    <x v="116"/>
    <n v="2.306996E-3"/>
    <n v="22538789.968989696"/>
    <n v="50105316.801290922"/>
    <n v="27566526.832301226"/>
    <n v="23.58"/>
    <n v="52.42"/>
    <n v="8.5505999999999993"/>
    <x v="116"/>
    <m/>
  </r>
  <r>
    <x v="16"/>
    <s v="CATERPILLAR INC CAT"/>
    <x v="117"/>
    <n v="4.481035999999868E-3"/>
    <n v="43778632.146513797"/>
    <n v="164889739.89871195"/>
    <n v="121111107.75219816"/>
    <n v="91.07"/>
    <n v="343.01"/>
    <n v="15.4961"/>
    <x v="117"/>
    <m/>
  </r>
  <r>
    <x v="34"/>
    <s v="CATHAY GENERAL BANCORP CATY"/>
    <x v="118"/>
    <n v="2.4959960000000042E-3"/>
    <n v="24385274.01323561"/>
    <n v="31360249.440505005"/>
    <n v="6974975.4272693954"/>
    <n v="35.94"/>
    <n v="46.22"/>
    <n v="11.593400000000001"/>
    <x v="118"/>
    <m/>
  </r>
  <r>
    <x v="65"/>
    <s v="CDW CORPORATION CDW"/>
    <x v="119"/>
    <n v="3.9507559999999503E-3"/>
    <n v="38597925.485230461"/>
    <n v="90971426.699124813"/>
    <n v="52373501.213894352"/>
    <n v="79.209999999999994"/>
    <n v="186.69"/>
    <n v="23.529399999999999"/>
    <x v="119"/>
    <m/>
  </r>
  <r>
    <x v="47"/>
    <s v="CELANESE CORP CE"/>
    <x v="120"/>
    <n v="1.8177560000000002E-3"/>
    <n v="17759034.128741808"/>
    <n v="12692917.129213"/>
    <n v="-5066116.9995288085"/>
    <n v="73.930000000000007"/>
    <n v="52.84"/>
    <n v="0"/>
    <x v="120"/>
    <m/>
  </r>
  <r>
    <x v="66"/>
    <s v="CENTENE CORP CNC"/>
    <x v="121"/>
    <n v="3.1515560000000202E-3"/>
    <n v="30789935.812420022"/>
    <n v="23231381.075314034"/>
    <n v="-7558554.737105988"/>
    <n v="76.459999999999994"/>
    <n v="57.69"/>
    <n v="9.1354000000000006"/>
    <x v="121"/>
    <m/>
  </r>
  <r>
    <x v="62"/>
    <s v="CENTRAL GARDEN &amp; PET CO CENTA"/>
    <x v="122"/>
    <n v="3.3664760000000253E-3"/>
    <n v="32889651.954162523"/>
    <n v="9958178.8927657716"/>
    <n v="-22931473.061396752"/>
    <n v="107.01"/>
    <n v="32.4"/>
    <n v="0"/>
    <x v="122"/>
    <m/>
  </r>
  <r>
    <x v="19"/>
    <s v="CENTURY ALUMINUM CO CENX"/>
    <x v="123"/>
    <n v="3.627836000000001E-3"/>
    <n v="35443075.603919439"/>
    <n v="10861300.657870544"/>
    <n v="-24581774.946048893"/>
    <n v="59.75"/>
    <n v="18.309999999999999"/>
    <n v="5.524"/>
    <x v="123"/>
    <m/>
  </r>
  <r>
    <x v="17"/>
    <s v="CERUS CORP CERS"/>
    <x v="124"/>
    <n v="3.13859600000002E-3"/>
    <n v="30663319.763671733"/>
    <n v="448993.80977932236"/>
    <n v="-30214325.95389241"/>
    <n v="114.05"/>
    <n v="1.67"/>
    <n v="0"/>
    <x v="124"/>
    <m/>
  </r>
  <r>
    <x v="52"/>
    <s v="CHARLES RIVER LABS INTL CRL"/>
    <x v="125"/>
    <n v="3.3491960000000252E-3"/>
    <n v="32720830.55583147"/>
    <n v="86107448.831135452"/>
    <n v="53386618.275303982"/>
    <n v="13.11"/>
    <n v="34.5"/>
    <n v="0"/>
    <x v="125"/>
    <m/>
  </r>
  <r>
    <x v="67"/>
    <s v="CHATHAM LODGING TR CLDT"/>
    <x v="126"/>
    <n v="4.4831959999998673E-3"/>
    <n v="43799734.821305171"/>
    <n v="3078746.0405058367"/>
    <n v="-40720988.780799337"/>
    <n v="114.95"/>
    <n v="8.08"/>
    <n v="0"/>
    <x v="126"/>
    <m/>
  </r>
  <r>
    <x v="42"/>
    <s v="CHEESECAKE FACTORY INC CAKE"/>
    <x v="127"/>
    <n v="3.4852760000000237E-3"/>
    <n v="34050299.067688487"/>
    <n v="187516435.71079153"/>
    <n v="153466136.64310303"/>
    <n v="9.94"/>
    <n v="54.74"/>
    <n v="17.082899999999999"/>
    <x v="127"/>
    <m/>
  </r>
  <r>
    <x v="68"/>
    <s v="CHEGG INC CHGG"/>
    <x v="128"/>
    <n v="3.2822360000000234E-3"/>
    <n v="32066647.637298629"/>
    <n v="925243.19269676064"/>
    <n v="-31141404.444601867"/>
    <n v="50.6"/>
    <n v="1.46"/>
    <n v="0"/>
    <x v="128"/>
    <m/>
  </r>
  <r>
    <x v="7"/>
    <s v="CHEMED CORPORATION CHE"/>
    <x v="129"/>
    <n v="4.077115999999931E-3"/>
    <n v="39832431.960526086"/>
    <n v="226911157.15921569"/>
    <n v="187078725.19868961"/>
    <n v="95.63"/>
    <n v="544.77"/>
    <n v="27.6174"/>
    <x v="129"/>
    <m/>
  </r>
  <r>
    <x v="48"/>
    <s v="CHESAPEAKE UTILITIES CPK"/>
    <x v="130"/>
    <n v="3.3535160000000251E-3"/>
    <n v="32763035.905414235"/>
    <n v="110286095.89744674"/>
    <n v="77523059.992032498"/>
    <n v="37.25"/>
    <n v="125.39"/>
    <n v="25.1784"/>
    <x v="130"/>
    <m/>
  </r>
  <r>
    <x v="69"/>
    <s v="CHEVRON CORP CVX"/>
    <x v="131"/>
    <n v="1.8911960000000004E-3"/>
    <n v="18476525.071648777"/>
    <n v="89825657.337492496"/>
    <n v="71349132.265843719"/>
    <n v="32.299999999999997"/>
    <n v="157.03"/>
    <n v="16.2376"/>
    <x v="131"/>
    <m/>
  </r>
  <r>
    <x v="46"/>
    <s v="CHIMERA INVESTMENT CORP CIM"/>
    <x v="132"/>
    <n v="3.2552360000000229E-3"/>
    <n v="31802864.202406358"/>
    <n v="11045979.347366946"/>
    <n v="-20756884.85503941"/>
    <n v="67.89"/>
    <n v="23.58"/>
    <n v="0"/>
    <x v="132"/>
    <m/>
  </r>
  <r>
    <x v="23"/>
    <s v="CHUBB LIMITED CB"/>
    <x v="133"/>
    <n v="1.8620360000000003E-3"/>
    <n v="18191638.961965129"/>
    <n v="585687887.01166153"/>
    <n v="567496248.04969645"/>
    <n v="8.34"/>
    <n v="268.51"/>
    <n v="11.914300000000001"/>
    <x v="133"/>
    <m/>
  </r>
  <r>
    <x v="70"/>
    <s v="CHURCH &amp; DWIGHT INC CHD"/>
    <x v="134"/>
    <n v="3.9172759999999557E-3"/>
    <n v="38270834.025964104"/>
    <n v="111022369.82538994"/>
    <n v="72751535.79942584"/>
    <n v="36.25"/>
    <n v="105.16"/>
    <n v="45.020099999999999"/>
    <x v="134"/>
    <m/>
  </r>
  <r>
    <x v="71"/>
    <s v="CHURCHILL DOWNS INC CHDN"/>
    <x v="135"/>
    <n v="2.7065960000000095E-3"/>
    <n v="26442784.80539535"/>
    <n v="150503624.18462962"/>
    <n v="124060839.37923427"/>
    <n v="20.53"/>
    <n v="116.85"/>
    <n v="20.584399999999999"/>
    <x v="135"/>
    <m/>
  </r>
  <r>
    <x v="61"/>
    <s v="CIENA CORP CIEN"/>
    <x v="136"/>
    <n v="3.6764359999999934E-3"/>
    <n v="35917885.786725447"/>
    <n v="69660813.091555744"/>
    <n v="33742927.304830298"/>
    <n v="43.35"/>
    <n v="84.075000000000003"/>
    <n v="145.34049999999999"/>
    <x v="136"/>
    <m/>
  </r>
  <r>
    <x v="66"/>
    <s v="CIGNA CORP CI"/>
    <x v="137"/>
    <n v="2.3015959999999995E-3"/>
    <n v="22486033.282011237"/>
    <n v="63371852.884089828"/>
    <n v="40885819.602078587"/>
    <n v="105.93"/>
    <n v="298.54000000000002"/>
    <n v="27.835899999999999"/>
    <x v="137"/>
    <m/>
  </r>
  <r>
    <x v="72"/>
    <s v="CIMPRESS NV CMPR"/>
    <x v="138"/>
    <n v="4.0846759999999304E-3"/>
    <n v="39906291.322295912"/>
    <n v="57116736.548921801"/>
    <n v="17210445.22662589"/>
    <n v="34.92"/>
    <n v="49.98"/>
    <n v="8.2499000000000002"/>
    <x v="138"/>
    <m/>
  </r>
  <r>
    <x v="23"/>
    <s v="CINCINNATI FINANCIAL CINF"/>
    <x v="139"/>
    <n v="2.7919160000000115E-3"/>
    <n v="27276340.459654935"/>
    <n v="98649673.527100444"/>
    <n v="71373333.067445517"/>
    <n v="37.54"/>
    <n v="135.77000000000001"/>
    <n v="9.3057999999999996"/>
    <x v="139"/>
    <m/>
  </r>
  <r>
    <x v="4"/>
    <s v="CINTAS CORP CTAS"/>
    <x v="140"/>
    <n v="3.8881159999999602E-3"/>
    <n v="37985947.916280501"/>
    <n v="29655416.492290407"/>
    <n v="-8330531.4239900932"/>
    <n v="262.10000000000002"/>
    <n v="204.62"/>
    <n v="49.347000000000001"/>
    <x v="140"/>
    <m/>
  </r>
  <r>
    <x v="51"/>
    <s v="CITIGROUP INC C"/>
    <x v="141"/>
    <n v="3.9723559999999469E-3"/>
    <n v="38808952.233144246"/>
    <n v="21371037.964145627"/>
    <n v="-17437914.268998619"/>
    <n v="145.63999999999999"/>
    <n v="80.2"/>
    <n v="13.419600000000001"/>
    <x v="141"/>
    <m/>
  </r>
  <r>
    <x v="34"/>
    <s v="CITIZENS &amp; NORTHERN CORP CZNC"/>
    <x v="142"/>
    <n v="5.3000000000000009E-3"/>
    <n v="51779711.293667354"/>
    <n v="9525168.7999710348"/>
    <n v="-42254542.493696317"/>
    <n v="113.56"/>
    <n v="20.89"/>
    <n v="14.525600000000001"/>
    <x v="142"/>
    <m/>
  </r>
  <r>
    <x v="34"/>
    <s v="CITY HOLDING CO CHCO"/>
    <x v="143"/>
    <n v="2.5705160000000062E-3"/>
    <n v="25113316.293538287"/>
    <n v="7666602.1601545494"/>
    <n v="-17446714.133383736"/>
    <n v="385.58"/>
    <n v="117.71"/>
    <n v="14.946300000000001"/>
    <x v="143"/>
    <m/>
  </r>
  <r>
    <x v="61"/>
    <s v="CLEARFIELD INC CLFD"/>
    <x v="144"/>
    <n v="3.3211160000000245E-3"/>
    <n v="32446495.783543508"/>
    <n v="32774134.743806485"/>
    <n v="327638.96026297659"/>
    <n v="31.69"/>
    <n v="32.01"/>
    <n v="0"/>
    <x v="144"/>
    <m/>
  </r>
  <r>
    <x v="73"/>
    <s v="CLEARWATER PAPER CORP CLW"/>
    <x v="145"/>
    <n v="2.9236760000000144E-3"/>
    <n v="28563603.621929228"/>
    <n v="35869968.383013353"/>
    <n v="7306364.7610841244"/>
    <n v="22.01"/>
    <n v="27.64"/>
    <n v="0"/>
    <x v="145"/>
    <m/>
  </r>
  <r>
    <x v="74"/>
    <s v="CLIFFS NATURAL RESOURCES CLF"/>
    <x v="146"/>
    <n v="3.9215959999999552E-3"/>
    <n v="38313039.375546858"/>
    <n v="5832823.7358653229"/>
    <n v="-32480215.639681533"/>
    <n v="74.290000000000006"/>
    <n v="11.31"/>
    <n v="0"/>
    <x v="146"/>
    <m/>
  </r>
  <r>
    <x v="70"/>
    <s v="CLOROX CO CLX"/>
    <x v="147"/>
    <n v="3.9561559999999494E-3"/>
    <n v="38650682.172208905"/>
    <n v="241003814.69390914"/>
    <n v="202353132.52170023"/>
    <n v="25.06"/>
    <n v="156.26"/>
    <n v="42.180900000000001"/>
    <x v="147"/>
    <m/>
  </r>
  <r>
    <x v="23"/>
    <s v="CNA FINANCIAL CORP CNA"/>
    <x v="148"/>
    <n v="3.5209160000000176E-3"/>
    <n v="34398493.201746218"/>
    <n v="46728342.713021487"/>
    <n v="12329849.511275269"/>
    <n v="34.65"/>
    <n v="47.07"/>
    <n v="13.491199999999999"/>
    <x v="148"/>
    <m/>
  </r>
  <r>
    <x v="34"/>
    <s v="CNB FINL CORP PA CCNE"/>
    <x v="149"/>
    <n v="1.8361160000000003E-3"/>
    <n v="17938406.864468552"/>
    <n v="13750072.954031551"/>
    <n v="-4188333.9104370009"/>
    <n v="33.15"/>
    <n v="25.41"/>
    <n v="10.5565"/>
    <x v="149"/>
    <m/>
  </r>
  <r>
    <x v="17"/>
    <s v="CODEXIS INC CDXS"/>
    <x v="150"/>
    <n v="4.4713159999998694E-3"/>
    <n v="43683670.109952591"/>
    <n v="4378792.7079188796"/>
    <n v="-39304877.402033709"/>
    <n v="41.9"/>
    <n v="4.2"/>
    <n v="0"/>
    <x v="150"/>
    <m/>
  </r>
  <r>
    <x v="75"/>
    <s v="COGNEX CORP CGNX"/>
    <x v="151"/>
    <n v="4.1408359999999212E-3"/>
    <n v="40454960.866871744"/>
    <n v="105835085.17286958"/>
    <n v="65380124.305997834"/>
    <n v="12.53"/>
    <n v="32.78"/>
    <n v="53.283499999999997"/>
    <x v="151"/>
    <m/>
  </r>
  <r>
    <x v="65"/>
    <s v="COGNIZANT TECH SOLUTIONS CTSH"/>
    <x v="152"/>
    <n v="2.898836000000014E-3"/>
    <n v="28320922.861828338"/>
    <n v="39757234.410107307"/>
    <n v="11436311.548278969"/>
    <n v="60.87"/>
    <n v="85.45"/>
    <n v="18.839500000000001"/>
    <x v="152"/>
    <m/>
  </r>
  <r>
    <x v="75"/>
    <s v="COHERENT INC COHR"/>
    <x v="153"/>
    <n v="2.1979159999999972E-3"/>
    <n v="21473104.892024908"/>
    <n v="34384306.270968124"/>
    <n v="12911201.378943216"/>
    <n v="51.84"/>
    <n v="83.01"/>
    <n v="0"/>
    <x v="153"/>
    <m/>
  </r>
  <r>
    <x v="70"/>
    <s v="COLGATE PALMOLIVE CO CL"/>
    <x v="154"/>
    <n v="4.4237959999998766E-3"/>
    <n v="43219411.264542274"/>
    <n v="74288569.767069325"/>
    <n v="31069158.502527051"/>
    <n v="51.88"/>
    <n v="89.174999999999997"/>
    <n v="25.863600000000002"/>
    <x v="154"/>
    <m/>
  </r>
  <r>
    <x v="64"/>
    <s v="COLUMBIA SPORTSWEAR CO COLM"/>
    <x v="155"/>
    <n v="3.3502760000000248E-3"/>
    <n v="32731381.89322716"/>
    <n v="34354737.627262652"/>
    <n v="1623355.7340354919"/>
    <n v="86.7"/>
    <n v="91"/>
    <n v="23.476099999999999"/>
    <x v="155"/>
    <m/>
  </r>
  <r>
    <x v="16"/>
    <s v="COLUMBUS MCKINNON CORP CMCO"/>
    <x v="156"/>
    <n v="3.3124760000000238E-3"/>
    <n v="32362085.084377974"/>
    <n v="43355574.709644377"/>
    <n v="10993489.625266403"/>
    <n v="14.13"/>
    <n v="18.93"/>
    <n v="59.602600000000002"/>
    <x v="156"/>
    <m/>
  </r>
  <r>
    <x v="76"/>
    <s v="COMCAST CORP CL A CMCSA"/>
    <x v="157"/>
    <n v="4.4421559999998734E-3"/>
    <n v="43398784.000268981"/>
    <n v="14050187.771769281"/>
    <n v="-29348596.228499699"/>
    <n v="112.65"/>
    <n v="36.47"/>
    <n v="8.7616999999999994"/>
    <x v="157"/>
    <m/>
  </r>
  <r>
    <x v="34"/>
    <s v="COMERICA INC CMA"/>
    <x v="158"/>
    <n v="4.3924759999998822E-3"/>
    <n v="42913422.480067298"/>
    <n v="230475279.65358564"/>
    <n v="187561857.17351836"/>
    <n v="12.22"/>
    <n v="65.63"/>
    <n v="13.067"/>
    <x v="158"/>
    <m/>
  </r>
  <r>
    <x v="77"/>
    <s v="COMMERCIAL METALS CO CMC"/>
    <x v="159"/>
    <n v="2.568356000000006E-3"/>
    <n v="25092213.618746907"/>
    <n v="5772230.8676881287"/>
    <n v="-19319982.75105878"/>
    <n v="218.57"/>
    <n v="50.28"/>
    <n v="45.191800000000001"/>
    <x v="159"/>
    <m/>
  </r>
  <r>
    <x v="78"/>
    <s v="COMMUNITY HEALTHCARE TR CHCT"/>
    <x v="160"/>
    <n v="2.9247560000000149E-3"/>
    <n v="28574154.959324922"/>
    <n v="13449685.791908465"/>
    <n v="-15124469.167416457"/>
    <n v="38.9"/>
    <n v="18.309999999999999"/>
    <n v="0"/>
    <x v="160"/>
    <m/>
  </r>
  <r>
    <x v="4"/>
    <s v="CONDUENT INC CNDT"/>
    <x v="161"/>
    <n v="2.1309559999999959E-3"/>
    <n v="20818921.973492071"/>
    <n v="2744146.1300736484"/>
    <n v="-18074775.843418423"/>
    <n v="28.45"/>
    <n v="3.75"/>
    <n v="1.7702"/>
    <x v="161"/>
    <m/>
  </r>
  <r>
    <x v="2"/>
    <s v="CONMED CORP CNMD"/>
    <x v="162"/>
    <n v="2.8545560000000129E-3"/>
    <n v="27888318.028605007"/>
    <n v="39605172.406119369"/>
    <n v="11716854.377514362"/>
    <n v="43.01"/>
    <n v="61.08"/>
    <n v="14.4284"/>
    <x v="162"/>
    <m/>
  </r>
  <r>
    <x v="39"/>
    <s v="CONOCOPHILLIPS COP"/>
    <x v="163"/>
    <n v="1.9451959999999999E-3"/>
    <n v="19004091.941433311"/>
    <n v="60938047.515832528"/>
    <n v="41933955.574399218"/>
    <n v="30.57"/>
    <n v="98.025000000000006"/>
    <n v="12.591900000000001"/>
    <x v="163"/>
    <m/>
  </r>
  <r>
    <x v="39"/>
    <s v="CONSOL ENERGY INC CNX"/>
    <x v="164"/>
    <n v="2.1352759999999959E-3"/>
    <n v="20861127.323074833"/>
    <n v="377646.38632283406"/>
    <n v="-20483480.936751999"/>
    <n v="1624.88"/>
    <n v="29.414999999999999"/>
    <n v="0"/>
    <x v="164"/>
    <m/>
  </r>
  <r>
    <x v="31"/>
    <s v="CONSOLIDATED COMM CNSL"/>
    <x v="165"/>
    <n v="3.9496759999999506E-3"/>
    <n v="38587374.147834778"/>
    <n v="9160625.7107715886"/>
    <n v="-29426748.437063187"/>
    <n v="13.69"/>
    <n v="3.25"/>
    <n v="65"/>
    <x v="165"/>
    <m/>
  </r>
  <r>
    <x v="79"/>
    <s v="COOPER COMPANIES INC COO"/>
    <x v="166"/>
    <n v="3.8438359999999673E-3"/>
    <n v="37553343.083057247"/>
    <n v="41702909.777673259"/>
    <n v="4149566.6946160123"/>
    <n v="79.73"/>
    <n v="88.54"/>
    <n v="45.2121"/>
    <x v="166"/>
    <m/>
  </r>
  <r>
    <x v="49"/>
    <s v="COPART INC CPRT"/>
    <x v="167"/>
    <n v="3.0392360000000176E-3"/>
    <n v="29692596.723268166"/>
    <n v="24029008.829755902"/>
    <n v="-5663587.8935122639"/>
    <n v="70.2"/>
    <n v="56.81"/>
    <n v="38.0105"/>
    <x v="167"/>
    <m/>
  </r>
  <r>
    <x v="17"/>
    <s v="CORCEPT THERAPEUTICS INC CORT"/>
    <x v="168"/>
    <n v="2.7703160000000109E-3"/>
    <n v="27065313.711741116"/>
    <n v="41670025.493106842"/>
    <n v="14604711.781365726"/>
    <n v="41.53"/>
    <n v="63.94"/>
    <n v="50.043300000000002"/>
    <x v="168"/>
    <m/>
  </r>
  <r>
    <x v="37"/>
    <s v="CORNING INC GLW"/>
    <x v="169"/>
    <n v="3.3815960000000258E-3"/>
    <n v="33037370.6777022"/>
    <n v="111823842.07532181"/>
    <n v="78786471.397619605"/>
    <n v="15.1"/>
    <n v="51.11"/>
    <n v="89.077799999999996"/>
    <x v="169"/>
    <m/>
  </r>
  <r>
    <x v="40"/>
    <s v="CORVEL CORP CRVL"/>
    <x v="170"/>
    <n v="2.2205959999999979E-3"/>
    <n v="21694682.977334417"/>
    <n v="103751019.81106599"/>
    <n v="82056336.833731562"/>
    <n v="22.97"/>
    <n v="109.85"/>
    <n v="63.993899999999996"/>
    <x v="170"/>
    <m/>
  </r>
  <r>
    <x v="80"/>
    <s v="COSTAMARE INC CMRE"/>
    <x v="171"/>
    <n v="3.4345160000000268E-3"/>
    <n v="33554386.210091051"/>
    <n v="3660553.8699666928"/>
    <n v="-29893832.340124357"/>
    <n v="242.82"/>
    <n v="26.49"/>
    <n v="0"/>
    <x v="171"/>
    <m/>
  </r>
  <r>
    <x v="81"/>
    <s v="COSTCO WHOLESALE CORP COST"/>
    <x v="172"/>
    <n v="2.3890760000000017E-3"/>
    <n v="23340691.611062206"/>
    <n v="137891068.0622741"/>
    <n v="114550376.4512119"/>
    <n v="174.1"/>
    <n v="1028.54"/>
    <n v="60.777299999999997"/>
    <x v="172"/>
    <m/>
  </r>
  <r>
    <x v="46"/>
    <s v="COUSINS PROPERTIES INC CUZ"/>
    <x v="173"/>
    <n v="3.1504760000000201E-3"/>
    <n v="30779384.475024331"/>
    <n v="14168880.916380834"/>
    <n v="-16610503.558643498"/>
    <n v="65.930000000000007"/>
    <n v="30.35"/>
    <n v="101.2915"/>
    <x v="173"/>
    <m/>
  </r>
  <r>
    <x v="28"/>
    <s v="CREDIT ACCEP CORP MICH CACC"/>
    <x v="174"/>
    <n v="2.6331560000000076E-3"/>
    <n v="25725293.862488363"/>
    <n v="105978210.35002682"/>
    <n v="80252916.487538457"/>
    <n v="120.39"/>
    <n v="495.96"/>
    <n v="24.9634"/>
    <x v="174"/>
    <m/>
  </r>
  <r>
    <x v="82"/>
    <s v="CROCS INC CROX"/>
    <x v="175"/>
    <n v="3.5338760000000161E-3"/>
    <n v="34525109.250494495"/>
    <n v="57568550.304768853"/>
    <n v="23043441.054274358"/>
    <n v="64.650000000000006"/>
    <n v="107.8"/>
    <n v="6.7332000000000001"/>
    <x v="175"/>
    <m/>
  </r>
  <r>
    <x v="83"/>
    <s v="CSX CORP CSX"/>
    <x v="176"/>
    <n v="2.2843159999999993E-3"/>
    <n v="22317211.883680183"/>
    <n v="71960265.130396783"/>
    <n v="49643053.246716604"/>
    <n v="10.07"/>
    <n v="32.47"/>
    <n v="18.067900000000002"/>
    <x v="176"/>
    <m/>
  </r>
  <r>
    <x v="84"/>
    <s v="CUBESMART CUBE"/>
    <x v="177"/>
    <n v="2.9506760000000153E-3"/>
    <n v="28827387.056821506"/>
    <n v="36797569.032167301"/>
    <n v="7970181.9753457941"/>
    <n v="32.950000000000003"/>
    <n v="42.06"/>
    <n v="23.409800000000001"/>
    <x v="177"/>
    <m/>
  </r>
  <r>
    <x v="35"/>
    <s v="CUMMINS INC CMI"/>
    <x v="178"/>
    <n v="2.7681560000000108E-3"/>
    <n v="27044211.036949731"/>
    <n v="1674191461.7015414"/>
    <n v="1647147250.6645918"/>
    <n v="5.94"/>
    <n v="367.72"/>
    <n v="12.9977"/>
    <x v="178"/>
    <m/>
  </r>
  <r>
    <x v="35"/>
    <s v="CURTISS WRIGHT CORP CW"/>
    <x v="179"/>
    <n v="1.776716E-3"/>
    <n v="17358083.307705559"/>
    <n v="667022472.03966498"/>
    <n v="649664388.73195946"/>
    <n v="8.31"/>
    <n v="319.33"/>
    <n v="29.948599999999999"/>
    <x v="179"/>
    <m/>
  </r>
  <r>
    <x v="66"/>
    <s v="CVS HEALTH CORPORATION CVS"/>
    <x v="180"/>
    <n v="3.7077559999999883E-3"/>
    <n v="36223874.571200423"/>
    <n v="341340356.53631169"/>
    <n v="305116481.96511126"/>
    <n v="6.76"/>
    <n v="63.7"/>
    <n v="17.316299999999998"/>
    <x v="180"/>
    <m/>
  </r>
  <r>
    <x v="17"/>
    <s v="CYTOKINETICS INC CYTK"/>
    <x v="181"/>
    <n v="2.3879960000000016E-3"/>
    <n v="23330140.273666516"/>
    <n v="43826836.754753955"/>
    <n v="20496696.481087439"/>
    <n v="26.76"/>
    <n v="50.27"/>
    <n v="0"/>
    <x v="181"/>
    <m/>
  </r>
  <r>
    <x v="85"/>
    <s v="DAILY JOURNAL CORP DJCO"/>
    <x v="182"/>
    <n v="4.0490359999999356E-3"/>
    <n v="39558097.188238174"/>
    <n v="1047563621.9983795"/>
    <n v="1008005524.8101413"/>
    <n v="15.53"/>
    <n v="411.26"/>
    <n v="7.3334000000000001"/>
    <x v="182"/>
    <m/>
  </r>
  <r>
    <x v="8"/>
    <s v="DANA INCORPORATED DAN"/>
    <x v="183"/>
    <n v="4.4626759999998713E-3"/>
    <n v="43599259.410787083"/>
    <n v="69767596.378389403"/>
    <n v="26168336.96760232"/>
    <n v="9.93"/>
    <n v="15.89"/>
    <n v="0"/>
    <x v="183"/>
    <m/>
  </r>
  <r>
    <x v="52"/>
    <s v="DANAHER CORP DHR"/>
    <x v="184"/>
    <n v="3.5349560000000157E-3"/>
    <n v="34535660.587890178"/>
    <n v="424648698.00964195"/>
    <n v="390113037.42175174"/>
    <n v="17.03"/>
    <n v="209.4"/>
    <n v="40.064500000000002"/>
    <x v="184"/>
    <m/>
  </r>
  <r>
    <x v="7"/>
    <s v="DAVITA INC DVA"/>
    <x v="185"/>
    <n v="3.3049160000000236E-3"/>
    <n v="32288225.722608138"/>
    <n v="29734272.309410296"/>
    <n v="-2553953.4131978415"/>
    <n v="154.87"/>
    <n v="142.62"/>
    <n v="13.2599"/>
    <x v="185"/>
    <m/>
  </r>
  <r>
    <x v="82"/>
    <s v="DECKERS OUTDOOR CORP DECK"/>
    <x v="186"/>
    <n v="3.8654359999999639E-3"/>
    <n v="37764369.830971032"/>
    <n v="49668429.470617317"/>
    <n v="11904059.639646284"/>
    <n v="111.7"/>
    <n v="146.91"/>
    <n v="23.614999999999998"/>
    <x v="186"/>
    <m/>
  </r>
  <r>
    <x v="16"/>
    <s v="DEERE &amp; CO DE"/>
    <x v="187"/>
    <n v="3.3113960000000242E-3"/>
    <n v="32351533.746982288"/>
    <n v="221725483.80334008"/>
    <n v="189373950.0563578"/>
    <n v="71.599999999999994"/>
    <n v="490.72"/>
    <n v="21.509499999999999"/>
    <x v="187"/>
    <m/>
  </r>
  <r>
    <x v="4"/>
    <s v="DELUXE CORP DLX"/>
    <x v="188"/>
    <n v="3.9874759999999447E-3"/>
    <n v="38956670.956683889"/>
    <n v="4315928.7712336779"/>
    <n v="-34640742.185450211"/>
    <n v="154.71"/>
    <n v="17.14"/>
    <n v="13.765499999999999"/>
    <x v="188"/>
    <m/>
  </r>
  <r>
    <x v="42"/>
    <s v="DENNYS CORP DENN"/>
    <x v="189"/>
    <n v="2.1298759999999958E-3"/>
    <n v="20808370.636096381"/>
    <n v="2759370.8886997378"/>
    <n v="-18048999.747396644"/>
    <n v="41.4"/>
    <n v="5.49"/>
    <n v="15.9091"/>
    <x v="189"/>
    <m/>
  </r>
  <r>
    <x v="39"/>
    <s v="DEVON ENERGY CORP DVN"/>
    <x v="190"/>
    <n v="2.3426360000000008E-3"/>
    <n v="22886984.103047498"/>
    <n v="74935451.867419213"/>
    <n v="52048467.764371715"/>
    <n v="11.49"/>
    <n v="37.619999999999997"/>
    <n v="8.1109000000000009"/>
    <x v="190"/>
    <m/>
  </r>
  <r>
    <x v="52"/>
    <s v="DEXCOM INC DXCM"/>
    <x v="191"/>
    <n v="2.7670760000000111E-3"/>
    <n v="27033659.699554045"/>
    <n v="15001434.802663941"/>
    <n v="-12032224.896890104"/>
    <n v="160.06"/>
    <n v="88.82"/>
    <n v="63.561799999999998"/>
    <x v="191"/>
    <m/>
  </r>
  <r>
    <x v="67"/>
    <s v="DIAMONDROCK HOSPITALITY DRH"/>
    <x v="192"/>
    <n v="3.5057960000000202E-3"/>
    <n v="34250774.478206575"/>
    <n v="5556191.631418217"/>
    <n v="-28694582.846788358"/>
    <n v="50.61"/>
    <n v="8.2100000000000009"/>
    <n v="29.367599999999999"/>
    <x v="192"/>
    <m/>
  </r>
  <r>
    <x v="86"/>
    <s v="DILLARDS INC DDS"/>
    <x v="193"/>
    <n v="3.6796759999999928E-3"/>
    <n v="35949539.79891251"/>
    <n v="1285256546.2887197"/>
    <n v="1249307006.4898071"/>
    <n v="13.37"/>
    <n v="478"/>
    <n v="12.2372"/>
    <x v="193"/>
    <m/>
  </r>
  <r>
    <x v="10"/>
    <s v="DIODES INC DIOD"/>
    <x v="194"/>
    <n v="3.7574359999999808E-3"/>
    <n v="36709236.091402121"/>
    <n v="76704848.81654416"/>
    <n v="39995612.725142039"/>
    <n v="26.92"/>
    <n v="56.25"/>
    <n v="59.1235"/>
    <x v="194"/>
    <m/>
  </r>
  <r>
    <x v="28"/>
    <s v="DISCOVER FINANCIAL SRVC DFS"/>
    <x v="195"/>
    <n v="4.010155999999941E-3"/>
    <n v="39178249.041993357"/>
    <n v="814774065.27374458"/>
    <n v="775595816.2317512"/>
    <n v="9.39"/>
    <n v="195.28"/>
    <n v="11.014900000000001"/>
    <x v="195"/>
    <m/>
  </r>
  <r>
    <x v="76"/>
    <s v="DISH NETWORK CORP DISH"/>
    <x v="196"/>
    <n v="1.7551160000000001E-3"/>
    <n v="17147056.559791747"/>
    <n v="41444.706477098684"/>
    <n v="-17105611.853314649"/>
    <n v="31.03"/>
    <n v="7.4999999999999997E-2"/>
    <n v="0"/>
    <x v="196"/>
    <m/>
  </r>
  <r>
    <x v="0"/>
    <s v="DISNEY WALT CO DIS"/>
    <x v="197"/>
    <n v="3.0079160000000167E-3"/>
    <n v="29386607.938793126"/>
    <n v="16010132.393029463"/>
    <n v="-13376475.545763664"/>
    <n v="199.73"/>
    <n v="108.815"/>
    <n v="35.7166"/>
    <x v="197"/>
    <m/>
  </r>
  <r>
    <x v="81"/>
    <s v="DOLLAR GENERAL CORP DG"/>
    <x v="198"/>
    <n v="3.2563160000000225E-3"/>
    <n v="31813415.539802045"/>
    <n v="142973232.19063976"/>
    <n v="111159816.65083772"/>
    <n v="17"/>
    <n v="76.400000000000006"/>
    <n v="12.6579"/>
    <x v="198"/>
    <m/>
  </r>
  <r>
    <x v="35"/>
    <s v="DOVER CORP DOV"/>
    <x v="199"/>
    <n v="4.0241959999999391E-3"/>
    <n v="39315416.428137317"/>
    <n v="222713590.33186597"/>
    <n v="183398173.90372866"/>
    <n v="35.53"/>
    <n v="201.27"/>
    <n v="18.950700000000001"/>
    <x v="199"/>
    <m/>
  </r>
  <r>
    <x v="47"/>
    <s v="DOW CHEMICAL CO DOW"/>
    <x v="200"/>
    <n v="3.352436000000025E-3"/>
    <n v="32752484.568018541"/>
    <n v="64977766.165123299"/>
    <n v="32225281.597104758"/>
    <n v="19.88"/>
    <n v="39.44"/>
    <n v="24.9313"/>
    <x v="200"/>
    <m/>
  </r>
  <r>
    <x v="27"/>
    <s v="DTE ENERGY CO DTE"/>
    <x v="201"/>
    <n v="2.4916760000000043E-3"/>
    <n v="24343068.663652848"/>
    <n v="214028268.3767778"/>
    <n v="189685199.71312496"/>
    <n v="15.06"/>
    <n v="132.41"/>
    <n v="19.382100000000001"/>
    <x v="201"/>
    <m/>
  </r>
  <r>
    <x v="32"/>
    <s v="DU PONT E I DE NEMOURS DD"/>
    <x v="202"/>
    <n v="4.1311159999999226E-3"/>
    <n v="40359998.830310538"/>
    <n v="272155942.7298224"/>
    <n v="231795943.89951187"/>
    <n v="12.15"/>
    <n v="81.93"/>
    <n v="46.081800000000001"/>
    <x v="202"/>
    <m/>
  </r>
  <r>
    <x v="12"/>
    <s v="DUCOMMUN INC DCO"/>
    <x v="203"/>
    <n v="2.2249159999999978E-3"/>
    <n v="21736888.326917179"/>
    <n v="109587909.0094907"/>
    <n v="87851020.682573527"/>
    <n v="12.15"/>
    <n v="61.255000000000003"/>
    <n v="30.571200000000001"/>
    <x v="203"/>
    <m/>
  </r>
  <r>
    <x v="27"/>
    <s v="DUKE ENERGY CORP DUK"/>
    <x v="204"/>
    <n v="3.9831559999999452E-3"/>
    <n v="38914465.607101135"/>
    <n v="139410933.45901224"/>
    <n v="100496467.8519111"/>
    <n v="6.97"/>
    <n v="24.97"/>
    <n v="0"/>
    <x v="204"/>
    <m/>
  </r>
  <r>
    <x v="65"/>
    <s v="DXC TECHNOLOGY COMPANY DXC"/>
    <x v="205"/>
    <n v="3.742315999999983E-3"/>
    <n v="36561517.367862478"/>
    <n v="54264119.527151316"/>
    <n v="17702602.159288839"/>
    <n v="13.28"/>
    <n v="19.71"/>
    <n v="57.4298"/>
    <x v="205"/>
    <m/>
  </r>
  <r>
    <x v="17"/>
    <s v="DYNAVAX TECHNOLOGIES DVAX"/>
    <x v="206"/>
    <n v="2.5219160000000047E-3"/>
    <n v="24638506.11073219"/>
    <n v="465929.74508132506"/>
    <n v="-24172576.365650866"/>
    <n v="698.02"/>
    <n v="13.2"/>
    <n v="76.781300000000002"/>
    <x v="206"/>
    <m/>
  </r>
  <r>
    <x v="87"/>
    <s v="DYNEGY INC DYN"/>
    <x v="207"/>
    <n v="3.466916000000026E-3"/>
    <n v="33870926.331961766"/>
    <n v="9018543.6317227986"/>
    <n v="-24852382.700238965"/>
    <n v="52.73"/>
    <n v="14.04"/>
    <n v="0"/>
    <x v="207"/>
    <m/>
  </r>
  <r>
    <x v="39"/>
    <s v="EARTHSTONE ENERGY INC ESTE"/>
    <x v="208"/>
    <n v="3.5198360000000179E-3"/>
    <n v="34387941.864350535"/>
    <n v="27015083.647168938"/>
    <n v="-7372858.2171815969"/>
    <n v="42.84"/>
    <n v="33.655000000000001"/>
    <n v="0"/>
    <x v="208"/>
    <m/>
  </r>
  <r>
    <x v="47"/>
    <s v="EASTMAN CHEMICAL CO EMN"/>
    <x v="209"/>
    <n v="3.3686360000000255E-3"/>
    <n v="32910754.628953908"/>
    <n v="125560857.90073395"/>
    <n v="92650103.271780044"/>
    <n v="26"/>
    <n v="99.194999999999993"/>
    <n v="12.711"/>
    <x v="209"/>
    <m/>
  </r>
  <r>
    <x v="35"/>
    <s v="EATON CORP PLC ETN"/>
    <x v="210"/>
    <n v="3.1245560000000192E-3"/>
    <n v="30526152.377527747"/>
    <n v="693373114.34553337"/>
    <n v="662846961.96800566"/>
    <n v="13.15"/>
    <n v="298.69"/>
    <n v="30.939599999999999"/>
    <x v="210"/>
    <m/>
  </r>
  <r>
    <x v="24"/>
    <s v="EBAY INC EBAY"/>
    <x v="211"/>
    <n v="2.7314360000000103E-3"/>
    <n v="26685465.565496244"/>
    <n v="152288553.69400313"/>
    <n v="125603088.1285069"/>
    <n v="12.21"/>
    <n v="69.680000000000007"/>
    <n v="17.438600000000001"/>
    <x v="211"/>
    <m/>
  </r>
  <r>
    <x v="60"/>
    <s v="ECOLAB INC ECL"/>
    <x v="212"/>
    <n v="2.0024359999999985E-3"/>
    <n v="19563312.823404901"/>
    <n v="423552115.86620086"/>
    <n v="403988803.04279596"/>
    <n v="12.24"/>
    <n v="265"/>
    <n v="35.892699999999998"/>
    <x v="212"/>
    <m/>
  </r>
  <r>
    <x v="70"/>
    <s v="EDGEWELL PERSONAL CARE EPC"/>
    <x v="213"/>
    <n v="4.4615959999998707E-3"/>
    <n v="43588708.073391385"/>
    <n v="176045650.02948278"/>
    <n v="132456941.9560914"/>
    <n v="7.6050000000000004"/>
    <n v="30.715"/>
    <n v="16.958100000000002"/>
    <x v="213"/>
    <m/>
  </r>
  <r>
    <x v="27"/>
    <s v="EDISON INTERNATIONAL EIX"/>
    <x v="214"/>
    <n v="1.9127960000000005E-3"/>
    <n v="18687551.819562592"/>
    <n v="35888593.83529634"/>
    <n v="17201042.015733749"/>
    <n v="27.28"/>
    <n v="52.39"/>
    <n v="15.248200000000001"/>
    <x v="214"/>
    <m/>
  </r>
  <r>
    <x v="2"/>
    <s v="EDWARDS LIFESCIENCES EW"/>
    <x v="215"/>
    <n v="2.2076359999999972E-3"/>
    <n v="21568066.928586125"/>
    <n v="14518486.04090324"/>
    <n v="-7049580.8876828849"/>
    <n v="109.3"/>
    <n v="73.575000000000003"/>
    <n v="30.834199999999999"/>
    <x v="215"/>
    <m/>
  </r>
  <r>
    <x v="27"/>
    <s v="EL PASO ELECTRIC CO EE"/>
    <x v="216"/>
    <n v="3.1915160000000214E-3"/>
    <n v="31180335.296060592"/>
    <n v="12602070.723340033"/>
    <n v="-18578264.572720557"/>
    <n v="70.069999999999993"/>
    <n v="28.32"/>
    <n v="26.702999999999999"/>
    <x v="216"/>
    <m/>
  </r>
  <r>
    <x v="37"/>
    <s v="ENERSYS INC ENS"/>
    <x v="217"/>
    <n v="4.2790759999999E-3"/>
    <n v="41805532.053519942"/>
    <n v="72003484.785817459"/>
    <n v="30197952.732297517"/>
    <n v="59.57"/>
    <n v="102.6"/>
    <n v="12.543100000000001"/>
    <x v="217"/>
    <m/>
  </r>
  <r>
    <x v="88"/>
    <s v="ENSIGN GROUP INC ENSG"/>
    <x v="218"/>
    <n v="1.9635559999999995E-3"/>
    <n v="19183464.677160047"/>
    <n v="21769766.763780583"/>
    <n v="2586302.0866205357"/>
    <n v="111.26"/>
    <n v="126.26"/>
    <n v="30.531300000000002"/>
    <x v="218"/>
    <m/>
  </r>
  <r>
    <x v="89"/>
    <s v="ENSTAR GROUP LIMITED ESGR"/>
    <x v="219"/>
    <n v="3.6699559999999942E-3"/>
    <n v="35854577.762351304"/>
    <n v="143677657.00066993"/>
    <n v="107823079.23831862"/>
    <n v="82.95"/>
    <n v="332.4"/>
    <n v="5.0087000000000002"/>
    <x v="219"/>
    <m/>
  </r>
  <r>
    <x v="25"/>
    <s v="ENTEGRIS INC ENTG"/>
    <x v="220"/>
    <n v="2.7649160000000109E-3"/>
    <n v="27012557.02476266"/>
    <n v="142613217.30934229"/>
    <n v="115600660.28457963"/>
    <n v="19.82"/>
    <n v="104.64"/>
    <n v="53.988599999999998"/>
    <x v="220"/>
    <m/>
  </r>
  <r>
    <x v="13"/>
    <s v="ENTERGY CORP ETR"/>
    <x v="221"/>
    <n v="4.1257159999999234E-3"/>
    <n v="40307242.143332094"/>
    <n v="179859965.59760728"/>
    <n v="139552723.45427519"/>
    <n v="19.059999999999999"/>
    <n v="85.05"/>
    <n v="34.778399999999998"/>
    <x v="221"/>
    <m/>
  </r>
  <r>
    <x v="34"/>
    <s v="ENTERPRISE FINL SERVICES EFSC"/>
    <x v="222"/>
    <n v="3.4301960000000273E-3"/>
    <n v="33512180.860508293"/>
    <n v="51963490.842743933"/>
    <n v="18451309.98223564"/>
    <n v="38.450000000000003"/>
    <n v="59.62"/>
    <n v="12.2507"/>
    <x v="222"/>
    <m/>
  </r>
  <r>
    <x v="90"/>
    <s v="ENTRAVISION COMM EVC"/>
    <x v="223"/>
    <n v="2.0229559999999981E-3"/>
    <n v="19763788.233923022"/>
    <n v="1308780.6303144647"/>
    <n v="-18455007.603608556"/>
    <n v="32.92"/>
    <n v="2.1800000000000002"/>
    <n v="0"/>
    <x v="223"/>
    <m/>
  </r>
  <r>
    <x v="5"/>
    <s v="EPR PROPERTIES EPR"/>
    <x v="224"/>
    <n v="3.557636000000012E-3"/>
    <n v="34757238.673199646"/>
    <n v="6202002.595502181"/>
    <n v="-28555236.077697463"/>
    <n v="277.8"/>
    <n v="49.57"/>
    <n v="21.3782"/>
    <x v="224"/>
    <m/>
  </r>
  <r>
    <x v="39"/>
    <s v="EQT CORPORATION EQT"/>
    <x v="225"/>
    <n v="2.5975160000000067E-3"/>
    <n v="25377099.728430562"/>
    <n v="516568401.99234164"/>
    <n v="491191302.26391107"/>
    <n v="2.46"/>
    <n v="50.075000000000003"/>
    <n v="127.4905"/>
    <x v="225"/>
    <m/>
  </r>
  <r>
    <x v="4"/>
    <s v="EQUIFAX INC EFX"/>
    <x v="226"/>
    <n v="4.246675999999905E-3"/>
    <n v="41488991.931649275"/>
    <n v="201766180.37444556"/>
    <n v="160277188.44279629"/>
    <n v="48.95"/>
    <n v="238.05"/>
    <n v="49.017699999999998"/>
    <x v="226"/>
    <m/>
  </r>
  <r>
    <x v="46"/>
    <s v="EQUINIX INC EQIX"/>
    <x v="227"/>
    <n v="3.8330359999999689E-3"/>
    <n v="37447829.709100358"/>
    <n v="459386397.34938461"/>
    <n v="421938567.64028424"/>
    <n v="74.84"/>
    <n v="918.09"/>
    <n v="107.58499999999999"/>
    <x v="227"/>
    <m/>
  </r>
  <r>
    <x v="55"/>
    <s v="EQUITY COMMONWEALTH EQC"/>
    <x v="228"/>
    <n v="3.6343159999999998E-3"/>
    <n v="35506383.628293566"/>
    <n v="2499340.0335365986"/>
    <n v="-33007043.594756968"/>
    <n v="24.79"/>
    <n v="1.7450000000000001"/>
    <n v="4.5172999999999996"/>
    <x v="228"/>
    <m/>
  </r>
  <r>
    <x v="29"/>
    <s v="EQUITY RESIDENTIAL EQR"/>
    <x v="229"/>
    <n v="2.0413159999999979E-3"/>
    <n v="19943160.969649762"/>
    <n v="3668750.3695580889"/>
    <n v="-16274410.600091673"/>
    <n v="389.16"/>
    <n v="71.59"/>
    <n v="26.3156"/>
    <x v="229"/>
    <m/>
  </r>
  <r>
    <x v="40"/>
    <s v="ERIE INDEMNITY CO ERIE"/>
    <x v="230"/>
    <n v="2.5337960000000053E-3"/>
    <n v="24754570.822084796"/>
    <n v="261514018.20853689"/>
    <n v="236759447.38645211"/>
    <n v="36.33"/>
    <n v="383.8"/>
    <n v="35.870899999999999"/>
    <x v="230"/>
    <m/>
  </r>
  <r>
    <x v="91"/>
    <s v="ESSENT GROUP LTD ESNT"/>
    <x v="231"/>
    <n v="2.2562359999999987E-3"/>
    <n v="22042877.111392219"/>
    <n v="79405258.407683566"/>
    <n v="57362381.296291351"/>
    <n v="15.59"/>
    <n v="56.16"/>
    <n v="8.2669999999999995"/>
    <x v="231"/>
    <m/>
  </r>
  <r>
    <x v="70"/>
    <s v="ESTEE LAUDER COMPANIES EL"/>
    <x v="232"/>
    <n v="4.1656759999999177E-3"/>
    <n v="40697641.626972593"/>
    <n v="25342006.519389916"/>
    <n v="-15355635.107582677"/>
    <n v="115.25"/>
    <n v="71.765000000000001"/>
    <n v="0"/>
    <x v="232"/>
    <m/>
  </r>
  <r>
    <x v="24"/>
    <s v="ETSY INC ETSY"/>
    <x v="233"/>
    <n v="1.7929160000000001E-3"/>
    <n v="17516353.368640922"/>
    <n v="22699627.860504441"/>
    <n v="5183274.491863519"/>
    <n v="39.369999999999997"/>
    <n v="51.02"/>
    <n v="21.636900000000001"/>
    <x v="233"/>
    <m/>
  </r>
  <r>
    <x v="92"/>
    <s v="EVERCORE PARTNERS EVR"/>
    <x v="234"/>
    <n v="3.2789960000000232E-3"/>
    <n v="32034993.625111554"/>
    <n v="104549807.72886537"/>
    <n v="72514814.10375382"/>
    <n v="76.400000000000006"/>
    <n v="249.34"/>
    <n v="31.6782"/>
    <x v="234"/>
    <m/>
  </r>
  <r>
    <x v="27"/>
    <s v="EVERSOURCE ENERGY ES"/>
    <x v="235"/>
    <n v="3.9010759999999582E-3"/>
    <n v="38112563.96502877"/>
    <n v="39918757.138404466"/>
    <n v="1806193.1733756959"/>
    <n v="60.56"/>
    <n v="63.43"/>
    <n v="27.250599999999999"/>
    <x v="235"/>
    <m/>
  </r>
  <r>
    <x v="26"/>
    <s v="EVERTEC INC EVTC"/>
    <x v="236"/>
    <n v="3.8621959999999645E-3"/>
    <n v="37732715.818783961"/>
    <n v="15142344.556794725"/>
    <n v="-22590371.261989236"/>
    <n v="82.73"/>
    <n v="33.200000000000003"/>
    <n v="25.890799999999999"/>
    <x v="236"/>
    <m/>
  </r>
  <r>
    <x v="52"/>
    <s v="EXACT SCIENCES CORP EXAS"/>
    <x v="237"/>
    <n v="2.076955999999997E-3"/>
    <n v="20291355.103707548"/>
    <n v="9292072.5958149042"/>
    <n v="-10999282.507892644"/>
    <n v="107.09"/>
    <n v="49.04"/>
    <n v="0"/>
    <x v="237"/>
    <m/>
  </r>
  <r>
    <x v="13"/>
    <s v="EXELON CORP EXC"/>
    <x v="238"/>
    <n v="2.5999999999999999E-3"/>
    <n v="25401367.804440584"/>
    <n v="16940764.391905174"/>
    <n v="-8460603.4125354104"/>
    <n v="64.94"/>
    <n v="43.31"/>
    <n v="17.531099999999999"/>
    <x v="238"/>
    <m/>
  </r>
  <r>
    <x v="4"/>
    <s v="EXPONENT INC EXPO"/>
    <x v="239"/>
    <n v="4.3255159999998922E-3"/>
    <n v="42259239.561534569"/>
    <n v="67028090.366307855"/>
    <n v="24768850.804773286"/>
    <n v="53.59"/>
    <n v="85"/>
    <n v="39.986800000000002"/>
    <x v="239"/>
    <m/>
  </r>
  <r>
    <x v="28"/>
    <s v="EZCORP INC EZPW"/>
    <x v="240"/>
    <n v="3.8848759999999607E-3"/>
    <n v="37954293.904093429"/>
    <n v="13587336.391029483"/>
    <n v="-24366957.513063945"/>
    <n v="37.85"/>
    <n v="13.55"/>
    <n v="11.903700000000001"/>
    <x v="240"/>
    <m/>
  </r>
  <r>
    <x v="26"/>
    <s v="F5 NETWORKS INC FFIV"/>
    <x v="241"/>
    <n v="4.1613559999999173E-3"/>
    <n v="40655436.277389824"/>
    <n v="314503316.17249173"/>
    <n v="273847879.8951019"/>
    <n v="38.270000000000003"/>
    <n v="296.05"/>
    <n v="29.4057"/>
    <x v="241"/>
    <m/>
  </r>
  <r>
    <x v="93"/>
    <s v="FABRINET FN"/>
    <x v="242"/>
    <n v="2.4819560000000039E-3"/>
    <n v="24248106.627091628"/>
    <n v="64063599.901686244"/>
    <n v="39815493.27459462"/>
    <n v="85.42"/>
    <n v="225.68"/>
    <n v="25.037800000000001"/>
    <x v="242"/>
    <m/>
  </r>
  <r>
    <x v="26"/>
    <s v="FAIR ISAAC CORP FICO"/>
    <x v="243"/>
    <n v="3.6010360000000297E-3"/>
    <n v="35181246.120397024"/>
    <n v="2006190256.3523557"/>
    <n v="1971009010.2319586"/>
    <n v="29.89"/>
    <n v="1704.46"/>
    <n v="79.738600000000005"/>
    <x v="243"/>
    <m/>
  </r>
  <r>
    <x v="94"/>
    <s v="FASTENAL CO FAST"/>
    <x v="244"/>
    <n v="2.9128760000000143E-3"/>
    <n v="28458090.247972321"/>
    <n v="36716958.000996456"/>
    <n v="8258867.7530241348"/>
    <n v="58.13"/>
    <n v="75"/>
    <n v="37.3247"/>
    <x v="244"/>
    <m/>
  </r>
  <r>
    <x v="34"/>
    <s v="FB FINANCIAL CORP FBK"/>
    <x v="245"/>
    <n v="3.4712360000000255E-3"/>
    <n v="33913131.681544527"/>
    <n v="137247791.63901639"/>
    <n v="103334659.95747186"/>
    <n v="12.33"/>
    <n v="49.9"/>
    <n v="21.688700000000001"/>
    <x v="245"/>
    <m/>
  </r>
  <r>
    <x v="58"/>
    <s v="FBMSWaste Management FIRM"/>
    <x v="246"/>
    <n v="2.1860359999999967E-3"/>
    <n v="21357040.180672303"/>
    <n v="7868610.8350173663"/>
    <n v="-13488429.345654937"/>
    <n v="98.77"/>
    <n v="36.39"/>
    <n v="14.9046"/>
    <x v="246"/>
    <m/>
  </r>
  <r>
    <x v="28"/>
    <s v="FEDERAL AGRIC MTG CO"/>
    <x v="247"/>
    <n v="4.2509959999999037E-3"/>
    <n v="41531197.281232022"/>
    <n v="1351545671.2737908"/>
    <n v="1310014473.9925587"/>
    <n v="6.41"/>
    <n v="208.6"/>
    <n v="0"/>
    <x v="247"/>
    <m/>
  </r>
  <r>
    <x v="95"/>
    <s v="FEDERAL SIGNAL CORP FSS"/>
    <x v="248"/>
    <n v="2.1395959999999958E-3"/>
    <n v="20903332.672657594"/>
    <n v="52905580.80855719"/>
    <n v="32002248.135899596"/>
    <n v="37.14"/>
    <n v="94"/>
    <n v="26.5076"/>
    <x v="248"/>
    <m/>
  </r>
  <r>
    <x v="80"/>
    <s v="FEDEX CORP FDX"/>
    <x v="249"/>
    <n v="3.1375160000000199E-3"/>
    <n v="30652768.426276043"/>
    <n v="262673337.49109596"/>
    <n v="232020569.06481993"/>
    <n v="29.79"/>
    <n v="255.28"/>
    <n v="16.176400000000001"/>
    <x v="249"/>
    <m/>
  </r>
  <r>
    <x v="34"/>
    <s v="FIFTH THIRD BANCORP FITB"/>
    <x v="250"/>
    <n v="4.3568359999998875E-3"/>
    <n v="42565228.346009552"/>
    <n v="10050609.29053401"/>
    <n v="-32514619.05547554"/>
    <n v="182.49"/>
    <n v="43.09"/>
    <n v="13.6561"/>
    <x v="250"/>
    <m/>
  </r>
  <r>
    <x v="96"/>
    <s v="FIRST AMERICAN FINL CORP FAF"/>
    <x v="251"/>
    <n v="1.735676E-3"/>
    <n v="16957132.486669313"/>
    <n v="46166359.406834722"/>
    <n v="29209226.920165408"/>
    <n v="23.21"/>
    <n v="63.19"/>
    <n v="50.531799999999997"/>
    <x v="251"/>
    <m/>
  </r>
  <r>
    <x v="34"/>
    <s v="FIRST BANCORP INC FNLC"/>
    <x v="252"/>
    <n v="2.0899159999999968E-3"/>
    <n v="20417971.152455833"/>
    <n v="2903436.6293821917"/>
    <n v="-17514534.52307364"/>
    <n v="180.45"/>
    <n v="25.66"/>
    <n v="10.4664"/>
    <x v="252"/>
    <m/>
  </r>
  <r>
    <x v="34"/>
    <s v="FIRST BUSEY CORP BUSE"/>
    <x v="253"/>
    <n v="3.9593959999999493E-3"/>
    <n v="38682336.184395976"/>
    <n v="106697669.56703953"/>
    <n v="68015333.382643551"/>
    <n v="8.73"/>
    <n v="24.08"/>
    <n v="12.278499999999999"/>
    <x v="253"/>
    <m/>
  </r>
  <r>
    <x v="34"/>
    <s v="FIRST COMMONWLTH FINL FCF"/>
    <x v="254"/>
    <n v="4.3265959999998918E-3"/>
    <n v="42269790.898930259"/>
    <n v="15445640.755863305"/>
    <n v="-26824150.143066954"/>
    <n v="44.69"/>
    <n v="16.329999999999998"/>
    <n v="11.595800000000001"/>
    <x v="254"/>
    <m/>
  </r>
  <r>
    <x v="34"/>
    <s v="FIRST HORIZON NATL CORP FHN"/>
    <x v="255"/>
    <n v="2.440916000000003E-3"/>
    <n v="23847155.806055374"/>
    <n v="12134589.099857027"/>
    <n v="-11712566.706198348"/>
    <n v="41.25"/>
    <n v="20.99"/>
    <n v="15.3965"/>
    <x v="255"/>
    <m/>
  </r>
  <r>
    <x v="34"/>
    <s v="FIRST MERCHANTS CORP FRME"/>
    <x v="256"/>
    <n v="3.0327560000000171E-3"/>
    <n v="29629288.698894016"/>
    <n v="12649538.277693678"/>
    <n v="-16979750.421200339"/>
    <n v="102.5"/>
    <n v="43.76"/>
    <n v="12.737"/>
    <x v="256"/>
    <m/>
  </r>
  <r>
    <x v="13"/>
    <s v="FIRSTENERGY CORP FE"/>
    <x v="257"/>
    <n v="4.0220359999999398E-3"/>
    <n v="39294313.753345944"/>
    <n v="96381420.416429311"/>
    <n v="57087106.663083367"/>
    <n v="17.27"/>
    <n v="42.36"/>
    <n v="27.224900000000002"/>
    <x v="257"/>
    <m/>
  </r>
  <r>
    <x v="35"/>
    <s v="FLOWSERVE CORP FLS"/>
    <x v="258"/>
    <n v="3.2314760000000222E-3"/>
    <n v="31570734.779701155"/>
    <n v="49789772.672371693"/>
    <n v="18219037.892670538"/>
    <n v="35.35"/>
    <n v="55.75"/>
    <n v="26.089500000000001"/>
    <x v="258"/>
    <m/>
  </r>
  <r>
    <x v="11"/>
    <s v="FLUOR CORP FLR"/>
    <x v="259"/>
    <n v="4.4864359999998672E-3"/>
    <n v="43831388.833492242"/>
    <n v="108394996.06773196"/>
    <n v="64563607.23423972"/>
    <n v="15.37"/>
    <n v="38.01"/>
    <n v="3.077"/>
    <x v="259"/>
    <m/>
  </r>
  <r>
    <x v="97"/>
    <s v="FLUSHING FINANCIAL CORP FFIC"/>
    <x v="260"/>
    <n v="3.1353560000000197E-3"/>
    <n v="30631665.751484659"/>
    <n v="9415041.0999854393"/>
    <n v="-21216624.651499219"/>
    <n v="46.72"/>
    <n v="14.36"/>
    <n v="16.203900000000001"/>
    <x v="260"/>
    <m/>
  </r>
  <r>
    <x v="98"/>
    <s v="FORD MOTOR CO F"/>
    <x v="261"/>
    <n v="1.9505959999999998E-3"/>
    <n v="19056848.628411762"/>
    <n v="3450240.4310175045"/>
    <n v="-15606608.197394257"/>
    <n v="123.06"/>
    <n v="22.28"/>
    <n v="0"/>
    <x v="261"/>
    <m/>
  </r>
  <r>
    <x v="10"/>
    <s v="FORMFACTOR INC FORM"/>
    <x v="262"/>
    <n v="3.0781160000000183E-3"/>
    <n v="30072444.869513039"/>
    <n v="7467193.8089951882"/>
    <n v="-22605251.060517851"/>
    <n v="144.69999999999999"/>
    <n v="35.93"/>
    <n v="20.518599999999999"/>
    <x v="262"/>
    <m/>
  </r>
  <r>
    <x v="75"/>
    <s v="FORTIVE CORPORATION FTV"/>
    <x v="263"/>
    <n v="2.1374359999999956E-3"/>
    <n v="20882229.997866213"/>
    <n v="24575155.118314873"/>
    <n v="3692925.1204486601"/>
    <n v="68.28"/>
    <n v="80.355000000000004"/>
    <n v="33.940300000000001"/>
    <x v="263"/>
    <m/>
  </r>
  <r>
    <x v="80"/>
    <s v="FORWARD AIR CORP FWRD"/>
    <x v="264"/>
    <n v="3.7930759999999751E-3"/>
    <n v="37057430.225459859"/>
    <n v="106294322.82017107"/>
    <n v="69236892.594711214"/>
    <n v="9.8000000000000007"/>
    <n v="28.11"/>
    <n v="0"/>
    <x v="264"/>
    <m/>
  </r>
  <r>
    <x v="35"/>
    <s v="FRANKLIN ELECTRIC CO FELE"/>
    <x v="265"/>
    <n v="1.8220760000000002E-3"/>
    <n v="17801239.47832457"/>
    <n v="62256899.827758044"/>
    <n v="44455660.349433474"/>
    <n v="30.02"/>
    <n v="104.99"/>
    <n v="26.294"/>
    <x v="265"/>
    <m/>
  </r>
  <r>
    <x v="99"/>
    <s v="FRANK'S INTERNATIONAL FI"/>
    <x v="266"/>
    <n v="3.6883159999999914E-3"/>
    <n v="36033950.498078026"/>
    <n v="59040399.752329782"/>
    <n v="23006449.254251756"/>
    <n v="140.54"/>
    <n v="230.27"/>
    <n v="42.685400000000001"/>
    <x v="266"/>
    <m/>
  </r>
  <r>
    <x v="100"/>
    <s v="FREEPORT-MCMORAN INC FCX"/>
    <x v="267"/>
    <n v="3.5565560000000124E-3"/>
    <n v="34746687.335803963"/>
    <n v="101483254.92106766"/>
    <n v="66736567.585263692"/>
    <n v="12.73"/>
    <n v="37.18"/>
    <n v="28.452400000000001"/>
    <x v="267"/>
    <m/>
  </r>
  <r>
    <x v="45"/>
    <s v="FRONTLINE LTD FRO"/>
    <x v="268"/>
    <n v="3.5187560000000183E-3"/>
    <n v="34377390.526954845"/>
    <n v="1719764.1404967112"/>
    <n v="-32657626.386458132"/>
    <n v="326.63"/>
    <n v="16.34"/>
    <n v="6.5823"/>
    <x v="268"/>
    <m/>
  </r>
  <r>
    <x v="40"/>
    <s v="GALLAGHER ARTHUR J &amp; CO"/>
    <x v="269"/>
    <n v="3.0519560000000097E-3"/>
    <n v="29816868.030372892"/>
    <n v="2761448573.2674899"/>
    <n v="2731631705.2371168"/>
    <n v="3.52"/>
    <n v="326"/>
    <n v="50.493600000000001"/>
    <x v="269"/>
    <m/>
  </r>
  <r>
    <x v="24"/>
    <s v="GAMESTOP CORP GME"/>
    <x v="270"/>
    <n v="4.253155999999903E-3"/>
    <n v="41552299.956023395"/>
    <n v="1743072.518922003"/>
    <n v="-39809227.437101394"/>
    <n v="626"/>
    <n v="26.26"/>
    <n v="144.40110000000001"/>
    <x v="270"/>
    <m/>
  </r>
  <r>
    <x v="85"/>
    <s v="GANNETT CO INC GCI"/>
    <x v="271"/>
    <n v="2.3815160000000015E-3"/>
    <n v="23266832.24929237"/>
    <n v="2046486.6836615573"/>
    <n v="-21220345.565630812"/>
    <n v="48.66"/>
    <n v="4.28"/>
    <n v="0"/>
    <x v="271"/>
    <m/>
  </r>
  <r>
    <x v="18"/>
    <s v="GATX CORP GATX"/>
    <x v="272"/>
    <n v="3.6407959999999991E-3"/>
    <n v="35569691.652667709"/>
    <n v="110858193.24738456"/>
    <n v="75288501.594716847"/>
    <n v="52.38"/>
    <n v="163.25"/>
    <n v="20.571200000000001"/>
    <x v="272"/>
    <m/>
  </r>
  <r>
    <x v="12"/>
    <s v="GENERAL DYNAMICS CORP GD"/>
    <x v="273"/>
    <n v="3.6677959999999949E-3"/>
    <n v="35833475.087559931"/>
    <n v="110493329.69214794"/>
    <n v="74659854.604588002"/>
    <n v="79.260000000000005"/>
    <n v="244.4"/>
    <n v="18.0623"/>
    <x v="273"/>
    <m/>
  </r>
  <r>
    <x v="35"/>
    <s v="GENERAL ELECTRIC CO GE"/>
    <x v="274"/>
    <n v="4.2725959999999003E-3"/>
    <n v="41742224.0291458"/>
    <n v="49219731.911078379"/>
    <n v="7477507.881932579"/>
    <n v="171.63"/>
    <n v="202.375"/>
    <n v="33.075699999999998"/>
    <x v="274"/>
    <m/>
  </r>
  <r>
    <x v="98"/>
    <s v="GENERAL MTRS CO GM"/>
    <x v="275"/>
    <n v="2.7044360000000093E-3"/>
    <n v="26421682.130603965"/>
    <n v="24663585.410886973"/>
    <n v="-1758096.7197169922"/>
    <n v="49.97"/>
    <n v="46.645000000000003"/>
    <n v="7.5823"/>
    <x v="275"/>
    <m/>
  </r>
  <r>
    <x v="59"/>
    <s v="GENESCO INC GCO"/>
    <x v="276"/>
    <n v="2.4765560000000039E-3"/>
    <n v="24195349.940113176"/>
    <n v="65317060.567945011"/>
    <n v="41121710.627831832"/>
    <n v="13.98"/>
    <n v="37.74"/>
    <n v="0"/>
    <x v="276"/>
    <m/>
  </r>
  <r>
    <x v="4"/>
    <s v="GENPACT LTD G"/>
    <x v="277"/>
    <n v="2.0585959999999972E-3"/>
    <n v="20111982.367980808"/>
    <n v="9922731.3619803376"/>
    <n v="-10189251.00600047"/>
    <n v="107.91"/>
    <n v="53.24"/>
    <n v="18.611799999999999"/>
    <x v="277"/>
    <m/>
  </r>
  <r>
    <x v="78"/>
    <s v="GEO GROUP INC GEO"/>
    <x v="278"/>
    <n v="4.1937559999999123E-3"/>
    <n v="40971976.399260499"/>
    <n v="3472247.2243845635"/>
    <n v="-37499729.174875937"/>
    <n v="303.02"/>
    <n v="25.68"/>
    <n v="101.0642"/>
    <x v="278"/>
    <m/>
  </r>
  <r>
    <x v="17"/>
    <s v="GERON CORP GERN"/>
    <x v="279"/>
    <n v="3.4463960000000273E-3"/>
    <n v="33670450.921443656"/>
    <n v="1111350.6235030417"/>
    <n v="-32559100.297940616"/>
    <n v="77.56"/>
    <n v="2.56"/>
    <n v="0"/>
    <x v="279"/>
    <m/>
  </r>
  <r>
    <x v="79"/>
    <s v="GLAUKOS CORPORATION GKOS"/>
    <x v="280"/>
    <n v="2.3458760000000006E-3"/>
    <n v="22918638.115234569"/>
    <n v="14481326.13030309"/>
    <n v="-8437311.9849314783"/>
    <n v="201.77"/>
    <n v="127.49"/>
    <n v="0"/>
    <x v="280"/>
    <m/>
  </r>
  <r>
    <x v="101"/>
    <s v="GODADDY INC GDDY"/>
    <x v="281"/>
    <n v="4.4551159999998719E-3"/>
    <n v="43525400.049017258"/>
    <n v="20013335.042674188"/>
    <n v="-23512065.00634307"/>
    <n v="377.44"/>
    <n v="173.55"/>
    <n v="26.848400000000002"/>
    <x v="281"/>
    <m/>
  </r>
  <r>
    <x v="45"/>
    <s v="GOLAR LNG LTD BERMUDA GLNG"/>
    <x v="282"/>
    <n v="4.1354359999999221E-3"/>
    <n v="40402204.1798933"/>
    <n v="34142092.041221231"/>
    <n v="-6260112.1386720687"/>
    <n v="46.21"/>
    <n v="39.049999999999997"/>
    <n v="298.2389"/>
    <x v="282"/>
    <m/>
  </r>
  <r>
    <x v="35"/>
    <s v="GRACO INC GGG"/>
    <x v="283"/>
    <n v="4.1332759999999228E-3"/>
    <n v="40381101.505101919"/>
    <n v="315616932.0720613"/>
    <n v="275235830.56695938"/>
    <n v="11.03"/>
    <n v="86.21"/>
    <n v="30.351099999999999"/>
    <x v="283"/>
    <m/>
  </r>
  <r>
    <x v="68"/>
    <s v="GRAHAM HOLDINGS COMPANY GHC"/>
    <x v="284"/>
    <n v="4.0457959999999358E-3"/>
    <n v="39526443.176051103"/>
    <n v="418471416.1772756"/>
    <n v="378944973.00122452"/>
    <n v="87.46"/>
    <n v="925.95"/>
    <n v="18.206099999999999"/>
    <x v="284"/>
    <m/>
  </r>
  <r>
    <x v="11"/>
    <s v="GREAT LAKES DREDGE &amp; DOC GLDD"/>
    <x v="285"/>
    <n v="2.493836000000004E-3"/>
    <n v="24364171.338444225"/>
    <n v="1697413.8198130201"/>
    <n v="-22666757.518631205"/>
    <n v="122.15"/>
    <n v="8.51"/>
    <n v="10.0754"/>
    <x v="285"/>
    <m/>
  </r>
  <r>
    <x v="28"/>
    <s v="GREEN DOT CORP GDOT"/>
    <x v="286"/>
    <n v="2.6169560000000071E-3"/>
    <n v="25567023.801552996"/>
    <n v="2535693.1846096269"/>
    <n v="-23031330.616943371"/>
    <n v="87.62"/>
    <n v="8.69"/>
    <n v="0"/>
    <x v="286"/>
    <m/>
  </r>
  <r>
    <x v="83"/>
    <s v="GREENBRIER COMPANIES INC GBX"/>
    <x v="287"/>
    <n v="3.1407560000000201E-3"/>
    <n v="30684422.438463118"/>
    <n v="28512765.249590218"/>
    <n v="-2171657.1888728999"/>
    <n v="58.92"/>
    <n v="54.75"/>
    <n v="9.6060999999999996"/>
    <x v="287"/>
    <m/>
  </r>
  <r>
    <x v="41"/>
    <s v="GREIF INC GEF"/>
    <x v="288"/>
    <n v="1.9527559999999997E-3"/>
    <n v="19077951.303203143"/>
    <n v="15725046.301534094"/>
    <n v="-3352905.0016690493"/>
    <n v="73.23"/>
    <n v="60.36"/>
    <n v="12.319800000000001"/>
    <x v="288"/>
    <m/>
  </r>
  <r>
    <x v="1"/>
    <s v="GRIFFON CORP GFF"/>
    <x v="289"/>
    <n v="2.259676E-3"/>
    <n v="22076485.074948877"/>
    <n v="475594307.54934371"/>
    <n v="453517822.4743948"/>
    <n v="3.37"/>
    <n v="72.599999999999994"/>
    <n v="14.7676"/>
    <x v="289"/>
    <m/>
  </r>
  <r>
    <x v="59"/>
    <s v="GUESS INC GES"/>
    <x v="290"/>
    <n v="1.7065160000000002E-3"/>
    <n v="16672246.376985665"/>
    <n v="386755.51304170967"/>
    <n v="-16285490.863943955"/>
    <n v="519.02"/>
    <n v="12.04"/>
    <n v="9.1803000000000008"/>
    <x v="290"/>
    <m/>
  </r>
  <r>
    <x v="60"/>
    <s v="HB FULLER COMPANY FUL"/>
    <x v="291"/>
    <n v="3.4679960000000261E-3"/>
    <n v="33881477.669357456"/>
    <n v="21513881.786752917"/>
    <n v="-12367595.882604539"/>
    <n v="90.98"/>
    <n v="57.77"/>
    <n v="24.9771"/>
    <x v="291"/>
    <m/>
  </r>
  <r>
    <x v="90"/>
    <s v="LIBERTY FORMULA 1 SER C FWONK"/>
    <x v="292"/>
    <n v="3.9745159999999471E-3"/>
    <n v="38830054.907935627"/>
    <n v="49075882.799543358"/>
    <n v="10245827.891607732"/>
    <n v="76.099999999999994"/>
    <n v="96.18"/>
    <n v="83.807900000000004"/>
    <x v="292"/>
    <m/>
  </r>
  <r>
    <x v="102"/>
    <s v="ON ASSIGNMENT INC"/>
    <x v="293"/>
    <n v="3.8935159999999593E-3"/>
    <n v="38038704.603258945"/>
    <n v="96741291.970318332"/>
    <n v="58702587.367059387"/>
    <n v="26.6"/>
    <n v="67.650000000000006"/>
    <n v="17.465900000000001"/>
    <x v="293"/>
    <m/>
  </r>
  <r>
    <x v="34"/>
    <s v="POPULAR INC BPOP"/>
    <x v="294"/>
    <n v="2.9852360000000161E-3"/>
    <n v="29165029.853483614"/>
    <n v="97801094.165215522"/>
    <n v="68636064.311731905"/>
    <n v="30.28"/>
    <n v="101.54"/>
    <n v="11.7629"/>
    <x v="294"/>
    <m/>
  </r>
  <r>
    <x v="52"/>
    <s v="QUEST DIAGNOSTICS INC DGX"/>
    <x v="295"/>
    <n v="3.7369159999999838E-3"/>
    <n v="36508760.680884026"/>
    <n v="195452664.2682218"/>
    <n v="158943903.58733776"/>
    <n v="32.1"/>
    <n v="171.85"/>
    <n v="22.6767"/>
    <x v="295"/>
    <m/>
  </r>
  <r>
    <x v="9"/>
    <s v="SALESFORCE COM INC CRM"/>
    <x v="296"/>
    <n v="2.4344360000000029E-3"/>
    <n v="23783847.781681228"/>
    <n v="910577436.94546962"/>
    <n v="886793589.16378844"/>
    <n v="8.16"/>
    <n v="312.41000000000003"/>
    <n v="50.619900000000001"/>
    <x v="296"/>
    <m/>
  </r>
  <r>
    <x v="34"/>
    <s v="SIERRA BANCORP BSRR"/>
    <x v="297"/>
    <n v="2.0283559999999981E-3"/>
    <n v="19816544.920901474"/>
    <n v="558752486.22766113"/>
    <n v="538935941.30675972"/>
    <n v="1.07"/>
    <n v="30.17"/>
    <n v="11.837899999999999"/>
    <x v="297"/>
    <m/>
  </r>
  <r>
    <x v="60"/>
    <s v="THE CHEMOURS COMPANY CC"/>
    <x v="298"/>
    <n v="4.1235559999999232E-3"/>
    <n v="40286139.468540713"/>
    <n v="20712922.875584275"/>
    <n v="-19573216.592956439"/>
    <n v="32.520000000000003"/>
    <n v="16.72"/>
    <n v="28.302499999999998"/>
    <x v="2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BD28D-A57E-4C5C-84BE-72B3430D437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ck">
  <location ref="A307:F607" firstHeaderRow="0" firstDataRow="1" firstDataCol="1"/>
  <pivotFields count="13">
    <pivotField showAll="0">
      <items count="104">
        <item x="12"/>
        <item x="32"/>
        <item x="22"/>
        <item x="19"/>
        <item x="64"/>
        <item x="59"/>
        <item x="14"/>
        <item x="49"/>
        <item x="98"/>
        <item x="8"/>
        <item x="51"/>
        <item x="34"/>
        <item x="56"/>
        <item x="17"/>
        <item x="90"/>
        <item x="1"/>
        <item x="6"/>
        <item x="4"/>
        <item x="92"/>
        <item x="47"/>
        <item x="61"/>
        <item x="93"/>
        <item x="100"/>
        <item x="28"/>
        <item x="86"/>
        <item x="52"/>
        <item x="81"/>
        <item x="35"/>
        <item x="3"/>
        <item x="36"/>
        <item x="68"/>
        <item x="37"/>
        <item x="50"/>
        <item x="11"/>
        <item x="16"/>
        <item x="44"/>
        <item x="38"/>
        <item x="82"/>
        <item x="71"/>
        <item x="66"/>
        <item x="33"/>
        <item x="70"/>
        <item x="94"/>
        <item x="74"/>
        <item x="65"/>
        <item x="89"/>
        <item x="15"/>
        <item x="23"/>
        <item x="96"/>
        <item x="40"/>
        <item x="80"/>
        <item x="101"/>
        <item x="57"/>
        <item x="88"/>
        <item x="53"/>
        <item x="72"/>
        <item x="0"/>
        <item x="7"/>
        <item x="2"/>
        <item x="79"/>
        <item x="21"/>
        <item x="39"/>
        <item x="69"/>
        <item x="99"/>
        <item x="62"/>
        <item x="41"/>
        <item x="73"/>
        <item x="76"/>
        <item x="95"/>
        <item x="85"/>
        <item x="83"/>
        <item x="20"/>
        <item x="46"/>
        <item x="78"/>
        <item x="67"/>
        <item x="84"/>
        <item x="55"/>
        <item x="29"/>
        <item x="5"/>
        <item x="18"/>
        <item x="54"/>
        <item x="42"/>
        <item x="63"/>
        <item x="97"/>
        <item x="75"/>
        <item x="25"/>
        <item x="10"/>
        <item x="45"/>
        <item x="9"/>
        <item x="26"/>
        <item x="60"/>
        <item x="91"/>
        <item x="24"/>
        <item x="102"/>
        <item x="77"/>
        <item x="31"/>
        <item x="43"/>
        <item x="13"/>
        <item x="87"/>
        <item x="27"/>
        <item x="48"/>
        <item x="30"/>
        <item x="58"/>
        <item t="default"/>
      </items>
    </pivotField>
    <pivotField showAll="0"/>
    <pivotField axis="axisRow" showAll="0" sortType="descending">
      <items count="300">
        <item x="21"/>
        <item x="1"/>
        <item x="3"/>
        <item x="40"/>
        <item x="4"/>
        <item x="2"/>
        <item x="6"/>
        <item x="11"/>
        <item x="55"/>
        <item x="9"/>
        <item x="19"/>
        <item x="53"/>
        <item x="8"/>
        <item x="62"/>
        <item x="7"/>
        <item x="32"/>
        <item x="33"/>
        <item x="13"/>
        <item x="15"/>
        <item x="16"/>
        <item x="17"/>
        <item x="247"/>
        <item x="65"/>
        <item x="18"/>
        <item x="49"/>
        <item x="269"/>
        <item x="5"/>
        <item x="20"/>
        <item x="22"/>
        <item x="25"/>
        <item x="23"/>
        <item x="26"/>
        <item x="29"/>
        <item x="10"/>
        <item x="41"/>
        <item x="31"/>
        <item x="14"/>
        <item x="35"/>
        <item x="42"/>
        <item x="37"/>
        <item x="39"/>
        <item x="28"/>
        <item x="63"/>
        <item x="44"/>
        <item x="45"/>
        <item x="47"/>
        <item x="27"/>
        <item x="48"/>
        <item x="43"/>
        <item x="46"/>
        <item x="52"/>
        <item x="51"/>
        <item x="56"/>
        <item x="57"/>
        <item x="59"/>
        <item x="54"/>
        <item x="293"/>
        <item x="58"/>
        <item x="24"/>
        <item x="60"/>
        <item x="61"/>
        <item x="50"/>
        <item x="68"/>
        <item x="12"/>
        <item x="38"/>
        <item x="97"/>
        <item x="69"/>
        <item x="66"/>
        <item x="36"/>
        <item x="34"/>
        <item x="70"/>
        <item x="64"/>
        <item x="87"/>
        <item x="73"/>
        <item x="90"/>
        <item x="72"/>
        <item x="78"/>
        <item x="100"/>
        <item x="88"/>
        <item x="71"/>
        <item x="80"/>
        <item x="95"/>
        <item x="98"/>
        <item x="103"/>
        <item x="79"/>
        <item x="81"/>
        <item x="82"/>
        <item x="76"/>
        <item x="102"/>
        <item x="83"/>
        <item x="77"/>
        <item x="85"/>
        <item x="84"/>
        <item x="75"/>
        <item x="96"/>
        <item x="74"/>
        <item x="89"/>
        <item x="93"/>
        <item x="86"/>
        <item x="294"/>
        <item x="99"/>
        <item x="297"/>
        <item x="92"/>
        <item x="101"/>
        <item x="253"/>
        <item x="91"/>
        <item x="94"/>
        <item x="141"/>
        <item x="109"/>
        <item x="174"/>
        <item x="105"/>
        <item x="127"/>
        <item x="108"/>
        <item x="67"/>
        <item x="117"/>
        <item x="118"/>
        <item x="133"/>
        <item x="104"/>
        <item x="298"/>
        <item x="114"/>
        <item x="149"/>
        <item x="119"/>
        <item x="150"/>
        <item x="120"/>
        <item x="122"/>
        <item x="123"/>
        <item x="124"/>
        <item x="151"/>
        <item x="143"/>
        <item x="160"/>
        <item x="134"/>
        <item x="135"/>
        <item x="129"/>
        <item x="128"/>
        <item x="137"/>
        <item x="136"/>
        <item x="132"/>
        <item x="139"/>
        <item x="154"/>
        <item x="126"/>
        <item x="146"/>
        <item x="144"/>
        <item x="145"/>
        <item x="147"/>
        <item x="158"/>
        <item x="159"/>
        <item x="156"/>
        <item x="157"/>
        <item x="178"/>
        <item x="138"/>
        <item x="171"/>
        <item x="148"/>
        <item x="121"/>
        <item x="161"/>
        <item x="162"/>
        <item x="165"/>
        <item x="164"/>
        <item x="112"/>
        <item x="153"/>
        <item x="155"/>
        <item x="166"/>
        <item x="163"/>
        <item x="168"/>
        <item x="172"/>
        <item x="111"/>
        <item x="130"/>
        <item x="167"/>
        <item x="110"/>
        <item x="106"/>
        <item x="116"/>
        <item x="125"/>
        <item x="296"/>
        <item x="175"/>
        <item x="115"/>
        <item x="170"/>
        <item x="113"/>
        <item x="176"/>
        <item x="140"/>
        <item x="152"/>
        <item x="177"/>
        <item x="173"/>
        <item x="180"/>
        <item x="131"/>
        <item x="179"/>
        <item x="107"/>
        <item x="181"/>
        <item x="142"/>
        <item x="183"/>
        <item x="203"/>
        <item x="202"/>
        <item x="193"/>
        <item x="187"/>
        <item x="186"/>
        <item x="189"/>
        <item x="195"/>
        <item x="198"/>
        <item x="295"/>
        <item x="184"/>
        <item x="194"/>
        <item x="197"/>
        <item x="196"/>
        <item x="182"/>
        <item x="188"/>
        <item x="199"/>
        <item x="200"/>
        <item x="30"/>
        <item x="192"/>
        <item x="201"/>
        <item x="204"/>
        <item x="185"/>
        <item x="206"/>
        <item x="190"/>
        <item x="205"/>
        <item x="191"/>
        <item x="207"/>
        <item x="211"/>
        <item x="212"/>
        <item x="216"/>
        <item x="222"/>
        <item x="226"/>
        <item x="214"/>
        <item x="232"/>
        <item x="209"/>
        <item x="217"/>
        <item x="218"/>
        <item x="220"/>
        <item x="213"/>
        <item x="224"/>
        <item x="228"/>
        <item x="227"/>
        <item x="229"/>
        <item x="225"/>
        <item x="230"/>
        <item x="235"/>
        <item x="219"/>
        <item x="231"/>
        <item x="208"/>
        <item x="210"/>
        <item x="221"/>
        <item x="233"/>
        <item x="223"/>
        <item x="234"/>
        <item x="236"/>
        <item x="215"/>
        <item x="237"/>
        <item x="238"/>
        <item x="239"/>
        <item x="240"/>
        <item x="261"/>
        <item x="251"/>
        <item x="244"/>
        <item x="245"/>
        <item x="246"/>
        <item x="254"/>
        <item x="267"/>
        <item x="249"/>
        <item x="257"/>
        <item x="265"/>
        <item x="260"/>
        <item x="241"/>
        <item x="255"/>
        <item x="266"/>
        <item x="243"/>
        <item x="250"/>
        <item x="259"/>
        <item x="258"/>
        <item x="242"/>
        <item x="252"/>
        <item x="262"/>
        <item x="0"/>
        <item x="256"/>
        <item x="268"/>
        <item x="248"/>
        <item x="263"/>
        <item x="291"/>
        <item x="292"/>
        <item x="264"/>
        <item x="277"/>
        <item x="272"/>
        <item x="287"/>
        <item x="271"/>
        <item x="276"/>
        <item x="273"/>
        <item x="281"/>
        <item x="286"/>
        <item x="274"/>
        <item x="288"/>
        <item x="278"/>
        <item x="279"/>
        <item x="290"/>
        <item x="289"/>
        <item x="283"/>
        <item x="284"/>
        <item x="280"/>
        <item x="285"/>
        <item x="282"/>
        <item x="169"/>
        <item x="275"/>
        <item x="270"/>
        <item t="default"/>
      </items>
      <autoSortScope>
        <pivotArea dataOnly="0" outline="0" fieldPosition="0">
          <references count="1">
            <reference field="4294967294" count="1" selected="0">
              <x v="1"/>
            </reference>
          </references>
        </pivotArea>
      </autoSortScope>
    </pivotField>
    <pivotField numFmtId="165" showAll="0"/>
    <pivotField dataField="1" numFmtId="166" showAll="0"/>
    <pivotField dataField="1" numFmtId="167" showAll="0"/>
    <pivotField dataField="1" numFmtId="167" showAll="0"/>
    <pivotField numFmtId="167" showAll="0"/>
    <pivotField numFmtId="167" showAll="0"/>
    <pivotField dataField="1" showAll="0"/>
    <pivotField numFmtId="9" showAll="0"/>
    <pivotField showAll="0"/>
    <pivotField dataField="1" dragToRow="0" dragToCol="0" dragToPage="0" showAll="0" defaultSubtotal="0"/>
  </pivotFields>
  <rowFields count="1">
    <field x="2"/>
  </rowFields>
  <rowItems count="300">
    <i>
      <x v="71"/>
    </i>
    <i>
      <x v="25"/>
    </i>
    <i>
      <x v="262"/>
    </i>
    <i>
      <x v="148"/>
    </i>
    <i>
      <x v="5"/>
    </i>
    <i>
      <x v="21"/>
    </i>
    <i>
      <x v="190"/>
    </i>
    <i>
      <x v="201"/>
    </i>
    <i>
      <x v="87"/>
    </i>
    <i>
      <x v="171"/>
    </i>
    <i>
      <x v="13"/>
    </i>
    <i>
      <x v="194"/>
    </i>
    <i>
      <x v="63"/>
    </i>
    <i>
      <x v="237"/>
    </i>
    <i>
      <x v="183"/>
    </i>
    <i>
      <x v="16"/>
    </i>
    <i>
      <x v="116"/>
    </i>
    <i>
      <x v="101"/>
    </i>
    <i>
      <x v="231"/>
    </i>
    <i>
      <x v="290"/>
    </i>
    <i>
      <x v="9"/>
    </i>
    <i>
      <x v="229"/>
    </i>
    <i>
      <x v="197"/>
    </i>
    <i>
      <x v="216"/>
    </i>
    <i>
      <x v="292"/>
    </i>
    <i>
      <x v="65"/>
    </i>
    <i>
      <x v="181"/>
    </i>
    <i>
      <x v="291"/>
    </i>
    <i>
      <x v="259"/>
    </i>
    <i>
      <x v="51"/>
    </i>
    <i>
      <x v="110"/>
    </i>
    <i>
      <x v="189"/>
    </i>
    <i>
      <x v="255"/>
    </i>
    <i>
      <x v="232"/>
    </i>
    <i>
      <x v="143"/>
    </i>
    <i>
      <x v="144"/>
    </i>
    <i>
      <x v="132"/>
    </i>
    <i>
      <x v="203"/>
    </i>
    <i>
      <x v="191"/>
    </i>
    <i>
      <x v="67"/>
    </i>
    <i>
      <x v="207"/>
    </i>
    <i>
      <x v="40"/>
    </i>
    <i>
      <x v="18"/>
    </i>
    <i>
      <x v="219"/>
    </i>
    <i>
      <x v="196"/>
    </i>
    <i>
      <x v="44"/>
    </i>
    <i>
      <x v="111"/>
    </i>
    <i>
      <x v="45"/>
    </i>
    <i>
      <x v="36"/>
    </i>
    <i>
      <x v="1"/>
    </i>
    <i>
      <x v="238"/>
    </i>
    <i>
      <x v="226"/>
    </i>
    <i>
      <x v="184"/>
    </i>
    <i>
      <x v="175"/>
    </i>
    <i>
      <x v="114"/>
    </i>
    <i>
      <x v="77"/>
    </i>
    <i>
      <x v="91"/>
    </i>
    <i>
      <x v="215"/>
    </i>
    <i>
      <x v="10"/>
    </i>
    <i>
      <x v="131"/>
    </i>
    <i>
      <x v="234"/>
    </i>
    <i>
      <x v="195"/>
    </i>
    <i>
      <x v="225"/>
    </i>
    <i>
      <x v="208"/>
    </i>
    <i>
      <x v="163"/>
    </i>
    <i>
      <x v="251"/>
    </i>
    <i>
      <x v="100"/>
    </i>
    <i>
      <x v="4"/>
    </i>
    <i>
      <x v="173"/>
    </i>
    <i>
      <x v="34"/>
    </i>
    <i>
      <x v="222"/>
    </i>
    <i>
      <x v="23"/>
    </i>
    <i>
      <x v="168"/>
    </i>
    <i>
      <x v="269"/>
    </i>
    <i>
      <x v="296"/>
    </i>
    <i>
      <x v="130"/>
    </i>
    <i>
      <x v="278"/>
    </i>
    <i>
      <x v="282"/>
    </i>
    <i>
      <x v="165"/>
    </i>
    <i>
      <x v="188"/>
    </i>
    <i>
      <x v="76"/>
    </i>
    <i>
      <x v="264"/>
    </i>
    <i>
      <x v="42"/>
    </i>
    <i>
      <x v="104"/>
    </i>
    <i>
      <x v="276"/>
    </i>
    <i>
      <x v="109"/>
    </i>
    <i>
      <x v="127"/>
    </i>
    <i>
      <x v="14"/>
    </i>
    <i>
      <x v="241"/>
    </i>
    <i>
      <x v="174"/>
    </i>
    <i>
      <x v="86"/>
    </i>
    <i>
      <x v="254"/>
    </i>
    <i>
      <x v="85"/>
    </i>
    <i>
      <x v="137"/>
    </i>
    <i>
      <x v="99"/>
    </i>
    <i>
      <x v="56"/>
    </i>
    <i>
      <x v="256"/>
    </i>
    <i>
      <x v="96"/>
    </i>
    <i>
      <x v="205"/>
    </i>
    <i>
      <x v="79"/>
    </i>
    <i>
      <x v="121"/>
    </i>
    <i>
      <x v="182"/>
    </i>
    <i>
      <x v="170"/>
    </i>
    <i>
      <x v="69"/>
    </i>
    <i>
      <x v="41"/>
    </i>
    <i>
      <x v="235"/>
    </i>
    <i>
      <x v="198"/>
    </i>
    <i>
      <x v="50"/>
    </i>
    <i>
      <x v="211"/>
    </i>
    <i>
      <x v="138"/>
    </i>
    <i>
      <x v="74"/>
    </i>
    <i>
      <x v="223"/>
    </i>
    <i>
      <x v="176"/>
    </i>
    <i>
      <x v="187"/>
    </i>
    <i>
      <x v="135"/>
    </i>
    <i>
      <x v="246"/>
    </i>
    <i>
      <x v="24"/>
    </i>
    <i>
      <x v="3"/>
    </i>
    <i>
      <x v="281"/>
    </i>
    <i>
      <x v="72"/>
    </i>
    <i>
      <x v="204"/>
    </i>
    <i>
      <x v="266"/>
    </i>
    <i>
      <x v="134"/>
    </i>
    <i>
      <x v="257"/>
    </i>
    <i>
      <x v="161"/>
    </i>
    <i>
      <x v="261"/>
    </i>
    <i>
      <x v="172"/>
    </i>
    <i>
      <x v="149"/>
    </i>
    <i>
      <x v="2"/>
    </i>
    <i>
      <x v="212"/>
    </i>
    <i>
      <x v="108"/>
    </i>
    <i>
      <x v="272"/>
    </i>
    <i>
      <x v="90"/>
    </i>
    <i>
      <x v="218"/>
    </i>
    <i>
      <x v="80"/>
    </i>
    <i>
      <x v="39"/>
    </i>
    <i>
      <x v="169"/>
    </i>
    <i>
      <x v="265"/>
    </i>
    <i>
      <x v="192"/>
    </i>
    <i>
      <x v="285"/>
    </i>
    <i>
      <x v="275"/>
    </i>
    <i>
      <x v="32"/>
    </i>
    <i>
      <x v="117"/>
    </i>
    <i>
      <x v="19"/>
    </i>
    <i>
      <x v="151"/>
    </i>
    <i>
      <x v="249"/>
    </i>
    <i>
      <x v="92"/>
    </i>
    <i>
      <x v="185"/>
    </i>
    <i>
      <x v="146"/>
    </i>
    <i>
      <x v="58"/>
    </i>
    <i>
      <x v="160"/>
    </i>
    <i>
      <x v="162"/>
    </i>
    <i>
      <x v="98"/>
    </i>
    <i>
      <x v="233"/>
    </i>
    <i>
      <x v="178"/>
    </i>
    <i>
      <x v="154"/>
    </i>
    <i>
      <x v="7"/>
    </i>
    <i>
      <x v="78"/>
    </i>
    <i>
      <x v="49"/>
    </i>
    <i>
      <x v="179"/>
    </i>
    <i>
      <x v="250"/>
    </i>
    <i>
      <x v="220"/>
    </i>
    <i>
      <x v="142"/>
    </i>
    <i>
      <x v="66"/>
    </i>
    <i>
      <x v="158"/>
    </i>
    <i>
      <x v="159"/>
    </i>
    <i>
      <x v="295"/>
    </i>
    <i>
      <x v="26"/>
    </i>
    <i>
      <x v="29"/>
    </i>
    <i>
      <x v="141"/>
    </i>
    <i>
      <x v="115"/>
    </i>
    <i>
      <x v="27"/>
    </i>
    <i>
      <x v="209"/>
    </i>
    <i>
      <x v="112"/>
    </i>
    <i>
      <x v="177"/>
    </i>
    <i>
      <x v="59"/>
    </i>
    <i>
      <x v="279"/>
    </i>
    <i>
      <x v="75"/>
    </i>
    <i>
      <x v="35"/>
    </i>
    <i>
      <x v="236"/>
    </i>
    <i>
      <x v="221"/>
    </i>
    <i>
      <x v="119"/>
    </i>
    <i>
      <x v="297"/>
    </i>
    <i>
      <x v="273"/>
    </i>
    <i>
      <x v="38"/>
    </i>
    <i>
      <x v="82"/>
    </i>
    <i>
      <x v="166"/>
    </i>
    <i>
      <x v="106"/>
    </i>
    <i>
      <x v="152"/>
    </i>
    <i>
      <x v="239"/>
    </i>
    <i>
      <x v="224"/>
    </i>
    <i>
      <x v="274"/>
    </i>
    <i>
      <x v="107"/>
    </i>
    <i>
      <x v="118"/>
    </i>
    <i>
      <x v="283"/>
    </i>
    <i>
      <x v="15"/>
    </i>
    <i>
      <x v="43"/>
    </i>
    <i>
      <x v="68"/>
    </i>
    <i>
      <x v="61"/>
    </i>
    <i>
      <x v="48"/>
    </i>
    <i>
      <x v="113"/>
    </i>
    <i>
      <x v="245"/>
    </i>
    <i>
      <x v="84"/>
    </i>
    <i>
      <x v="199"/>
    </i>
    <i>
      <x v="286"/>
    </i>
    <i>
      <x v="93"/>
    </i>
    <i>
      <x v="253"/>
    </i>
    <i>
      <x v="242"/>
    </i>
    <i>
      <x v="213"/>
    </i>
    <i>
      <x v="30"/>
    </i>
    <i>
      <x v="17"/>
    </i>
    <i>
      <x v="243"/>
    </i>
    <i>
      <x v="293"/>
    </i>
    <i>
      <x v="103"/>
    </i>
    <i>
      <x v="180"/>
    </i>
    <i>
      <x v="12"/>
    </i>
    <i>
      <x v="147"/>
    </i>
    <i>
      <x v="102"/>
    </i>
    <i>
      <x v="120"/>
    </i>
    <i>
      <x v="53"/>
    </i>
    <i>
      <x v="247"/>
    </i>
    <i>
      <x v="129"/>
    </i>
    <i>
      <x v="123"/>
    </i>
    <i>
      <x v="270"/>
    </i>
    <i>
      <x v="217"/>
    </i>
    <i>
      <x v="57"/>
    </i>
    <i>
      <x v="260"/>
    </i>
    <i>
      <x v="52"/>
    </i>
    <i>
      <x v="164"/>
    </i>
    <i>
      <x v="136"/>
    </i>
    <i>
      <x v="125"/>
    </i>
    <i>
      <x v="70"/>
    </i>
    <i>
      <x v="73"/>
    </i>
    <i>
      <x v="31"/>
    </i>
    <i>
      <x v="263"/>
    </i>
    <i>
      <x/>
    </i>
    <i>
      <x v="124"/>
    </i>
    <i>
      <x v="277"/>
    </i>
    <i>
      <x v="97"/>
    </i>
    <i>
      <x v="88"/>
    </i>
    <i>
      <x v="186"/>
    </i>
    <i>
      <x v="258"/>
    </i>
    <i>
      <x v="244"/>
    </i>
    <i>
      <x v="155"/>
    </i>
    <i>
      <x v="214"/>
    </i>
    <i>
      <x v="37"/>
    </i>
    <i>
      <x v="94"/>
    </i>
    <i>
      <x v="252"/>
    </i>
    <i>
      <x v="128"/>
    </i>
    <i>
      <x v="167"/>
    </i>
    <i>
      <x v="28"/>
    </i>
    <i>
      <x v="268"/>
    </i>
    <i>
      <x v="46"/>
    </i>
    <i>
      <x v="95"/>
    </i>
    <i>
      <x v="6"/>
    </i>
    <i>
      <x v="11"/>
    </i>
    <i>
      <x v="227"/>
    </i>
    <i>
      <x v="54"/>
    </i>
    <i>
      <x v="140"/>
    </i>
    <i>
      <x v="145"/>
    </i>
    <i>
      <x v="47"/>
    </i>
    <i>
      <x v="206"/>
    </i>
    <i>
      <x v="83"/>
    </i>
    <i>
      <x v="122"/>
    </i>
    <i>
      <x v="105"/>
    </i>
    <i>
      <x v="202"/>
    </i>
    <i>
      <x v="230"/>
    </i>
    <i>
      <x v="150"/>
    </i>
    <i>
      <x v="8"/>
    </i>
    <i>
      <x v="287"/>
    </i>
    <i>
      <x v="55"/>
    </i>
    <i>
      <x v="248"/>
    </i>
    <i>
      <x v="139"/>
    </i>
    <i>
      <x v="267"/>
    </i>
    <i>
      <x v="62"/>
    </i>
    <i>
      <x v="193"/>
    </i>
    <i>
      <x v="153"/>
    </i>
    <i>
      <x v="89"/>
    </i>
    <i>
      <x v="284"/>
    </i>
    <i>
      <x v="228"/>
    </i>
    <i>
      <x v="64"/>
    </i>
    <i>
      <x v="157"/>
    </i>
    <i>
      <x v="20"/>
    </i>
    <i>
      <x v="280"/>
    </i>
    <i>
      <x v="298"/>
    </i>
    <i>
      <x v="271"/>
    </i>
    <i>
      <x v="294"/>
    </i>
    <i>
      <x v="240"/>
    </i>
    <i>
      <x v="288"/>
    </i>
    <i>
      <x v="133"/>
    </i>
    <i>
      <x v="81"/>
    </i>
    <i>
      <x v="210"/>
    </i>
    <i>
      <x v="126"/>
    </i>
    <i>
      <x v="22"/>
    </i>
    <i>
      <x v="289"/>
    </i>
    <i>
      <x v="156"/>
    </i>
    <i>
      <x v="200"/>
    </i>
    <i>
      <x v="33"/>
    </i>
    <i>
      <x v="60"/>
    </i>
    <i t="grand">
      <x/>
    </i>
  </rowItems>
  <colFields count="1">
    <field x="-2"/>
  </colFields>
  <colItems count="5">
    <i>
      <x/>
    </i>
    <i i="1">
      <x v="1"/>
    </i>
    <i i="2">
      <x v="2"/>
    </i>
    <i i="3">
      <x v="3"/>
    </i>
    <i i="4">
      <x v="4"/>
    </i>
  </colItems>
  <dataFields count="5">
    <dataField name="Sum of Invested Dollars 2018" fld="4" baseField="0" baseItem="0" numFmtId="166"/>
    <dataField name="Sum of Invested Dollars 2025" fld="5" baseField="0" baseItem="0" numFmtId="167"/>
    <dataField name="Sum of 7 Year Total Return" fld="6" baseField="0" baseItem="0" numFmtId="167"/>
    <dataField name="Average of Current P/E" fld="9" subtotal="average" baseField="2" baseItem="262"/>
    <dataField name="Sum of Return %" fld="12" baseField="0" baseItem="0" numFmtId="9"/>
  </dataFields>
  <formats count="1">
    <format dxfId="4">
      <pivotArea outline="0" collapsedLevelsAreSubtotals="1" fieldPosition="0">
        <references count="1">
          <reference field="4294967294" count="1" selected="0">
            <x v="4"/>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091E14-CE78-4826-9694-04CEA64D2EAC}" name="Stocks by Retur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ck">
  <location ref="A4:F304" firstHeaderRow="0" firstDataRow="1" firstDataCol="1"/>
  <pivotFields count="13">
    <pivotField showAll="0">
      <items count="104">
        <item x="12"/>
        <item x="32"/>
        <item x="22"/>
        <item x="19"/>
        <item x="64"/>
        <item x="59"/>
        <item x="14"/>
        <item x="49"/>
        <item x="98"/>
        <item x="8"/>
        <item x="51"/>
        <item x="34"/>
        <item x="56"/>
        <item x="17"/>
        <item x="90"/>
        <item x="1"/>
        <item x="6"/>
        <item x="4"/>
        <item x="92"/>
        <item x="47"/>
        <item x="61"/>
        <item x="93"/>
        <item x="100"/>
        <item x="28"/>
        <item x="86"/>
        <item x="52"/>
        <item x="81"/>
        <item x="35"/>
        <item x="3"/>
        <item x="36"/>
        <item x="68"/>
        <item x="37"/>
        <item x="50"/>
        <item x="11"/>
        <item x="16"/>
        <item x="44"/>
        <item x="38"/>
        <item x="82"/>
        <item x="71"/>
        <item x="66"/>
        <item x="33"/>
        <item x="70"/>
        <item x="94"/>
        <item x="74"/>
        <item x="65"/>
        <item x="89"/>
        <item x="15"/>
        <item x="23"/>
        <item x="96"/>
        <item x="40"/>
        <item x="80"/>
        <item x="101"/>
        <item x="57"/>
        <item x="88"/>
        <item x="53"/>
        <item x="72"/>
        <item x="0"/>
        <item x="7"/>
        <item x="2"/>
        <item x="79"/>
        <item x="21"/>
        <item x="39"/>
        <item x="69"/>
        <item x="99"/>
        <item x="62"/>
        <item x="41"/>
        <item x="73"/>
        <item x="76"/>
        <item x="95"/>
        <item x="85"/>
        <item x="83"/>
        <item x="20"/>
        <item x="46"/>
        <item x="78"/>
        <item x="67"/>
        <item x="84"/>
        <item x="55"/>
        <item x="29"/>
        <item x="5"/>
        <item x="18"/>
        <item x="54"/>
        <item x="42"/>
        <item x="63"/>
        <item x="97"/>
        <item x="75"/>
        <item x="25"/>
        <item x="10"/>
        <item x="45"/>
        <item x="9"/>
        <item x="26"/>
        <item x="60"/>
        <item x="91"/>
        <item x="24"/>
        <item x="102"/>
        <item x="77"/>
        <item x="31"/>
        <item x="43"/>
        <item x="13"/>
        <item x="87"/>
        <item x="27"/>
        <item x="48"/>
        <item x="30"/>
        <item x="58"/>
        <item t="default"/>
      </items>
    </pivotField>
    <pivotField showAll="0"/>
    <pivotField axis="axisRow" showAll="0" sortType="descending">
      <items count="300">
        <item x="21"/>
        <item x="1"/>
        <item x="3"/>
        <item x="40"/>
        <item x="4"/>
        <item x="2"/>
        <item x="6"/>
        <item x="11"/>
        <item x="55"/>
        <item x="9"/>
        <item x="19"/>
        <item x="53"/>
        <item x="8"/>
        <item x="62"/>
        <item x="7"/>
        <item x="32"/>
        <item x="33"/>
        <item x="13"/>
        <item x="15"/>
        <item x="16"/>
        <item x="17"/>
        <item x="247"/>
        <item x="65"/>
        <item x="18"/>
        <item x="49"/>
        <item x="269"/>
        <item x="5"/>
        <item x="20"/>
        <item x="22"/>
        <item x="25"/>
        <item x="23"/>
        <item x="26"/>
        <item x="29"/>
        <item x="10"/>
        <item x="41"/>
        <item x="31"/>
        <item x="14"/>
        <item x="35"/>
        <item x="42"/>
        <item x="37"/>
        <item x="39"/>
        <item x="28"/>
        <item x="63"/>
        <item x="44"/>
        <item x="45"/>
        <item x="47"/>
        <item x="27"/>
        <item x="48"/>
        <item x="43"/>
        <item x="46"/>
        <item x="52"/>
        <item x="51"/>
        <item x="56"/>
        <item x="57"/>
        <item x="59"/>
        <item x="54"/>
        <item x="293"/>
        <item x="58"/>
        <item x="24"/>
        <item x="60"/>
        <item x="61"/>
        <item x="50"/>
        <item x="68"/>
        <item x="12"/>
        <item x="38"/>
        <item x="97"/>
        <item x="69"/>
        <item x="66"/>
        <item x="36"/>
        <item x="34"/>
        <item x="70"/>
        <item x="64"/>
        <item x="87"/>
        <item x="73"/>
        <item x="90"/>
        <item x="72"/>
        <item x="78"/>
        <item x="100"/>
        <item x="88"/>
        <item x="71"/>
        <item x="80"/>
        <item x="95"/>
        <item x="98"/>
        <item x="103"/>
        <item x="79"/>
        <item x="81"/>
        <item x="82"/>
        <item x="76"/>
        <item x="102"/>
        <item x="83"/>
        <item x="77"/>
        <item x="85"/>
        <item x="84"/>
        <item x="75"/>
        <item x="96"/>
        <item x="74"/>
        <item x="89"/>
        <item x="93"/>
        <item x="86"/>
        <item x="294"/>
        <item x="99"/>
        <item x="297"/>
        <item x="92"/>
        <item x="101"/>
        <item x="253"/>
        <item x="91"/>
        <item x="94"/>
        <item x="141"/>
        <item x="109"/>
        <item x="174"/>
        <item x="105"/>
        <item x="127"/>
        <item x="108"/>
        <item x="67"/>
        <item x="117"/>
        <item x="118"/>
        <item x="133"/>
        <item x="104"/>
        <item x="298"/>
        <item x="114"/>
        <item x="149"/>
        <item x="119"/>
        <item x="150"/>
        <item x="120"/>
        <item x="122"/>
        <item x="123"/>
        <item x="124"/>
        <item x="151"/>
        <item x="143"/>
        <item x="160"/>
        <item x="134"/>
        <item x="135"/>
        <item x="129"/>
        <item x="128"/>
        <item x="137"/>
        <item x="136"/>
        <item x="132"/>
        <item x="139"/>
        <item x="154"/>
        <item x="126"/>
        <item x="146"/>
        <item x="144"/>
        <item x="145"/>
        <item x="147"/>
        <item x="158"/>
        <item x="159"/>
        <item x="156"/>
        <item x="157"/>
        <item x="178"/>
        <item x="138"/>
        <item x="171"/>
        <item x="148"/>
        <item x="121"/>
        <item x="161"/>
        <item x="162"/>
        <item x="165"/>
        <item x="164"/>
        <item x="112"/>
        <item x="153"/>
        <item x="155"/>
        <item x="166"/>
        <item x="163"/>
        <item x="168"/>
        <item x="172"/>
        <item x="111"/>
        <item x="130"/>
        <item x="167"/>
        <item x="110"/>
        <item x="106"/>
        <item x="116"/>
        <item x="125"/>
        <item x="296"/>
        <item x="175"/>
        <item x="115"/>
        <item x="170"/>
        <item x="113"/>
        <item x="176"/>
        <item x="140"/>
        <item x="152"/>
        <item x="177"/>
        <item x="173"/>
        <item x="180"/>
        <item x="131"/>
        <item x="179"/>
        <item x="107"/>
        <item x="181"/>
        <item x="142"/>
        <item x="183"/>
        <item x="203"/>
        <item x="202"/>
        <item x="193"/>
        <item x="187"/>
        <item x="186"/>
        <item x="189"/>
        <item x="195"/>
        <item x="198"/>
        <item x="295"/>
        <item x="184"/>
        <item x="194"/>
        <item x="197"/>
        <item x="196"/>
        <item x="182"/>
        <item x="188"/>
        <item x="199"/>
        <item x="200"/>
        <item x="30"/>
        <item x="192"/>
        <item x="201"/>
        <item x="204"/>
        <item x="185"/>
        <item x="206"/>
        <item x="190"/>
        <item x="205"/>
        <item x="191"/>
        <item x="207"/>
        <item x="211"/>
        <item x="212"/>
        <item x="216"/>
        <item x="222"/>
        <item x="226"/>
        <item x="214"/>
        <item x="232"/>
        <item x="209"/>
        <item x="217"/>
        <item x="218"/>
        <item x="220"/>
        <item x="213"/>
        <item x="224"/>
        <item x="228"/>
        <item x="227"/>
        <item x="229"/>
        <item x="225"/>
        <item x="230"/>
        <item x="235"/>
        <item x="219"/>
        <item x="231"/>
        <item x="208"/>
        <item x="210"/>
        <item x="221"/>
        <item x="233"/>
        <item x="223"/>
        <item x="234"/>
        <item x="236"/>
        <item x="215"/>
        <item x="237"/>
        <item x="238"/>
        <item x="239"/>
        <item x="240"/>
        <item x="261"/>
        <item x="251"/>
        <item x="244"/>
        <item x="245"/>
        <item x="246"/>
        <item x="254"/>
        <item x="267"/>
        <item x="249"/>
        <item x="257"/>
        <item x="265"/>
        <item x="260"/>
        <item x="241"/>
        <item x="255"/>
        <item x="266"/>
        <item x="243"/>
        <item x="250"/>
        <item x="259"/>
        <item x="258"/>
        <item x="242"/>
        <item x="252"/>
        <item x="262"/>
        <item x="0"/>
        <item x="256"/>
        <item x="268"/>
        <item x="248"/>
        <item x="263"/>
        <item x="291"/>
        <item x="292"/>
        <item x="264"/>
        <item x="277"/>
        <item x="272"/>
        <item x="287"/>
        <item x="271"/>
        <item x="276"/>
        <item x="273"/>
        <item x="281"/>
        <item x="286"/>
        <item x="274"/>
        <item x="288"/>
        <item x="278"/>
        <item x="279"/>
        <item x="290"/>
        <item x="289"/>
        <item x="283"/>
        <item x="284"/>
        <item x="280"/>
        <item x="285"/>
        <item x="282"/>
        <item x="169"/>
        <item x="275"/>
        <item x="270"/>
        <item t="default"/>
      </items>
      <autoSortScope>
        <pivotArea dataOnly="0" outline="0" fieldPosition="0">
          <references count="1">
            <reference field="4294967294" count="1" selected="0">
              <x v="4"/>
            </reference>
          </references>
        </pivotArea>
      </autoSortScope>
    </pivotField>
    <pivotField numFmtId="165" showAll="0"/>
    <pivotField dataField="1" numFmtId="166" showAll="0"/>
    <pivotField dataField="1" numFmtId="167" showAll="0"/>
    <pivotField dataField="1" numFmtId="167" showAll="0"/>
    <pivotField numFmtId="167" showAll="0"/>
    <pivotField numFmtId="167" showAll="0"/>
    <pivotField dataField="1" showAll="0"/>
    <pivotField numFmtId="9" showAll="0"/>
    <pivotField showAll="0"/>
    <pivotField dataField="1" dragToRow="0" dragToCol="0" dragToPage="0" showAll="0" defaultSubtotal="0"/>
  </pivotFields>
  <rowFields count="1">
    <field x="2"/>
  </rowFields>
  <rowItems count="300">
    <i>
      <x v="71"/>
    </i>
    <i>
      <x v="25"/>
    </i>
    <i>
      <x v="148"/>
    </i>
    <i>
      <x v="262"/>
    </i>
    <i>
      <x v="183"/>
    </i>
    <i>
      <x v="171"/>
    </i>
    <i>
      <x v="5"/>
    </i>
    <i>
      <x v="190"/>
    </i>
    <i>
      <x v="21"/>
    </i>
    <i>
      <x v="116"/>
    </i>
    <i>
      <x v="63"/>
    </i>
    <i>
      <x v="101"/>
    </i>
    <i>
      <x v="87"/>
    </i>
    <i>
      <x v="201"/>
    </i>
    <i>
      <x v="237"/>
    </i>
    <i>
      <x v="216"/>
    </i>
    <i>
      <x v="13"/>
    </i>
    <i>
      <x v="290"/>
    </i>
    <i>
      <x v="194"/>
    </i>
    <i>
      <x v="231"/>
    </i>
    <i>
      <x v="16"/>
    </i>
    <i>
      <x v="9"/>
    </i>
    <i>
      <x v="197"/>
    </i>
    <i>
      <x v="229"/>
    </i>
    <i>
      <x v="65"/>
    </i>
    <i>
      <x v="292"/>
    </i>
    <i>
      <x v="232"/>
    </i>
    <i>
      <x v="110"/>
    </i>
    <i>
      <x v="181"/>
    </i>
    <i>
      <x v="10"/>
    </i>
    <i>
      <x v="207"/>
    </i>
    <i>
      <x v="77"/>
    </i>
    <i>
      <x v="255"/>
    </i>
    <i>
      <x v="51"/>
    </i>
    <i>
      <x v="291"/>
    </i>
    <i>
      <x v="259"/>
    </i>
    <i>
      <x v="173"/>
    </i>
    <i>
      <x v="67"/>
    </i>
    <i>
      <x v="191"/>
    </i>
    <i>
      <x v="189"/>
    </i>
    <i>
      <x v="34"/>
    </i>
    <i>
      <x v="1"/>
    </i>
    <i>
      <x v="143"/>
    </i>
    <i>
      <x v="18"/>
    </i>
    <i>
      <x v="40"/>
    </i>
    <i>
      <x v="163"/>
    </i>
    <i>
      <x v="215"/>
    </i>
    <i>
      <x v="132"/>
    </i>
    <i>
      <x v="131"/>
    </i>
    <i>
      <x v="203"/>
    </i>
    <i>
      <x v="91"/>
    </i>
    <i>
      <x v="111"/>
    </i>
    <i>
      <x v="144"/>
    </i>
    <i>
      <x v="196"/>
    </i>
    <i>
      <x v="225"/>
    </i>
    <i>
      <x v="188"/>
    </i>
    <i>
      <x v="219"/>
    </i>
    <i>
      <x v="182"/>
    </i>
    <i>
      <x v="45"/>
    </i>
    <i>
      <x v="44"/>
    </i>
    <i>
      <x v="36"/>
    </i>
    <i>
      <x v="174"/>
    </i>
    <i>
      <x v="14"/>
    </i>
    <i>
      <x v="184"/>
    </i>
    <i>
      <x v="69"/>
    </i>
    <i>
      <x v="42"/>
    </i>
    <i>
      <x v="195"/>
    </i>
    <i>
      <x v="175"/>
    </i>
    <i>
      <x v="238"/>
    </i>
    <i>
      <x v="86"/>
    </i>
    <i>
      <x v="85"/>
    </i>
    <i>
      <x v="109"/>
    </i>
    <i>
      <x v="251"/>
    </i>
    <i>
      <x v="226"/>
    </i>
    <i>
      <x v="234"/>
    </i>
    <i>
      <x v="23"/>
    </i>
    <i>
      <x v="222"/>
    </i>
    <i>
      <x v="114"/>
    </i>
    <i>
      <x v="137"/>
    </i>
    <i>
      <x v="235"/>
    </i>
    <i>
      <x v="208"/>
    </i>
    <i>
      <x v="76"/>
    </i>
    <i>
      <x v="257"/>
    </i>
    <i>
      <x v="296"/>
    </i>
    <i>
      <x v="165"/>
    </i>
    <i>
      <x v="99"/>
    </i>
    <i>
      <x v="100"/>
    </i>
    <i>
      <x v="41"/>
    </i>
    <i>
      <x v="211"/>
    </i>
    <i>
      <x v="241"/>
    </i>
    <i>
      <x v="96"/>
    </i>
    <i>
      <x v="176"/>
    </i>
    <i>
      <x v="161"/>
    </i>
    <i>
      <x v="4"/>
    </i>
    <i>
      <x v="168"/>
    </i>
    <i>
      <x v="278"/>
    </i>
    <i>
      <x v="205"/>
    </i>
    <i>
      <x v="282"/>
    </i>
    <i>
      <x v="254"/>
    </i>
    <i>
      <x v="130"/>
    </i>
    <i>
      <x v="276"/>
    </i>
    <i>
      <x v="269"/>
    </i>
    <i>
      <x v="134"/>
    </i>
    <i>
      <x v="104"/>
    </i>
    <i>
      <x v="249"/>
    </i>
    <i>
      <x v="72"/>
    </i>
    <i>
      <x v="281"/>
    </i>
    <i>
      <x v="266"/>
    </i>
    <i>
      <x v="170"/>
    </i>
    <i>
      <x v="127"/>
    </i>
    <i>
      <x v="56"/>
    </i>
    <i>
      <x v="272"/>
    </i>
    <i>
      <x v="264"/>
    </i>
    <i>
      <x v="256"/>
    </i>
    <i>
      <x v="121"/>
    </i>
    <i>
      <x v="74"/>
    </i>
    <i>
      <x v="169"/>
    </i>
    <i>
      <x v="79"/>
    </i>
    <i>
      <x v="198"/>
    </i>
    <i>
      <x v="24"/>
    </i>
    <i>
      <x v="204"/>
    </i>
    <i>
      <x v="19"/>
    </i>
    <i>
      <x v="135"/>
    </i>
    <i>
      <x v="220"/>
    </i>
    <i>
      <x v="185"/>
    </i>
    <i>
      <x v="50"/>
    </i>
    <i>
      <x v="223"/>
    </i>
    <i>
      <x v="138"/>
    </i>
    <i>
      <x v="66"/>
    </i>
    <i>
      <x v="172"/>
    </i>
    <i>
      <x v="261"/>
    </i>
    <i>
      <x v="39"/>
    </i>
    <i>
      <x v="158"/>
    </i>
    <i>
      <x v="187"/>
    </i>
    <i>
      <x v="246"/>
    </i>
    <i>
      <x v="265"/>
    </i>
    <i>
      <x v="218"/>
    </i>
    <i>
      <x v="112"/>
    </i>
    <i>
      <x v="162"/>
    </i>
    <i>
      <x v="3"/>
    </i>
    <i>
      <x v="212"/>
    </i>
    <i>
      <x v="149"/>
    </i>
    <i>
      <x v="154"/>
    </i>
    <i>
      <x v="178"/>
    </i>
    <i>
      <x v="151"/>
    </i>
    <i>
      <x v="2"/>
    </i>
    <i>
      <x v="146"/>
    </i>
    <i>
      <x v="192"/>
    </i>
    <i>
      <x v="90"/>
    </i>
    <i>
      <x v="239"/>
    </i>
    <i>
      <x v="250"/>
    </i>
    <i>
      <x v="58"/>
    </i>
    <i>
      <x v="115"/>
    </i>
    <i>
      <x v="179"/>
    </i>
    <i>
      <x v="106"/>
    </i>
    <i>
      <x v="32"/>
    </i>
    <i>
      <x v="7"/>
    </i>
    <i>
      <x v="117"/>
    </i>
    <i>
      <x v="275"/>
    </i>
    <i>
      <x v="142"/>
    </i>
    <i>
      <x v="80"/>
    </i>
    <i>
      <x v="108"/>
    </i>
    <i>
      <x v="285"/>
    </i>
    <i>
      <x v="273"/>
    </i>
    <i>
      <x v="224"/>
    </i>
    <i>
      <x v="160"/>
    </i>
    <i>
      <x v="92"/>
    </i>
    <i>
      <x v="159"/>
    </i>
    <i>
      <x v="233"/>
    </i>
    <i>
      <x v="61"/>
    </i>
    <i>
      <x v="27"/>
    </i>
    <i>
      <x v="141"/>
    </i>
    <i>
      <x v="15"/>
    </i>
    <i>
      <x v="98"/>
    </i>
    <i>
      <x v="297"/>
    </i>
    <i>
      <x v="279"/>
    </i>
    <i>
      <x v="209"/>
    </i>
    <i>
      <x v="49"/>
    </i>
    <i>
      <x v="68"/>
    </i>
    <i>
      <x v="78"/>
    </i>
    <i>
      <x v="35"/>
    </i>
    <i>
      <x v="119"/>
    </i>
    <i>
      <x v="295"/>
    </i>
    <i>
      <x v="29"/>
    </i>
    <i>
      <x v="286"/>
    </i>
    <i>
      <x v="166"/>
    </i>
    <i>
      <x v="26"/>
    </i>
    <i>
      <x v="236"/>
    </i>
    <i>
      <x v="177"/>
    </i>
    <i>
      <x v="120"/>
    </i>
    <i>
      <x v="75"/>
    </i>
    <i>
      <x v="152"/>
    </i>
    <i>
      <x v="38"/>
    </i>
    <i>
      <x v="103"/>
    </i>
    <i>
      <x v="123"/>
    </i>
    <i>
      <x v="59"/>
    </i>
    <i>
      <x v="243"/>
    </i>
    <i>
      <x v="245"/>
    </i>
    <i>
      <x v="30"/>
    </i>
    <i>
      <x v="274"/>
    </i>
    <i>
      <x v="293"/>
    </i>
    <i>
      <x v="221"/>
    </i>
    <i>
      <x v="48"/>
    </i>
    <i>
      <x v="82"/>
    </i>
    <i>
      <x v="213"/>
    </i>
    <i>
      <x v="107"/>
    </i>
    <i>
      <x v="164"/>
    </i>
    <i>
      <x v="199"/>
    </i>
    <i>
      <x v="12"/>
    </i>
    <i>
      <x v="84"/>
    </i>
    <i>
      <x v="118"/>
    </i>
    <i>
      <x v="260"/>
    </i>
    <i>
      <x v="97"/>
    </i>
    <i>
      <x v="277"/>
    </i>
    <i>
      <x v="43"/>
    </i>
    <i>
      <x v="113"/>
    </i>
    <i>
      <x v="129"/>
    </i>
    <i>
      <x v="180"/>
    </i>
    <i>
      <x v="283"/>
    </i>
    <i>
      <x v="244"/>
    </i>
    <i>
      <x v="270"/>
    </i>
    <i>
      <x v="217"/>
    </i>
    <i>
      <x v="242"/>
    </i>
    <i>
      <x v="102"/>
    </i>
    <i>
      <x v="252"/>
    </i>
    <i>
      <x v="37"/>
    </i>
    <i>
      <x v="253"/>
    </i>
    <i>
      <x v="93"/>
    </i>
    <i>
      <x v="247"/>
    </i>
    <i>
      <x v="57"/>
    </i>
    <i>
      <x v="136"/>
    </i>
    <i>
      <x v="17"/>
    </i>
    <i>
      <x v="88"/>
    </i>
    <i>
      <x v="53"/>
    </i>
    <i>
      <x v="147"/>
    </i>
    <i>
      <x v="258"/>
    </i>
    <i>
      <x v="125"/>
    </i>
    <i>
      <x v="128"/>
    </i>
    <i>
      <x v="6"/>
    </i>
    <i>
      <x v="124"/>
    </i>
    <i>
      <x v="31"/>
    </i>
    <i>
      <x v="52"/>
    </i>
    <i>
      <x/>
    </i>
    <i>
      <x v="73"/>
    </i>
    <i>
      <x v="214"/>
    </i>
    <i>
      <x v="70"/>
    </i>
    <i>
      <x v="268"/>
    </i>
    <i>
      <x v="155"/>
    </i>
    <i>
      <x v="263"/>
    </i>
    <i>
      <x v="94"/>
    </i>
    <i>
      <x v="145"/>
    </i>
    <i>
      <x v="47"/>
    </i>
    <i>
      <x v="46"/>
    </i>
    <i>
      <x v="167"/>
    </i>
    <i>
      <x v="11"/>
    </i>
    <i>
      <x v="83"/>
    </i>
    <i>
      <x v="28"/>
    </i>
    <i>
      <x v="230"/>
    </i>
    <i>
      <x v="186"/>
    </i>
    <i>
      <x v="248"/>
    </i>
    <i>
      <x v="227"/>
    </i>
    <i>
      <x v="55"/>
    </i>
    <i>
      <x v="95"/>
    </i>
    <i>
      <x v="206"/>
    </i>
    <i>
      <x v="54"/>
    </i>
    <i>
      <x v="140"/>
    </i>
    <i>
      <x v="105"/>
    </i>
    <i>
      <x v="267"/>
    </i>
    <i>
      <x v="62"/>
    </i>
    <i>
      <x v="193"/>
    </i>
    <i>
      <x v="153"/>
    </i>
    <i>
      <x v="157"/>
    </i>
    <i>
      <x v="202"/>
    </i>
    <i>
      <x v="150"/>
    </i>
    <i>
      <x v="8"/>
    </i>
    <i>
      <x v="122"/>
    </i>
    <i>
      <x v="284"/>
    </i>
    <i>
      <x v="20"/>
    </i>
    <i>
      <x v="89"/>
    </i>
    <i>
      <x v="280"/>
    </i>
    <i>
      <x v="287"/>
    </i>
    <i>
      <x v="228"/>
    </i>
    <i>
      <x v="139"/>
    </i>
    <i>
      <x v="294"/>
    </i>
    <i>
      <x v="240"/>
    </i>
    <i>
      <x v="64"/>
    </i>
    <i>
      <x v="271"/>
    </i>
    <i>
      <x v="298"/>
    </i>
    <i>
      <x v="81"/>
    </i>
    <i>
      <x v="288"/>
    </i>
    <i>
      <x v="133"/>
    </i>
    <i>
      <x v="289"/>
    </i>
    <i>
      <x v="210"/>
    </i>
    <i>
      <x v="156"/>
    </i>
    <i>
      <x v="22"/>
    </i>
    <i>
      <x v="126"/>
    </i>
    <i>
      <x v="200"/>
    </i>
    <i>
      <x v="33"/>
    </i>
    <i>
      <x v="60"/>
    </i>
    <i t="grand">
      <x/>
    </i>
  </rowItems>
  <colFields count="1">
    <field x="-2"/>
  </colFields>
  <colItems count="5">
    <i>
      <x/>
    </i>
    <i i="1">
      <x v="1"/>
    </i>
    <i i="2">
      <x v="2"/>
    </i>
    <i i="3">
      <x v="3"/>
    </i>
    <i i="4">
      <x v="4"/>
    </i>
  </colItems>
  <dataFields count="5">
    <dataField name="Sum of Invested Dollars 2018" fld="4" baseField="0" baseItem="0" numFmtId="166"/>
    <dataField name="Sum of Invested Dollars 2025" fld="5" baseField="0" baseItem="0" numFmtId="167"/>
    <dataField name="Sum of 7 Year Total Return" fld="6" baseField="0" baseItem="0" numFmtId="167"/>
    <dataField name="Average of Current P/E" fld="9" subtotal="average" baseField="2" baseItem="262"/>
    <dataField name="Sum of Return %" fld="12"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791CBA-7A04-4BBD-A06F-02D6BC8946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ctor">
  <location ref="A110:F214" firstHeaderRow="0" firstDataRow="1" firstDataCol="1"/>
  <pivotFields count="13">
    <pivotField axis="axisRow" showAll="0" sortType="descending">
      <items count="104">
        <item x="12"/>
        <item x="32"/>
        <item x="22"/>
        <item x="19"/>
        <item x="64"/>
        <item x="59"/>
        <item x="14"/>
        <item x="49"/>
        <item x="98"/>
        <item x="8"/>
        <item x="51"/>
        <item x="34"/>
        <item x="56"/>
        <item x="17"/>
        <item x="90"/>
        <item x="1"/>
        <item x="6"/>
        <item x="4"/>
        <item x="92"/>
        <item x="47"/>
        <item x="61"/>
        <item x="93"/>
        <item x="100"/>
        <item x="28"/>
        <item x="86"/>
        <item x="52"/>
        <item x="81"/>
        <item x="35"/>
        <item x="3"/>
        <item x="36"/>
        <item x="68"/>
        <item x="37"/>
        <item x="50"/>
        <item x="11"/>
        <item x="16"/>
        <item x="44"/>
        <item x="38"/>
        <item x="82"/>
        <item x="71"/>
        <item x="66"/>
        <item x="33"/>
        <item x="70"/>
        <item x="94"/>
        <item x="74"/>
        <item x="65"/>
        <item x="89"/>
        <item x="15"/>
        <item x="23"/>
        <item x="96"/>
        <item x="40"/>
        <item x="80"/>
        <item x="101"/>
        <item x="57"/>
        <item x="88"/>
        <item x="53"/>
        <item x="72"/>
        <item x="0"/>
        <item x="7"/>
        <item x="2"/>
        <item x="79"/>
        <item x="21"/>
        <item x="39"/>
        <item x="69"/>
        <item x="99"/>
        <item x="62"/>
        <item x="41"/>
        <item x="73"/>
        <item x="76"/>
        <item x="95"/>
        <item x="85"/>
        <item x="83"/>
        <item x="20"/>
        <item x="46"/>
        <item x="78"/>
        <item x="67"/>
        <item x="84"/>
        <item x="55"/>
        <item x="29"/>
        <item x="5"/>
        <item x="18"/>
        <item x="54"/>
        <item x="42"/>
        <item x="63"/>
        <item x="97"/>
        <item x="75"/>
        <item x="25"/>
        <item x="10"/>
        <item x="45"/>
        <item x="9"/>
        <item x="26"/>
        <item x="60"/>
        <item x="91"/>
        <item x="24"/>
        <item x="102"/>
        <item x="77"/>
        <item x="31"/>
        <item x="43"/>
        <item x="13"/>
        <item x="87"/>
        <item x="27"/>
        <item x="48"/>
        <item x="30"/>
        <item x="58"/>
        <item t="default"/>
      </items>
      <autoSortScope>
        <pivotArea dataOnly="0" outline="0" fieldPosition="0">
          <references count="1">
            <reference field="4294967294" count="1" selected="0">
              <x v="1"/>
            </reference>
          </references>
        </pivotArea>
      </autoSortScope>
    </pivotField>
    <pivotField showAll="0"/>
    <pivotField showAll="0">
      <items count="300">
        <item x="21"/>
        <item x="1"/>
        <item x="3"/>
        <item x="40"/>
        <item x="4"/>
        <item x="2"/>
        <item x="6"/>
        <item x="11"/>
        <item x="55"/>
        <item x="9"/>
        <item x="19"/>
        <item x="53"/>
        <item x="8"/>
        <item x="62"/>
        <item x="7"/>
        <item x="32"/>
        <item x="33"/>
        <item x="13"/>
        <item x="15"/>
        <item x="16"/>
        <item x="17"/>
        <item x="247"/>
        <item x="65"/>
        <item x="18"/>
        <item x="49"/>
        <item x="269"/>
        <item x="5"/>
        <item x="20"/>
        <item x="22"/>
        <item x="25"/>
        <item x="23"/>
        <item x="26"/>
        <item x="29"/>
        <item x="10"/>
        <item x="41"/>
        <item x="31"/>
        <item x="14"/>
        <item x="35"/>
        <item x="42"/>
        <item x="37"/>
        <item x="39"/>
        <item x="28"/>
        <item x="63"/>
        <item x="44"/>
        <item x="45"/>
        <item x="47"/>
        <item x="27"/>
        <item x="48"/>
        <item x="43"/>
        <item x="46"/>
        <item x="52"/>
        <item x="51"/>
        <item x="56"/>
        <item x="57"/>
        <item x="59"/>
        <item x="54"/>
        <item x="293"/>
        <item x="58"/>
        <item x="24"/>
        <item x="60"/>
        <item x="61"/>
        <item x="50"/>
        <item x="68"/>
        <item x="12"/>
        <item x="38"/>
        <item x="97"/>
        <item x="69"/>
        <item x="66"/>
        <item x="36"/>
        <item x="34"/>
        <item x="70"/>
        <item x="64"/>
        <item x="87"/>
        <item x="73"/>
        <item x="90"/>
        <item x="72"/>
        <item x="78"/>
        <item x="100"/>
        <item x="88"/>
        <item x="71"/>
        <item x="80"/>
        <item x="95"/>
        <item x="98"/>
        <item x="103"/>
        <item x="79"/>
        <item x="81"/>
        <item x="82"/>
        <item x="76"/>
        <item x="102"/>
        <item x="83"/>
        <item x="77"/>
        <item x="85"/>
        <item x="84"/>
        <item x="75"/>
        <item x="96"/>
        <item x="74"/>
        <item x="89"/>
        <item x="93"/>
        <item x="86"/>
        <item x="294"/>
        <item x="99"/>
        <item x="297"/>
        <item x="92"/>
        <item x="101"/>
        <item x="253"/>
        <item x="91"/>
        <item x="94"/>
        <item x="141"/>
        <item x="109"/>
        <item x="174"/>
        <item x="105"/>
        <item x="127"/>
        <item x="108"/>
        <item x="67"/>
        <item x="117"/>
        <item x="118"/>
        <item x="133"/>
        <item x="104"/>
        <item x="298"/>
        <item x="114"/>
        <item x="149"/>
        <item x="119"/>
        <item x="150"/>
        <item x="120"/>
        <item x="122"/>
        <item x="123"/>
        <item x="124"/>
        <item x="151"/>
        <item x="143"/>
        <item x="160"/>
        <item x="134"/>
        <item x="135"/>
        <item x="129"/>
        <item x="128"/>
        <item x="137"/>
        <item x="136"/>
        <item x="132"/>
        <item x="139"/>
        <item x="154"/>
        <item x="126"/>
        <item x="146"/>
        <item x="144"/>
        <item x="145"/>
        <item x="147"/>
        <item x="158"/>
        <item x="159"/>
        <item x="156"/>
        <item x="157"/>
        <item x="178"/>
        <item x="138"/>
        <item x="171"/>
        <item x="148"/>
        <item x="121"/>
        <item x="161"/>
        <item x="162"/>
        <item x="165"/>
        <item x="164"/>
        <item x="112"/>
        <item x="153"/>
        <item x="155"/>
        <item x="166"/>
        <item x="163"/>
        <item x="168"/>
        <item x="172"/>
        <item x="111"/>
        <item x="130"/>
        <item x="167"/>
        <item x="110"/>
        <item x="106"/>
        <item x="116"/>
        <item x="125"/>
        <item x="296"/>
        <item x="175"/>
        <item x="115"/>
        <item x="170"/>
        <item x="113"/>
        <item x="176"/>
        <item x="140"/>
        <item x="152"/>
        <item x="177"/>
        <item x="173"/>
        <item x="180"/>
        <item x="131"/>
        <item x="179"/>
        <item x="107"/>
        <item x="181"/>
        <item x="142"/>
        <item x="183"/>
        <item x="203"/>
        <item x="202"/>
        <item x="193"/>
        <item x="187"/>
        <item x="186"/>
        <item x="189"/>
        <item x="195"/>
        <item x="198"/>
        <item x="295"/>
        <item x="184"/>
        <item x="194"/>
        <item x="197"/>
        <item x="196"/>
        <item x="182"/>
        <item x="188"/>
        <item x="199"/>
        <item x="200"/>
        <item x="30"/>
        <item x="192"/>
        <item x="201"/>
        <item x="204"/>
        <item x="185"/>
        <item x="206"/>
        <item x="190"/>
        <item x="205"/>
        <item x="191"/>
        <item x="207"/>
        <item x="211"/>
        <item x="212"/>
        <item x="216"/>
        <item x="222"/>
        <item x="226"/>
        <item x="214"/>
        <item x="232"/>
        <item x="209"/>
        <item x="217"/>
        <item x="218"/>
        <item x="220"/>
        <item x="213"/>
        <item x="224"/>
        <item x="228"/>
        <item x="227"/>
        <item x="229"/>
        <item x="225"/>
        <item x="230"/>
        <item x="235"/>
        <item x="219"/>
        <item x="231"/>
        <item x="208"/>
        <item x="210"/>
        <item x="221"/>
        <item x="233"/>
        <item x="223"/>
        <item x="234"/>
        <item x="236"/>
        <item x="215"/>
        <item x="237"/>
        <item x="238"/>
        <item x="239"/>
        <item x="240"/>
        <item x="261"/>
        <item x="251"/>
        <item x="244"/>
        <item x="245"/>
        <item x="246"/>
        <item x="254"/>
        <item x="267"/>
        <item x="249"/>
        <item x="257"/>
        <item x="265"/>
        <item x="260"/>
        <item x="241"/>
        <item x="255"/>
        <item x="266"/>
        <item x="243"/>
        <item x="250"/>
        <item x="259"/>
        <item x="258"/>
        <item x="242"/>
        <item x="252"/>
        <item x="262"/>
        <item x="0"/>
        <item x="256"/>
        <item x="268"/>
        <item x="248"/>
        <item x="263"/>
        <item x="291"/>
        <item x="292"/>
        <item x="264"/>
        <item x="277"/>
        <item x="272"/>
        <item x="287"/>
        <item x="271"/>
        <item x="276"/>
        <item x="273"/>
        <item x="281"/>
        <item x="286"/>
        <item x="274"/>
        <item x="288"/>
        <item x="278"/>
        <item x="279"/>
        <item x="290"/>
        <item x="289"/>
        <item x="283"/>
        <item x="284"/>
        <item x="280"/>
        <item x="285"/>
        <item x="282"/>
        <item x="169"/>
        <item x="275"/>
        <item x="270"/>
        <item t="default"/>
      </items>
    </pivotField>
    <pivotField numFmtId="165" showAll="0"/>
    <pivotField dataField="1" numFmtId="166" showAll="0"/>
    <pivotField dataField="1" numFmtId="167" showAll="0"/>
    <pivotField dataField="1" numFmtId="167" showAll="0"/>
    <pivotField numFmtId="167" showAll="0"/>
    <pivotField numFmtId="167" showAll="0"/>
    <pivotField dataField="1" showAll="0"/>
    <pivotField numFmtId="9" showAll="0"/>
    <pivotField showAll="0"/>
    <pivotField dataField="1" dragToRow="0" dragToCol="0" dragToPage="0" showAll="0" defaultSubtotal="0"/>
  </pivotFields>
  <rowFields count="1">
    <field x="0"/>
  </rowFields>
  <rowItems count="104">
    <i>
      <x v="92"/>
    </i>
    <i>
      <x v="27"/>
    </i>
    <i>
      <x v="49"/>
    </i>
    <i>
      <x v="88"/>
    </i>
    <i>
      <x v="89"/>
    </i>
    <i>
      <x v="23"/>
    </i>
    <i>
      <x v="11"/>
    </i>
    <i>
      <x v="58"/>
    </i>
    <i>
      <x v="24"/>
    </i>
    <i>
      <x v="6"/>
    </i>
    <i>
      <x v="69"/>
    </i>
    <i>
      <x/>
    </i>
    <i>
      <x v="25"/>
    </i>
    <i>
      <x v="61"/>
    </i>
    <i>
      <x v="46"/>
    </i>
    <i>
      <x v="47"/>
    </i>
    <i>
      <x v="15"/>
    </i>
    <i>
      <x v="41"/>
    </i>
    <i>
      <x v="17"/>
    </i>
    <i>
      <x v="90"/>
    </i>
    <i>
      <x v="72"/>
    </i>
    <i>
      <x v="81"/>
    </i>
    <i>
      <x v="34"/>
    </i>
    <i>
      <x v="86"/>
    </i>
    <i>
      <x v="99"/>
    </i>
    <i>
      <x v="39"/>
    </i>
    <i>
      <x v="30"/>
    </i>
    <i>
      <x v="57"/>
    </i>
    <i>
      <x v="50"/>
    </i>
    <i>
      <x v="102"/>
    </i>
    <i>
      <x v="97"/>
    </i>
    <i>
      <x v="19"/>
    </i>
    <i>
      <x v="26"/>
    </i>
    <i>
      <x v="1"/>
    </i>
    <i>
      <x v="31"/>
    </i>
    <i>
      <x v="13"/>
    </i>
    <i>
      <x v="16"/>
    </i>
    <i>
      <x v="40"/>
    </i>
    <i>
      <x v="101"/>
    </i>
    <i>
      <x v="78"/>
    </i>
    <i>
      <x v="85"/>
    </i>
    <i>
      <x v="52"/>
    </i>
    <i>
      <x v="44"/>
    </i>
    <i>
      <x v="60"/>
    </i>
    <i>
      <x v="82"/>
    </i>
    <i>
      <x v="84"/>
    </i>
    <i>
      <x v="79"/>
    </i>
    <i>
      <x v="38"/>
    </i>
    <i>
      <x v="33"/>
    </i>
    <i>
      <x v="45"/>
    </i>
    <i>
      <x v="20"/>
    </i>
    <i>
      <x v="7"/>
    </i>
    <i>
      <x v="56"/>
    </i>
    <i>
      <x v="100"/>
    </i>
    <i>
      <x v="37"/>
    </i>
    <i>
      <x v="18"/>
    </i>
    <i>
      <x v="22"/>
    </i>
    <i>
      <x v="70"/>
    </i>
    <i>
      <x v="93"/>
    </i>
    <i>
      <x v="62"/>
    </i>
    <i>
      <x v="9"/>
    </i>
    <i>
      <x v="77"/>
    </i>
    <i>
      <x v="4"/>
    </i>
    <i>
      <x v="91"/>
    </i>
    <i>
      <x v="96"/>
    </i>
    <i>
      <x v="5"/>
    </i>
    <i>
      <x v="21"/>
    </i>
    <i>
      <x v="28"/>
    </i>
    <i>
      <x v="95"/>
    </i>
    <i>
      <x v="63"/>
    </i>
    <i>
      <x v="55"/>
    </i>
    <i>
      <x v="59"/>
    </i>
    <i>
      <x v="68"/>
    </i>
    <i>
      <x v="14"/>
    </i>
    <i>
      <x v="48"/>
    </i>
    <i>
      <x v="87"/>
    </i>
    <i>
      <x v="54"/>
    </i>
    <i>
      <x v="75"/>
    </i>
    <i>
      <x v="42"/>
    </i>
    <i>
      <x v="66"/>
    </i>
    <i>
      <x v="32"/>
    </i>
    <i>
      <x v="65"/>
    </i>
    <i>
      <x v="2"/>
    </i>
    <i>
      <x v="10"/>
    </i>
    <i>
      <x v="8"/>
    </i>
    <i>
      <x v="29"/>
    </i>
    <i>
      <x v="12"/>
    </i>
    <i>
      <x v="80"/>
    </i>
    <i>
      <x v="53"/>
    </i>
    <i>
      <x v="64"/>
    </i>
    <i>
      <x v="3"/>
    </i>
    <i>
      <x v="51"/>
    </i>
    <i>
      <x v="36"/>
    </i>
    <i>
      <x v="73"/>
    </i>
    <i>
      <x v="67"/>
    </i>
    <i>
      <x v="35"/>
    </i>
    <i>
      <x v="83"/>
    </i>
    <i>
      <x v="98"/>
    </i>
    <i>
      <x v="74"/>
    </i>
    <i>
      <x v="71"/>
    </i>
    <i>
      <x v="43"/>
    </i>
    <i>
      <x v="94"/>
    </i>
    <i>
      <x v="76"/>
    </i>
    <i t="grand">
      <x/>
    </i>
  </rowItems>
  <colFields count="1">
    <field x="-2"/>
  </colFields>
  <colItems count="5">
    <i>
      <x/>
    </i>
    <i i="1">
      <x v="1"/>
    </i>
    <i i="2">
      <x v="2"/>
    </i>
    <i i="3">
      <x v="3"/>
    </i>
    <i i="4">
      <x v="4"/>
    </i>
  </colItems>
  <dataFields count="5">
    <dataField name="Sum of Invested Dollars 2018" fld="4" baseField="0" baseItem="0" numFmtId="166"/>
    <dataField name="Sum of Invested Dollars 2025" fld="5" baseField="0" baseItem="0" numFmtId="167"/>
    <dataField name="Sum of 7 Year Total Return" fld="6" baseField="0" baseItem="0" numFmtId="167"/>
    <dataField name="Average of Current P/E" fld="9" subtotal="average" baseField="0" baseItem="18"/>
    <dataField name="Sum of Return %" fld="12" baseField="0" baseItem="0" numFmtId="9"/>
  </dataFields>
  <formats count="2">
    <format dxfId="1">
      <pivotArea outline="0" collapsedLevelsAreSubtotals="1" fieldPosition="0">
        <references count="1">
          <reference field="4294967294" count="1" selected="0">
            <x v="4"/>
          </reference>
        </references>
      </pivotArea>
    </format>
    <format dxfId="0">
      <pivotArea dataOnly="0" labelOnly="1" outline="0" fieldPosition="0">
        <references count="1">
          <reference field="4294967294" count="1">
            <x v="4"/>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71C430-5E99-4046-8AEC-6E1A161494B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ctor">
  <location ref="A3:F107" firstHeaderRow="0" firstDataRow="1" firstDataCol="1"/>
  <pivotFields count="13">
    <pivotField axis="axisRow" showAll="0" sortType="descending">
      <items count="104">
        <item x="12"/>
        <item x="32"/>
        <item x="22"/>
        <item x="19"/>
        <item x="64"/>
        <item x="59"/>
        <item x="14"/>
        <item x="49"/>
        <item x="98"/>
        <item x="8"/>
        <item x="51"/>
        <item x="34"/>
        <item x="56"/>
        <item x="17"/>
        <item x="90"/>
        <item x="1"/>
        <item x="6"/>
        <item x="4"/>
        <item x="92"/>
        <item x="47"/>
        <item x="61"/>
        <item x="93"/>
        <item x="100"/>
        <item x="28"/>
        <item x="86"/>
        <item x="52"/>
        <item x="81"/>
        <item x="35"/>
        <item x="3"/>
        <item x="36"/>
        <item x="68"/>
        <item x="37"/>
        <item x="50"/>
        <item x="11"/>
        <item x="16"/>
        <item x="44"/>
        <item x="38"/>
        <item x="82"/>
        <item x="71"/>
        <item x="66"/>
        <item x="33"/>
        <item x="70"/>
        <item x="94"/>
        <item x="74"/>
        <item x="65"/>
        <item x="89"/>
        <item x="15"/>
        <item x="23"/>
        <item x="96"/>
        <item x="40"/>
        <item x="80"/>
        <item x="101"/>
        <item x="57"/>
        <item x="88"/>
        <item x="53"/>
        <item x="72"/>
        <item x="0"/>
        <item x="7"/>
        <item x="2"/>
        <item x="79"/>
        <item x="21"/>
        <item x="39"/>
        <item x="69"/>
        <item x="99"/>
        <item x="62"/>
        <item x="41"/>
        <item x="73"/>
        <item x="76"/>
        <item x="95"/>
        <item x="85"/>
        <item x="83"/>
        <item x="20"/>
        <item x="46"/>
        <item x="78"/>
        <item x="67"/>
        <item x="84"/>
        <item x="55"/>
        <item x="29"/>
        <item x="5"/>
        <item x="18"/>
        <item x="54"/>
        <item x="42"/>
        <item x="63"/>
        <item x="97"/>
        <item x="75"/>
        <item x="25"/>
        <item x="10"/>
        <item x="45"/>
        <item x="9"/>
        <item x="26"/>
        <item x="60"/>
        <item x="91"/>
        <item x="24"/>
        <item x="102"/>
        <item x="77"/>
        <item x="31"/>
        <item x="43"/>
        <item x="13"/>
        <item x="87"/>
        <item x="27"/>
        <item x="48"/>
        <item x="30"/>
        <item x="58"/>
        <item t="default"/>
      </items>
      <autoSortScope>
        <pivotArea dataOnly="0" outline="0" fieldPosition="0">
          <references count="1">
            <reference field="4294967294" count="1" selected="0">
              <x v="4"/>
            </reference>
          </references>
        </pivotArea>
      </autoSortScope>
    </pivotField>
    <pivotField showAll="0"/>
    <pivotField showAll="0">
      <items count="300">
        <item x="21"/>
        <item x="1"/>
        <item x="3"/>
        <item x="40"/>
        <item x="4"/>
        <item x="2"/>
        <item x="6"/>
        <item x="11"/>
        <item x="55"/>
        <item x="9"/>
        <item x="19"/>
        <item x="53"/>
        <item x="8"/>
        <item x="62"/>
        <item x="7"/>
        <item x="32"/>
        <item x="33"/>
        <item x="13"/>
        <item x="15"/>
        <item x="16"/>
        <item x="17"/>
        <item x="247"/>
        <item x="65"/>
        <item x="18"/>
        <item x="49"/>
        <item x="269"/>
        <item x="5"/>
        <item x="20"/>
        <item x="22"/>
        <item x="25"/>
        <item x="23"/>
        <item x="26"/>
        <item x="29"/>
        <item x="10"/>
        <item x="41"/>
        <item x="31"/>
        <item x="14"/>
        <item x="35"/>
        <item x="42"/>
        <item x="37"/>
        <item x="39"/>
        <item x="28"/>
        <item x="63"/>
        <item x="44"/>
        <item x="45"/>
        <item x="47"/>
        <item x="27"/>
        <item x="48"/>
        <item x="43"/>
        <item x="46"/>
        <item x="52"/>
        <item x="51"/>
        <item x="56"/>
        <item x="57"/>
        <item x="59"/>
        <item x="54"/>
        <item x="293"/>
        <item x="58"/>
        <item x="24"/>
        <item x="60"/>
        <item x="61"/>
        <item x="50"/>
        <item x="68"/>
        <item x="12"/>
        <item x="38"/>
        <item x="97"/>
        <item x="69"/>
        <item x="66"/>
        <item x="36"/>
        <item x="34"/>
        <item x="70"/>
        <item x="64"/>
        <item x="87"/>
        <item x="73"/>
        <item x="90"/>
        <item x="72"/>
        <item x="78"/>
        <item x="100"/>
        <item x="88"/>
        <item x="71"/>
        <item x="80"/>
        <item x="95"/>
        <item x="98"/>
        <item x="103"/>
        <item x="79"/>
        <item x="81"/>
        <item x="82"/>
        <item x="76"/>
        <item x="102"/>
        <item x="83"/>
        <item x="77"/>
        <item x="85"/>
        <item x="84"/>
        <item x="75"/>
        <item x="96"/>
        <item x="74"/>
        <item x="89"/>
        <item x="93"/>
        <item x="86"/>
        <item x="294"/>
        <item x="99"/>
        <item x="297"/>
        <item x="92"/>
        <item x="101"/>
        <item x="253"/>
        <item x="91"/>
        <item x="94"/>
        <item x="141"/>
        <item x="109"/>
        <item x="174"/>
        <item x="105"/>
        <item x="127"/>
        <item x="108"/>
        <item x="67"/>
        <item x="117"/>
        <item x="118"/>
        <item x="133"/>
        <item x="104"/>
        <item x="298"/>
        <item x="114"/>
        <item x="149"/>
        <item x="119"/>
        <item x="150"/>
        <item x="120"/>
        <item x="122"/>
        <item x="123"/>
        <item x="124"/>
        <item x="151"/>
        <item x="143"/>
        <item x="160"/>
        <item x="134"/>
        <item x="135"/>
        <item x="129"/>
        <item x="128"/>
        <item x="137"/>
        <item x="136"/>
        <item x="132"/>
        <item x="139"/>
        <item x="154"/>
        <item x="126"/>
        <item x="146"/>
        <item x="144"/>
        <item x="145"/>
        <item x="147"/>
        <item x="158"/>
        <item x="159"/>
        <item x="156"/>
        <item x="157"/>
        <item x="178"/>
        <item x="138"/>
        <item x="171"/>
        <item x="148"/>
        <item x="121"/>
        <item x="161"/>
        <item x="162"/>
        <item x="165"/>
        <item x="164"/>
        <item x="112"/>
        <item x="153"/>
        <item x="155"/>
        <item x="166"/>
        <item x="163"/>
        <item x="168"/>
        <item x="172"/>
        <item x="111"/>
        <item x="130"/>
        <item x="167"/>
        <item x="110"/>
        <item x="106"/>
        <item x="116"/>
        <item x="125"/>
        <item x="296"/>
        <item x="175"/>
        <item x="115"/>
        <item x="170"/>
        <item x="113"/>
        <item x="176"/>
        <item x="140"/>
        <item x="152"/>
        <item x="177"/>
        <item x="173"/>
        <item x="180"/>
        <item x="131"/>
        <item x="179"/>
        <item x="107"/>
        <item x="181"/>
        <item x="142"/>
        <item x="183"/>
        <item x="203"/>
        <item x="202"/>
        <item x="193"/>
        <item x="187"/>
        <item x="186"/>
        <item x="189"/>
        <item x="195"/>
        <item x="198"/>
        <item x="295"/>
        <item x="184"/>
        <item x="194"/>
        <item x="197"/>
        <item x="196"/>
        <item x="182"/>
        <item x="188"/>
        <item x="199"/>
        <item x="200"/>
        <item x="30"/>
        <item x="192"/>
        <item x="201"/>
        <item x="204"/>
        <item x="185"/>
        <item x="206"/>
        <item x="190"/>
        <item x="205"/>
        <item x="191"/>
        <item x="207"/>
        <item x="211"/>
        <item x="212"/>
        <item x="216"/>
        <item x="222"/>
        <item x="226"/>
        <item x="214"/>
        <item x="232"/>
        <item x="209"/>
        <item x="217"/>
        <item x="218"/>
        <item x="220"/>
        <item x="213"/>
        <item x="224"/>
        <item x="228"/>
        <item x="227"/>
        <item x="229"/>
        <item x="225"/>
        <item x="230"/>
        <item x="235"/>
        <item x="219"/>
        <item x="231"/>
        <item x="208"/>
        <item x="210"/>
        <item x="221"/>
        <item x="233"/>
        <item x="223"/>
        <item x="234"/>
        <item x="236"/>
        <item x="215"/>
        <item x="237"/>
        <item x="238"/>
        <item x="239"/>
        <item x="240"/>
        <item x="261"/>
        <item x="251"/>
        <item x="244"/>
        <item x="245"/>
        <item x="246"/>
        <item x="254"/>
        <item x="267"/>
        <item x="249"/>
        <item x="257"/>
        <item x="265"/>
        <item x="260"/>
        <item x="241"/>
        <item x="255"/>
        <item x="266"/>
        <item x="243"/>
        <item x="250"/>
        <item x="259"/>
        <item x="258"/>
        <item x="242"/>
        <item x="252"/>
        <item x="262"/>
        <item x="0"/>
        <item x="256"/>
        <item x="268"/>
        <item x="248"/>
        <item x="263"/>
        <item x="291"/>
        <item x="292"/>
        <item x="264"/>
        <item x="277"/>
        <item x="272"/>
        <item x="287"/>
        <item x="271"/>
        <item x="276"/>
        <item x="273"/>
        <item x="281"/>
        <item x="286"/>
        <item x="274"/>
        <item x="288"/>
        <item x="278"/>
        <item x="279"/>
        <item x="290"/>
        <item x="289"/>
        <item x="283"/>
        <item x="284"/>
        <item x="280"/>
        <item x="285"/>
        <item x="282"/>
        <item x="169"/>
        <item x="275"/>
        <item x="270"/>
        <item t="default"/>
      </items>
    </pivotField>
    <pivotField numFmtId="165" showAll="0"/>
    <pivotField dataField="1" numFmtId="166" showAll="0"/>
    <pivotField dataField="1" numFmtId="167" showAll="0"/>
    <pivotField dataField="1" numFmtId="167" showAll="0"/>
    <pivotField numFmtId="167" showAll="0"/>
    <pivotField numFmtId="167" showAll="0"/>
    <pivotField dataField="1" showAll="0"/>
    <pivotField numFmtId="9" showAll="0"/>
    <pivotField showAll="0"/>
    <pivotField dataField="1" dragToRow="0" dragToCol="0" dragToPage="0" showAll="0" defaultSubtotal="0"/>
  </pivotFields>
  <rowFields count="1">
    <field x="0"/>
  </rowFields>
  <rowItems count="104">
    <i>
      <x v="24"/>
    </i>
    <i>
      <x v="49"/>
    </i>
    <i>
      <x v="92"/>
    </i>
    <i>
      <x v="69"/>
    </i>
    <i>
      <x v="89"/>
    </i>
    <i>
      <x v="15"/>
    </i>
    <i>
      <x v="58"/>
    </i>
    <i>
      <x v="6"/>
    </i>
    <i>
      <x v="27"/>
    </i>
    <i>
      <x v="88"/>
    </i>
    <i>
      <x v="46"/>
    </i>
    <i>
      <x v="23"/>
    </i>
    <i>
      <x/>
    </i>
    <i>
      <x v="40"/>
    </i>
    <i>
      <x v="30"/>
    </i>
    <i>
      <x v="38"/>
    </i>
    <i>
      <x v="81"/>
    </i>
    <i>
      <x v="26"/>
    </i>
    <i>
      <x v="47"/>
    </i>
    <i>
      <x v="62"/>
    </i>
    <i>
      <x v="39"/>
    </i>
    <i>
      <x v="25"/>
    </i>
    <i>
      <x v="82"/>
    </i>
    <i>
      <x v="102"/>
    </i>
    <i>
      <x v="16"/>
    </i>
    <i>
      <x v="45"/>
    </i>
    <i>
      <x v="90"/>
    </i>
    <i>
      <x v="52"/>
    </i>
    <i>
      <x v="61"/>
    </i>
    <i>
      <x v="50"/>
    </i>
    <i>
      <x v="72"/>
    </i>
    <i>
      <x v="34"/>
    </i>
    <i>
      <x v="91"/>
    </i>
    <i>
      <x v="60"/>
    </i>
    <i>
      <x v="1"/>
    </i>
    <i>
      <x v="18"/>
    </i>
    <i>
      <x v="86"/>
    </i>
    <i>
      <x v="57"/>
    </i>
    <i>
      <x v="41"/>
    </i>
    <i>
      <x v="85"/>
    </i>
    <i>
      <x v="22"/>
    </i>
    <i>
      <x v="48"/>
    </i>
    <i>
      <x v="21"/>
    </i>
    <i>
      <x v="93"/>
    </i>
    <i>
      <x v="68"/>
    </i>
    <i>
      <x v="7"/>
    </i>
    <i>
      <x v="99"/>
    </i>
    <i>
      <x v="101"/>
    </i>
    <i>
      <x v="78"/>
    </i>
    <i>
      <x v="84"/>
    </i>
    <i>
      <x v="11"/>
    </i>
    <i>
      <x v="19"/>
    </i>
    <i>
      <x v="70"/>
    </i>
    <i>
      <x v="17"/>
    </i>
    <i>
      <x v="56"/>
    </i>
    <i>
      <x v="44"/>
    </i>
    <i>
      <x v="96"/>
    </i>
    <i>
      <x v="31"/>
    </i>
    <i>
      <x v="32"/>
    </i>
    <i>
      <x v="63"/>
    </i>
    <i>
      <x v="97"/>
    </i>
    <i>
      <x v="79"/>
    </i>
    <i>
      <x v="4"/>
    </i>
    <i>
      <x v="20"/>
    </i>
    <i>
      <x v="33"/>
    </i>
    <i>
      <x v="100"/>
    </i>
    <i>
      <x v="37"/>
    </i>
    <i>
      <x v="55"/>
    </i>
    <i>
      <x v="42"/>
    </i>
    <i>
      <x v="75"/>
    </i>
    <i>
      <x v="80"/>
    </i>
    <i>
      <x v="66"/>
    </i>
    <i>
      <x v="53"/>
    </i>
    <i>
      <x v="5"/>
    </i>
    <i>
      <x v="59"/>
    </i>
    <i>
      <x v="65"/>
    </i>
    <i>
      <x v="54"/>
    </i>
    <i>
      <x v="9"/>
    </i>
    <i>
      <x v="14"/>
    </i>
    <i>
      <x v="95"/>
    </i>
    <i>
      <x v="13"/>
    </i>
    <i>
      <x v="28"/>
    </i>
    <i>
      <x v="2"/>
    </i>
    <i>
      <x v="77"/>
    </i>
    <i>
      <x v="29"/>
    </i>
    <i>
      <x v="8"/>
    </i>
    <i>
      <x v="12"/>
    </i>
    <i>
      <x v="36"/>
    </i>
    <i>
      <x v="51"/>
    </i>
    <i>
      <x v="87"/>
    </i>
    <i>
      <x v="10"/>
    </i>
    <i>
      <x v="64"/>
    </i>
    <i>
      <x v="83"/>
    </i>
    <i>
      <x v="3"/>
    </i>
    <i>
      <x v="98"/>
    </i>
    <i>
      <x v="73"/>
    </i>
    <i>
      <x v="67"/>
    </i>
    <i>
      <x v="94"/>
    </i>
    <i>
      <x v="35"/>
    </i>
    <i>
      <x v="71"/>
    </i>
    <i>
      <x v="43"/>
    </i>
    <i>
      <x v="74"/>
    </i>
    <i>
      <x v="76"/>
    </i>
    <i t="grand">
      <x/>
    </i>
  </rowItems>
  <colFields count="1">
    <field x="-2"/>
  </colFields>
  <colItems count="5">
    <i>
      <x/>
    </i>
    <i i="1">
      <x v="1"/>
    </i>
    <i i="2">
      <x v="2"/>
    </i>
    <i i="3">
      <x v="3"/>
    </i>
    <i i="4">
      <x v="4"/>
    </i>
  </colItems>
  <dataFields count="5">
    <dataField name="Sum of Invested Dollars 2018" fld="4" baseField="0" baseItem="0" numFmtId="166"/>
    <dataField name="Sum of Invested Dollars 2025" fld="5" baseField="0" baseItem="0" numFmtId="167"/>
    <dataField name="Sum of 7 Year Total Return" fld="6" baseField="0" baseItem="0" numFmtId="167"/>
    <dataField name="Average of Current P/E" fld="9" subtotal="average" baseField="0" baseItem="18"/>
    <dataField name="Sum of Return %" fld="12" baseField="0" baseItem="0" numFmtId="9"/>
  </dataFields>
  <formats count="2">
    <format dxfId="3">
      <pivotArea outline="0" collapsedLevelsAreSubtotals="1" fieldPosition="0">
        <references count="1">
          <reference field="4294967294" count="1" selected="0">
            <x v="4"/>
          </reference>
        </references>
      </pivotArea>
    </format>
    <format dxfId="2">
      <pivotArea dataOnly="0" labelOnly="1" outline="0" fieldPosition="0">
        <references count="1">
          <reference field="4294967294" count="1">
            <x v="4"/>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1BA4-1F99-8545-BAEA-1F7DCFCB5F43}">
  <sheetPr>
    <pageSetUpPr fitToPage="1"/>
  </sheetPr>
  <dimension ref="X2:BG110"/>
  <sheetViews>
    <sheetView tabSelected="1" zoomScale="55" zoomScaleNormal="55" zoomScaleSheetLayoutView="37" workbookViewId="0">
      <selection activeCell="AM127" sqref="AM127"/>
    </sheetView>
  </sheetViews>
  <sheetFormatPr defaultColWidth="10.77734375" defaultRowHeight="13.8" x14ac:dyDescent="0.25"/>
  <cols>
    <col min="1" max="16384" width="10.77734375" style="13"/>
  </cols>
  <sheetData>
    <row r="2" spans="24:59" ht="14.4" thickBot="1" x14ac:dyDescent="0.3">
      <c r="AW2" s="107"/>
    </row>
    <row r="3" spans="24:59" ht="37.200000000000003" x14ac:dyDescent="0.65">
      <c r="X3" s="97" t="s">
        <v>5758</v>
      </c>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9"/>
    </row>
    <row r="4" spans="24:59" x14ac:dyDescent="0.25">
      <c r="X4" s="14"/>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5"/>
    </row>
    <row r="5" spans="24:59" x14ac:dyDescent="0.25">
      <c r="X5" s="14"/>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5"/>
    </row>
    <row r="6" spans="24:59" x14ac:dyDescent="0.25">
      <c r="X6" s="14"/>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5"/>
    </row>
    <row r="7" spans="24:59" x14ac:dyDescent="0.25">
      <c r="X7" s="14"/>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5"/>
    </row>
    <row r="8" spans="24:59" x14ac:dyDescent="0.25">
      <c r="X8" s="14"/>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5"/>
    </row>
    <row r="9" spans="24:59" x14ac:dyDescent="0.25">
      <c r="X9" s="14"/>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5"/>
    </row>
    <row r="10" spans="24:59" x14ac:dyDescent="0.25">
      <c r="X10" s="14"/>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5"/>
    </row>
    <row r="11" spans="24:59" x14ac:dyDescent="0.25">
      <c r="X11" s="14"/>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5"/>
    </row>
    <row r="12" spans="24:59" x14ac:dyDescent="0.25">
      <c r="X12" s="14"/>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5"/>
    </row>
    <row r="13" spans="24:59" x14ac:dyDescent="0.25">
      <c r="X13" s="14"/>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5"/>
    </row>
    <row r="14" spans="24:59" x14ac:dyDescent="0.25">
      <c r="X14" s="14"/>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5"/>
    </row>
    <row r="15" spans="24:59" x14ac:dyDescent="0.25">
      <c r="X15" s="14"/>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5"/>
    </row>
    <row r="16" spans="24:59" x14ac:dyDescent="0.25">
      <c r="X16" s="14"/>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5"/>
    </row>
    <row r="17" spans="24:59" x14ac:dyDescent="0.25">
      <c r="X17" s="14"/>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5"/>
    </row>
    <row r="18" spans="24:59" x14ac:dyDescent="0.25">
      <c r="X18" s="14"/>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5"/>
    </row>
    <row r="19" spans="24:59" x14ac:dyDescent="0.25">
      <c r="X19" s="14"/>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5"/>
    </row>
    <row r="20" spans="24:59" x14ac:dyDescent="0.25">
      <c r="X20" s="14"/>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5"/>
    </row>
    <row r="21" spans="24:59" x14ac:dyDescent="0.25">
      <c r="X21" s="14"/>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5"/>
    </row>
    <row r="22" spans="24:59" x14ac:dyDescent="0.25">
      <c r="X22" s="14"/>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5"/>
    </row>
    <row r="23" spans="24:59" x14ac:dyDescent="0.25">
      <c r="X23" s="14"/>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5"/>
    </row>
    <row r="24" spans="24:59" x14ac:dyDescent="0.25">
      <c r="X24" s="14"/>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5"/>
    </row>
    <row r="25" spans="24:59" x14ac:dyDescent="0.25">
      <c r="X25" s="14"/>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5"/>
    </row>
    <row r="26" spans="24:59" x14ac:dyDescent="0.25">
      <c r="X26" s="14"/>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5"/>
    </row>
    <row r="27" spans="24:59" x14ac:dyDescent="0.25">
      <c r="X27" s="14"/>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5"/>
    </row>
    <row r="28" spans="24:59" x14ac:dyDescent="0.25">
      <c r="X28" s="14"/>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5"/>
    </row>
    <row r="29" spans="24:59" x14ac:dyDescent="0.25">
      <c r="X29" s="14"/>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5"/>
    </row>
    <row r="30" spans="24:59" x14ac:dyDescent="0.25">
      <c r="X30" s="14"/>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5"/>
    </row>
    <row r="31" spans="24:59" x14ac:dyDescent="0.25">
      <c r="X31" s="14"/>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5"/>
    </row>
    <row r="32" spans="24:59" x14ac:dyDescent="0.25">
      <c r="X32" s="14"/>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5"/>
    </row>
    <row r="33" spans="24:59" x14ac:dyDescent="0.25">
      <c r="X33" s="14"/>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5"/>
    </row>
    <row r="34" spans="24:59" x14ac:dyDescent="0.25">
      <c r="X34" s="14"/>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5"/>
    </row>
    <row r="35" spans="24:59" x14ac:dyDescent="0.25">
      <c r="X35" s="14"/>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5"/>
    </row>
    <row r="36" spans="24:59" x14ac:dyDescent="0.25">
      <c r="X36" s="14"/>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5"/>
    </row>
    <row r="37" spans="24:59" x14ac:dyDescent="0.25">
      <c r="X37" s="14"/>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5"/>
    </row>
    <row r="38" spans="24:59" x14ac:dyDescent="0.25">
      <c r="X38" s="14"/>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5"/>
    </row>
    <row r="39" spans="24:59" x14ac:dyDescent="0.25">
      <c r="X39" s="14"/>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5"/>
    </row>
    <row r="40" spans="24:59" x14ac:dyDescent="0.25">
      <c r="X40" s="14"/>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5"/>
    </row>
    <row r="41" spans="24:59" x14ac:dyDescent="0.25">
      <c r="X41" s="14"/>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5"/>
    </row>
    <row r="42" spans="24:59" x14ac:dyDescent="0.25">
      <c r="X42" s="14"/>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5"/>
    </row>
    <row r="43" spans="24:59" x14ac:dyDescent="0.25">
      <c r="X43" s="14"/>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5"/>
    </row>
    <row r="44" spans="24:59" x14ac:dyDescent="0.25">
      <c r="X44" s="14"/>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5"/>
    </row>
    <row r="45" spans="24:59" x14ac:dyDescent="0.25">
      <c r="X45" s="14"/>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5"/>
    </row>
    <row r="46" spans="24:59" x14ac:dyDescent="0.25">
      <c r="X46" s="14"/>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5"/>
    </row>
    <row r="47" spans="24:59" x14ac:dyDescent="0.25">
      <c r="X47" s="14"/>
      <c r="Y47" s="108"/>
      <c r="Z47" s="108"/>
      <c r="AA47" s="108"/>
      <c r="AB47" s="108"/>
      <c r="AC47" s="108"/>
      <c r="AD47" s="108"/>
      <c r="AE47" s="108"/>
      <c r="AF47" s="108"/>
      <c r="AG47" s="108"/>
      <c r="AH47" s="108"/>
      <c r="AI47" s="108"/>
      <c r="AJ47" s="108"/>
      <c r="AK47" s="108"/>
      <c r="AL47" s="108"/>
      <c r="AM47" s="108">
        <v>5</v>
      </c>
      <c r="AN47" s="108"/>
      <c r="AO47" s="108"/>
      <c r="AP47" s="108"/>
      <c r="AQ47" s="108"/>
      <c r="AR47" s="108"/>
      <c r="AS47" s="108"/>
      <c r="AT47" s="108"/>
      <c r="AU47" s="108"/>
      <c r="AV47" s="108"/>
      <c r="AW47" s="108"/>
      <c r="AX47" s="108"/>
      <c r="AY47" s="108"/>
      <c r="AZ47" s="108"/>
      <c r="BA47" s="108"/>
      <c r="BB47" s="108"/>
      <c r="BC47" s="108"/>
      <c r="BD47" s="108"/>
      <c r="BE47" s="108"/>
      <c r="BF47" s="108"/>
      <c r="BG47" s="15"/>
    </row>
    <row r="48" spans="24:59" x14ac:dyDescent="0.25">
      <c r="X48" s="14"/>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5"/>
    </row>
    <row r="49" spans="24:59" x14ac:dyDescent="0.25">
      <c r="X49" s="14"/>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5"/>
    </row>
    <row r="50" spans="24:59" x14ac:dyDescent="0.25">
      <c r="X50" s="14"/>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5"/>
    </row>
    <row r="51" spans="24:59" x14ac:dyDescent="0.25">
      <c r="X51" s="14"/>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5"/>
    </row>
    <row r="52" spans="24:59" x14ac:dyDescent="0.25">
      <c r="X52" s="14"/>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5"/>
    </row>
    <row r="53" spans="24:59" x14ac:dyDescent="0.25">
      <c r="X53" s="14"/>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5"/>
    </row>
    <row r="54" spans="24:59" x14ac:dyDescent="0.25">
      <c r="X54" s="14"/>
      <c r="Y54" s="108"/>
      <c r="Z54" s="108"/>
      <c r="AA54" s="108"/>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108"/>
      <c r="BC54" s="108"/>
      <c r="BD54" s="108"/>
      <c r="BE54" s="108"/>
      <c r="BF54" s="108"/>
      <c r="BG54" s="15"/>
    </row>
    <row r="55" spans="24:59" x14ac:dyDescent="0.25">
      <c r="X55" s="14"/>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5"/>
    </row>
    <row r="56" spans="24:59" x14ac:dyDescent="0.25">
      <c r="X56" s="14"/>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5"/>
    </row>
    <row r="57" spans="24:59" x14ac:dyDescent="0.25">
      <c r="X57" s="14"/>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5"/>
    </row>
    <row r="58" spans="24:59" x14ac:dyDescent="0.25">
      <c r="X58" s="14"/>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5"/>
    </row>
    <row r="59" spans="24:59" x14ac:dyDescent="0.25">
      <c r="X59" s="14"/>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5"/>
    </row>
    <row r="60" spans="24:59" x14ac:dyDescent="0.25">
      <c r="X60" s="14"/>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5"/>
    </row>
    <row r="61" spans="24:59" x14ac:dyDescent="0.25">
      <c r="X61" s="14"/>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5"/>
    </row>
    <row r="62" spans="24:59" x14ac:dyDescent="0.25">
      <c r="X62" s="14"/>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5"/>
    </row>
    <row r="63" spans="24:59" x14ac:dyDescent="0.25">
      <c r="X63" s="14"/>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5"/>
    </row>
    <row r="64" spans="24:59" x14ac:dyDescent="0.25">
      <c r="X64" s="14"/>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5"/>
    </row>
    <row r="65" spans="24:59" x14ac:dyDescent="0.25">
      <c r="X65" s="14"/>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108"/>
      <c r="AY65" s="108"/>
      <c r="AZ65" s="108"/>
      <c r="BA65" s="108"/>
      <c r="BB65" s="108"/>
      <c r="BC65" s="108"/>
      <c r="BD65" s="108"/>
      <c r="BE65" s="108"/>
      <c r="BF65" s="108"/>
      <c r="BG65" s="15"/>
    </row>
    <row r="66" spans="24:59" x14ac:dyDescent="0.25">
      <c r="X66" s="14"/>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5"/>
    </row>
    <row r="67" spans="24:59" x14ac:dyDescent="0.25">
      <c r="X67" s="14"/>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5"/>
    </row>
    <row r="68" spans="24:59" x14ac:dyDescent="0.25">
      <c r="X68" s="14"/>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5"/>
    </row>
    <row r="69" spans="24:59" x14ac:dyDescent="0.25">
      <c r="X69" s="14"/>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5"/>
    </row>
    <row r="70" spans="24:59" x14ac:dyDescent="0.25">
      <c r="X70" s="14"/>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5"/>
    </row>
    <row r="71" spans="24:59" x14ac:dyDescent="0.25">
      <c r="X71" s="14"/>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5"/>
    </row>
    <row r="72" spans="24:59" x14ac:dyDescent="0.25">
      <c r="X72" s="14"/>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5"/>
    </row>
    <row r="73" spans="24:59" x14ac:dyDescent="0.25">
      <c r="X73" s="14"/>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5"/>
    </row>
    <row r="74" spans="24:59" x14ac:dyDescent="0.25">
      <c r="X74" s="14"/>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5"/>
    </row>
    <row r="75" spans="24:59" x14ac:dyDescent="0.25">
      <c r="X75" s="14"/>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5"/>
    </row>
    <row r="76" spans="24:59" x14ac:dyDescent="0.25">
      <c r="X76" s="14"/>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5"/>
    </row>
    <row r="77" spans="24:59" x14ac:dyDescent="0.25">
      <c r="X77" s="14"/>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5"/>
    </row>
    <row r="78" spans="24:59" x14ac:dyDescent="0.25">
      <c r="X78" s="14"/>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5"/>
    </row>
    <row r="79" spans="24:59" x14ac:dyDescent="0.25">
      <c r="X79" s="14"/>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5"/>
    </row>
    <row r="80" spans="24:59" x14ac:dyDescent="0.25">
      <c r="X80" s="14"/>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5"/>
    </row>
    <row r="81" spans="24:59" x14ac:dyDescent="0.25">
      <c r="X81" s="14"/>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5"/>
    </row>
    <row r="82" spans="24:59" x14ac:dyDescent="0.25">
      <c r="X82" s="14"/>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5"/>
    </row>
    <row r="83" spans="24:59" x14ac:dyDescent="0.25">
      <c r="X83" s="14"/>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5"/>
    </row>
    <row r="84" spans="24:59" x14ac:dyDescent="0.25">
      <c r="X84" s="14"/>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5"/>
    </row>
    <row r="85" spans="24:59" x14ac:dyDescent="0.25">
      <c r="X85" s="14"/>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5"/>
    </row>
    <row r="86" spans="24:59" x14ac:dyDescent="0.25">
      <c r="X86" s="14"/>
      <c r="Y86" s="108"/>
      <c r="Z86" s="108"/>
      <c r="AA86" s="108"/>
      <c r="AB86" s="108"/>
      <c r="AC86" s="108"/>
      <c r="AD86" s="108"/>
      <c r="AE86" s="108"/>
      <c r="AF86" s="108" t="s">
        <v>5798</v>
      </c>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5"/>
    </row>
    <row r="87" spans="24:59" x14ac:dyDescent="0.25">
      <c r="X87" s="14"/>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5"/>
    </row>
    <row r="88" spans="24:59" x14ac:dyDescent="0.25">
      <c r="X88" s="14"/>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5"/>
    </row>
    <row r="89" spans="24:59" x14ac:dyDescent="0.25">
      <c r="X89" s="14"/>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5"/>
    </row>
    <row r="90" spans="24:59" x14ac:dyDescent="0.25">
      <c r="X90" s="14"/>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5"/>
    </row>
    <row r="91" spans="24:59" x14ac:dyDescent="0.25">
      <c r="X91" s="14"/>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5"/>
    </row>
    <row r="92" spans="24:59" x14ac:dyDescent="0.25">
      <c r="X92" s="14"/>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5"/>
    </row>
    <row r="93" spans="24:59" x14ac:dyDescent="0.25">
      <c r="X93" s="14"/>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5"/>
    </row>
    <row r="94" spans="24:59" x14ac:dyDescent="0.25">
      <c r="X94" s="14"/>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5"/>
    </row>
    <row r="95" spans="24:59" x14ac:dyDescent="0.25">
      <c r="X95" s="14"/>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5"/>
    </row>
    <row r="96" spans="24:59" x14ac:dyDescent="0.25">
      <c r="X96" s="14"/>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5"/>
    </row>
    <row r="97" spans="24:59" x14ac:dyDescent="0.25">
      <c r="X97" s="14"/>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5"/>
    </row>
    <row r="98" spans="24:59" x14ac:dyDescent="0.25">
      <c r="X98" s="14"/>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5"/>
    </row>
    <row r="99" spans="24:59" x14ac:dyDescent="0.25">
      <c r="X99" s="14"/>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5"/>
    </row>
    <row r="100" spans="24:59" x14ac:dyDescent="0.25">
      <c r="X100" s="14"/>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5"/>
    </row>
    <row r="101" spans="24:59" x14ac:dyDescent="0.25">
      <c r="X101" s="14"/>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5"/>
    </row>
    <row r="102" spans="24:59" x14ac:dyDescent="0.25">
      <c r="X102" s="14"/>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5"/>
    </row>
    <row r="103" spans="24:59" x14ac:dyDescent="0.25">
      <c r="X103" s="14"/>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5"/>
    </row>
    <row r="104" spans="24:59" x14ac:dyDescent="0.25">
      <c r="X104" s="14"/>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5"/>
    </row>
    <row r="105" spans="24:59" x14ac:dyDescent="0.25">
      <c r="X105" s="14"/>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5"/>
    </row>
    <row r="106" spans="24:59" x14ac:dyDescent="0.25">
      <c r="X106" s="14"/>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5"/>
    </row>
    <row r="107" spans="24:59" x14ac:dyDescent="0.25">
      <c r="X107" s="14"/>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5"/>
    </row>
    <row r="108" spans="24:59" x14ac:dyDescent="0.25">
      <c r="X108" s="14"/>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5"/>
    </row>
    <row r="109" spans="24:59" x14ac:dyDescent="0.25">
      <c r="X109" s="14"/>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5"/>
    </row>
    <row r="110" spans="24:59" ht="14.4" thickBot="1" x14ac:dyDescent="0.3">
      <c r="X110" s="16"/>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8"/>
    </row>
  </sheetData>
  <mergeCells count="1">
    <mergeCell ref="X3:BG3"/>
  </mergeCells>
  <printOptions horizontalCentered="1"/>
  <pageMargins left="0.7" right="0.7" top="0.75" bottom="0.75" header="0.3" footer="0.3"/>
  <pageSetup scale="22" fitToHeight="0" orientation="landscape" r:id="rId1"/>
  <headerFooter>
    <oddHeader>&amp;C&amp;"Calibri,Bold"&amp;36&amp;A&amp;R&amp;"Calibri,Bold"&amp;36&amp;P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
  <sheetViews>
    <sheetView zoomScale="75" zoomScaleNormal="130" zoomScalePageLayoutView="130" workbookViewId="0">
      <selection activeCell="Q80" sqref="Q80"/>
    </sheetView>
  </sheetViews>
  <sheetFormatPr defaultColWidth="11" defaultRowHeight="13.2" x14ac:dyDescent="0.25"/>
  <cols>
    <col min="1" max="1" width="2" style="8" bestFit="1" customWidth="1"/>
    <col min="2" max="2" width="7.44140625" style="8" bestFit="1" customWidth="1"/>
    <col min="3" max="3" width="5" style="8" bestFit="1" customWidth="1"/>
    <col min="4" max="13" width="10.21875" style="8" bestFit="1" customWidth="1"/>
    <col min="14" max="14" width="11.21875" style="8" bestFit="1" customWidth="1"/>
    <col min="15" max="15" width="6.77734375" style="8" bestFit="1" customWidth="1"/>
    <col min="16" max="256" width="11" style="8"/>
    <col min="257" max="257" width="2" style="8" bestFit="1" customWidth="1"/>
    <col min="258" max="258" width="7.44140625" style="8" bestFit="1" customWidth="1"/>
    <col min="259" max="259" width="5" style="8" bestFit="1" customWidth="1"/>
    <col min="260" max="269" width="10.21875" style="8" bestFit="1" customWidth="1"/>
    <col min="270" max="270" width="11.21875" style="8" bestFit="1" customWidth="1"/>
    <col min="271" max="271" width="6.77734375" style="8" bestFit="1" customWidth="1"/>
    <col min="272" max="512" width="11" style="8"/>
    <col min="513" max="513" width="2" style="8" bestFit="1" customWidth="1"/>
    <col min="514" max="514" width="7.44140625" style="8" bestFit="1" customWidth="1"/>
    <col min="515" max="515" width="5" style="8" bestFit="1" customWidth="1"/>
    <col min="516" max="525" width="10.21875" style="8" bestFit="1" customWidth="1"/>
    <col min="526" max="526" width="11.21875" style="8" bestFit="1" customWidth="1"/>
    <col min="527" max="527" width="6.77734375" style="8" bestFit="1" customWidth="1"/>
    <col min="528" max="768" width="11" style="8"/>
    <col min="769" max="769" width="2" style="8" bestFit="1" customWidth="1"/>
    <col min="770" max="770" width="7.44140625" style="8" bestFit="1" customWidth="1"/>
    <col min="771" max="771" width="5" style="8" bestFit="1" customWidth="1"/>
    <col min="772" max="781" width="10.21875" style="8" bestFit="1" customWidth="1"/>
    <col min="782" max="782" width="11.21875" style="8" bestFit="1" customWidth="1"/>
    <col min="783" max="783" width="6.77734375" style="8" bestFit="1" customWidth="1"/>
    <col min="784" max="1024" width="11" style="8"/>
    <col min="1025" max="1025" width="2" style="8" bestFit="1" customWidth="1"/>
    <col min="1026" max="1026" width="7.44140625" style="8" bestFit="1" customWidth="1"/>
    <col min="1027" max="1027" width="5" style="8" bestFit="1" customWidth="1"/>
    <col min="1028" max="1037" width="10.21875" style="8" bestFit="1" customWidth="1"/>
    <col min="1038" max="1038" width="11.21875" style="8" bestFit="1" customWidth="1"/>
    <col min="1039" max="1039" width="6.77734375" style="8" bestFit="1" customWidth="1"/>
    <col min="1040" max="1280" width="11" style="8"/>
    <col min="1281" max="1281" width="2" style="8" bestFit="1" customWidth="1"/>
    <col min="1282" max="1282" width="7.44140625" style="8" bestFit="1" customWidth="1"/>
    <col min="1283" max="1283" width="5" style="8" bestFit="1" customWidth="1"/>
    <col min="1284" max="1293" width="10.21875" style="8" bestFit="1" customWidth="1"/>
    <col min="1294" max="1294" width="11.21875" style="8" bestFit="1" customWidth="1"/>
    <col min="1295" max="1295" width="6.77734375" style="8" bestFit="1" customWidth="1"/>
    <col min="1296" max="1536" width="11" style="8"/>
    <col min="1537" max="1537" width="2" style="8" bestFit="1" customWidth="1"/>
    <col min="1538" max="1538" width="7.44140625" style="8" bestFit="1" customWidth="1"/>
    <col min="1539" max="1539" width="5" style="8" bestFit="1" customWidth="1"/>
    <col min="1540" max="1549" width="10.21875" style="8" bestFit="1" customWidth="1"/>
    <col min="1550" max="1550" width="11.21875" style="8" bestFit="1" customWidth="1"/>
    <col min="1551" max="1551" width="6.77734375" style="8" bestFit="1" customWidth="1"/>
    <col min="1552" max="1792" width="11" style="8"/>
    <col min="1793" max="1793" width="2" style="8" bestFit="1" customWidth="1"/>
    <col min="1794" max="1794" width="7.44140625" style="8" bestFit="1" customWidth="1"/>
    <col min="1795" max="1795" width="5" style="8" bestFit="1" customWidth="1"/>
    <col min="1796" max="1805" width="10.21875" style="8" bestFit="1" customWidth="1"/>
    <col min="1806" max="1806" width="11.21875" style="8" bestFit="1" customWidth="1"/>
    <col min="1807" max="1807" width="6.77734375" style="8" bestFit="1" customWidth="1"/>
    <col min="1808" max="2048" width="11" style="8"/>
    <col min="2049" max="2049" width="2" style="8" bestFit="1" customWidth="1"/>
    <col min="2050" max="2050" width="7.44140625" style="8" bestFit="1" customWidth="1"/>
    <col min="2051" max="2051" width="5" style="8" bestFit="1" customWidth="1"/>
    <col min="2052" max="2061" width="10.21875" style="8" bestFit="1" customWidth="1"/>
    <col min="2062" max="2062" width="11.21875" style="8" bestFit="1" customWidth="1"/>
    <col min="2063" max="2063" width="6.77734375" style="8" bestFit="1" customWidth="1"/>
    <col min="2064" max="2304" width="11" style="8"/>
    <col min="2305" max="2305" width="2" style="8" bestFit="1" customWidth="1"/>
    <col min="2306" max="2306" width="7.44140625" style="8" bestFit="1" customWidth="1"/>
    <col min="2307" max="2307" width="5" style="8" bestFit="1" customWidth="1"/>
    <col min="2308" max="2317" width="10.21875" style="8" bestFit="1" customWidth="1"/>
    <col min="2318" max="2318" width="11.21875" style="8" bestFit="1" customWidth="1"/>
    <col min="2319" max="2319" width="6.77734375" style="8" bestFit="1" customWidth="1"/>
    <col min="2320" max="2560" width="11" style="8"/>
    <col min="2561" max="2561" width="2" style="8" bestFit="1" customWidth="1"/>
    <col min="2562" max="2562" width="7.44140625" style="8" bestFit="1" customWidth="1"/>
    <col min="2563" max="2563" width="5" style="8" bestFit="1" customWidth="1"/>
    <col min="2564" max="2573" width="10.21875" style="8" bestFit="1" customWidth="1"/>
    <col min="2574" max="2574" width="11.21875" style="8" bestFit="1" customWidth="1"/>
    <col min="2575" max="2575" width="6.77734375" style="8" bestFit="1" customWidth="1"/>
    <col min="2576" max="2816" width="11" style="8"/>
    <col min="2817" max="2817" width="2" style="8" bestFit="1" customWidth="1"/>
    <col min="2818" max="2818" width="7.44140625" style="8" bestFit="1" customWidth="1"/>
    <col min="2819" max="2819" width="5" style="8" bestFit="1" customWidth="1"/>
    <col min="2820" max="2829" width="10.21875" style="8" bestFit="1" customWidth="1"/>
    <col min="2830" max="2830" width="11.21875" style="8" bestFit="1" customWidth="1"/>
    <col min="2831" max="2831" width="6.77734375" style="8" bestFit="1" customWidth="1"/>
    <col min="2832" max="3072" width="11" style="8"/>
    <col min="3073" max="3073" width="2" style="8" bestFit="1" customWidth="1"/>
    <col min="3074" max="3074" width="7.44140625" style="8" bestFit="1" customWidth="1"/>
    <col min="3075" max="3075" width="5" style="8" bestFit="1" customWidth="1"/>
    <col min="3076" max="3085" width="10.21875" style="8" bestFit="1" customWidth="1"/>
    <col min="3086" max="3086" width="11.21875" style="8" bestFit="1" customWidth="1"/>
    <col min="3087" max="3087" width="6.77734375" style="8" bestFit="1" customWidth="1"/>
    <col min="3088" max="3328" width="11" style="8"/>
    <col min="3329" max="3329" width="2" style="8" bestFit="1" customWidth="1"/>
    <col min="3330" max="3330" width="7.44140625" style="8" bestFit="1" customWidth="1"/>
    <col min="3331" max="3331" width="5" style="8" bestFit="1" customWidth="1"/>
    <col min="3332" max="3341" width="10.21875" style="8" bestFit="1" customWidth="1"/>
    <col min="3342" max="3342" width="11.21875" style="8" bestFit="1" customWidth="1"/>
    <col min="3343" max="3343" width="6.77734375" style="8" bestFit="1" customWidth="1"/>
    <col min="3344" max="3584" width="11" style="8"/>
    <col min="3585" max="3585" width="2" style="8" bestFit="1" customWidth="1"/>
    <col min="3586" max="3586" width="7.44140625" style="8" bestFit="1" customWidth="1"/>
    <col min="3587" max="3587" width="5" style="8" bestFit="1" customWidth="1"/>
    <col min="3588" max="3597" width="10.21875" style="8" bestFit="1" customWidth="1"/>
    <col min="3598" max="3598" width="11.21875" style="8" bestFit="1" customWidth="1"/>
    <col min="3599" max="3599" width="6.77734375" style="8" bestFit="1" customWidth="1"/>
    <col min="3600" max="3840" width="11" style="8"/>
    <col min="3841" max="3841" width="2" style="8" bestFit="1" customWidth="1"/>
    <col min="3842" max="3842" width="7.44140625" style="8" bestFit="1" customWidth="1"/>
    <col min="3843" max="3843" width="5" style="8" bestFit="1" customWidth="1"/>
    <col min="3844" max="3853" width="10.21875" style="8" bestFit="1" customWidth="1"/>
    <col min="3854" max="3854" width="11.21875" style="8" bestFit="1" customWidth="1"/>
    <col min="3855" max="3855" width="6.77734375" style="8" bestFit="1" customWidth="1"/>
    <col min="3856" max="4096" width="11" style="8"/>
    <col min="4097" max="4097" width="2" style="8" bestFit="1" customWidth="1"/>
    <col min="4098" max="4098" width="7.44140625" style="8" bestFit="1" customWidth="1"/>
    <col min="4099" max="4099" width="5" style="8" bestFit="1" customWidth="1"/>
    <col min="4100" max="4109" width="10.21875" style="8" bestFit="1" customWidth="1"/>
    <col min="4110" max="4110" width="11.21875" style="8" bestFit="1" customWidth="1"/>
    <col min="4111" max="4111" width="6.77734375" style="8" bestFit="1" customWidth="1"/>
    <col min="4112" max="4352" width="11" style="8"/>
    <col min="4353" max="4353" width="2" style="8" bestFit="1" customWidth="1"/>
    <col min="4354" max="4354" width="7.44140625" style="8" bestFit="1" customWidth="1"/>
    <col min="4355" max="4355" width="5" style="8" bestFit="1" customWidth="1"/>
    <col min="4356" max="4365" width="10.21875" style="8" bestFit="1" customWidth="1"/>
    <col min="4366" max="4366" width="11.21875" style="8" bestFit="1" customWidth="1"/>
    <col min="4367" max="4367" width="6.77734375" style="8" bestFit="1" customWidth="1"/>
    <col min="4368" max="4608" width="11" style="8"/>
    <col min="4609" max="4609" width="2" style="8" bestFit="1" customWidth="1"/>
    <col min="4610" max="4610" width="7.44140625" style="8" bestFit="1" customWidth="1"/>
    <col min="4611" max="4611" width="5" style="8" bestFit="1" customWidth="1"/>
    <col min="4612" max="4621" width="10.21875" style="8" bestFit="1" customWidth="1"/>
    <col min="4622" max="4622" width="11.21875" style="8" bestFit="1" customWidth="1"/>
    <col min="4623" max="4623" width="6.77734375" style="8" bestFit="1" customWidth="1"/>
    <col min="4624" max="4864" width="11" style="8"/>
    <col min="4865" max="4865" width="2" style="8" bestFit="1" customWidth="1"/>
    <col min="4866" max="4866" width="7.44140625" style="8" bestFit="1" customWidth="1"/>
    <col min="4867" max="4867" width="5" style="8" bestFit="1" customWidth="1"/>
    <col min="4868" max="4877" width="10.21875" style="8" bestFit="1" customWidth="1"/>
    <col min="4878" max="4878" width="11.21875" style="8" bestFit="1" customWidth="1"/>
    <col min="4879" max="4879" width="6.77734375" style="8" bestFit="1" customWidth="1"/>
    <col min="4880" max="5120" width="11" style="8"/>
    <col min="5121" max="5121" width="2" style="8" bestFit="1" customWidth="1"/>
    <col min="5122" max="5122" width="7.44140625" style="8" bestFit="1" customWidth="1"/>
    <col min="5123" max="5123" width="5" style="8" bestFit="1" customWidth="1"/>
    <col min="5124" max="5133" width="10.21875" style="8" bestFit="1" customWidth="1"/>
    <col min="5134" max="5134" width="11.21875" style="8" bestFit="1" customWidth="1"/>
    <col min="5135" max="5135" width="6.77734375" style="8" bestFit="1" customWidth="1"/>
    <col min="5136" max="5376" width="11" style="8"/>
    <col min="5377" max="5377" width="2" style="8" bestFit="1" customWidth="1"/>
    <col min="5378" max="5378" width="7.44140625" style="8" bestFit="1" customWidth="1"/>
    <col min="5379" max="5379" width="5" style="8" bestFit="1" customWidth="1"/>
    <col min="5380" max="5389" width="10.21875" style="8" bestFit="1" customWidth="1"/>
    <col min="5390" max="5390" width="11.21875" style="8" bestFit="1" customWidth="1"/>
    <col min="5391" max="5391" width="6.77734375" style="8" bestFit="1" customWidth="1"/>
    <col min="5392" max="5632" width="11" style="8"/>
    <col min="5633" max="5633" width="2" style="8" bestFit="1" customWidth="1"/>
    <col min="5634" max="5634" width="7.44140625" style="8" bestFit="1" customWidth="1"/>
    <col min="5635" max="5635" width="5" style="8" bestFit="1" customWidth="1"/>
    <col min="5636" max="5645" width="10.21875" style="8" bestFit="1" customWidth="1"/>
    <col min="5646" max="5646" width="11.21875" style="8" bestFit="1" customWidth="1"/>
    <col min="5647" max="5647" width="6.77734375" style="8" bestFit="1" customWidth="1"/>
    <col min="5648" max="5888" width="11" style="8"/>
    <col min="5889" max="5889" width="2" style="8" bestFit="1" customWidth="1"/>
    <col min="5890" max="5890" width="7.44140625" style="8" bestFit="1" customWidth="1"/>
    <col min="5891" max="5891" width="5" style="8" bestFit="1" customWidth="1"/>
    <col min="5892" max="5901" width="10.21875" style="8" bestFit="1" customWidth="1"/>
    <col min="5902" max="5902" width="11.21875" style="8" bestFit="1" customWidth="1"/>
    <col min="5903" max="5903" width="6.77734375" style="8" bestFit="1" customWidth="1"/>
    <col min="5904" max="6144" width="11" style="8"/>
    <col min="6145" max="6145" width="2" style="8" bestFit="1" customWidth="1"/>
    <col min="6146" max="6146" width="7.44140625" style="8" bestFit="1" customWidth="1"/>
    <col min="6147" max="6147" width="5" style="8" bestFit="1" customWidth="1"/>
    <col min="6148" max="6157" width="10.21875" style="8" bestFit="1" customWidth="1"/>
    <col min="6158" max="6158" width="11.21875" style="8" bestFit="1" customWidth="1"/>
    <col min="6159" max="6159" width="6.77734375" style="8" bestFit="1" customWidth="1"/>
    <col min="6160" max="6400" width="11" style="8"/>
    <col min="6401" max="6401" width="2" style="8" bestFit="1" customWidth="1"/>
    <col min="6402" max="6402" width="7.44140625" style="8" bestFit="1" customWidth="1"/>
    <col min="6403" max="6403" width="5" style="8" bestFit="1" customWidth="1"/>
    <col min="6404" max="6413" width="10.21875" style="8" bestFit="1" customWidth="1"/>
    <col min="6414" max="6414" width="11.21875" style="8" bestFit="1" customWidth="1"/>
    <col min="6415" max="6415" width="6.77734375" style="8" bestFit="1" customWidth="1"/>
    <col min="6416" max="6656" width="11" style="8"/>
    <col min="6657" max="6657" width="2" style="8" bestFit="1" customWidth="1"/>
    <col min="6658" max="6658" width="7.44140625" style="8" bestFit="1" customWidth="1"/>
    <col min="6659" max="6659" width="5" style="8" bestFit="1" customWidth="1"/>
    <col min="6660" max="6669" width="10.21875" style="8" bestFit="1" customWidth="1"/>
    <col min="6670" max="6670" width="11.21875" style="8" bestFit="1" customWidth="1"/>
    <col min="6671" max="6671" width="6.77734375" style="8" bestFit="1" customWidth="1"/>
    <col min="6672" max="6912" width="11" style="8"/>
    <col min="6913" max="6913" width="2" style="8" bestFit="1" customWidth="1"/>
    <col min="6914" max="6914" width="7.44140625" style="8" bestFit="1" customWidth="1"/>
    <col min="6915" max="6915" width="5" style="8" bestFit="1" customWidth="1"/>
    <col min="6916" max="6925" width="10.21875" style="8" bestFit="1" customWidth="1"/>
    <col min="6926" max="6926" width="11.21875" style="8" bestFit="1" customWidth="1"/>
    <col min="6927" max="6927" width="6.77734375" style="8" bestFit="1" customWidth="1"/>
    <col min="6928" max="7168" width="11" style="8"/>
    <col min="7169" max="7169" width="2" style="8" bestFit="1" customWidth="1"/>
    <col min="7170" max="7170" width="7.44140625" style="8" bestFit="1" customWidth="1"/>
    <col min="7171" max="7171" width="5" style="8" bestFit="1" customWidth="1"/>
    <col min="7172" max="7181" width="10.21875" style="8" bestFit="1" customWidth="1"/>
    <col min="7182" max="7182" width="11.21875" style="8" bestFit="1" customWidth="1"/>
    <col min="7183" max="7183" width="6.77734375" style="8" bestFit="1" customWidth="1"/>
    <col min="7184" max="7424" width="11" style="8"/>
    <col min="7425" max="7425" width="2" style="8" bestFit="1" customWidth="1"/>
    <col min="7426" max="7426" width="7.44140625" style="8" bestFit="1" customWidth="1"/>
    <col min="7427" max="7427" width="5" style="8" bestFit="1" customWidth="1"/>
    <col min="7428" max="7437" width="10.21875" style="8" bestFit="1" customWidth="1"/>
    <col min="7438" max="7438" width="11.21875" style="8" bestFit="1" customWidth="1"/>
    <col min="7439" max="7439" width="6.77734375" style="8" bestFit="1" customWidth="1"/>
    <col min="7440" max="7680" width="11" style="8"/>
    <col min="7681" max="7681" width="2" style="8" bestFit="1" customWidth="1"/>
    <col min="7682" max="7682" width="7.44140625" style="8" bestFit="1" customWidth="1"/>
    <col min="7683" max="7683" width="5" style="8" bestFit="1" customWidth="1"/>
    <col min="7684" max="7693" width="10.21875" style="8" bestFit="1" customWidth="1"/>
    <col min="7694" max="7694" width="11.21875" style="8" bestFit="1" customWidth="1"/>
    <col min="7695" max="7695" width="6.77734375" style="8" bestFit="1" customWidth="1"/>
    <col min="7696" max="7936" width="11" style="8"/>
    <col min="7937" max="7937" width="2" style="8" bestFit="1" customWidth="1"/>
    <col min="7938" max="7938" width="7.44140625" style="8" bestFit="1" customWidth="1"/>
    <col min="7939" max="7939" width="5" style="8" bestFit="1" customWidth="1"/>
    <col min="7940" max="7949" width="10.21875" style="8" bestFit="1" customWidth="1"/>
    <col min="7950" max="7950" width="11.21875" style="8" bestFit="1" customWidth="1"/>
    <col min="7951" max="7951" width="6.77734375" style="8" bestFit="1" customWidth="1"/>
    <col min="7952" max="8192" width="11" style="8"/>
    <col min="8193" max="8193" width="2" style="8" bestFit="1" customWidth="1"/>
    <col min="8194" max="8194" width="7.44140625" style="8" bestFit="1" customWidth="1"/>
    <col min="8195" max="8195" width="5" style="8" bestFit="1" customWidth="1"/>
    <col min="8196" max="8205" width="10.21875" style="8" bestFit="1" customWidth="1"/>
    <col min="8206" max="8206" width="11.21875" style="8" bestFit="1" customWidth="1"/>
    <col min="8207" max="8207" width="6.77734375" style="8" bestFit="1" customWidth="1"/>
    <col min="8208" max="8448" width="11" style="8"/>
    <col min="8449" max="8449" width="2" style="8" bestFit="1" customWidth="1"/>
    <col min="8450" max="8450" width="7.44140625" style="8" bestFit="1" customWidth="1"/>
    <col min="8451" max="8451" width="5" style="8" bestFit="1" customWidth="1"/>
    <col min="8452" max="8461" width="10.21875" style="8" bestFit="1" customWidth="1"/>
    <col min="8462" max="8462" width="11.21875" style="8" bestFit="1" customWidth="1"/>
    <col min="8463" max="8463" width="6.77734375" style="8" bestFit="1" customWidth="1"/>
    <col min="8464" max="8704" width="11" style="8"/>
    <col min="8705" max="8705" width="2" style="8" bestFit="1" customWidth="1"/>
    <col min="8706" max="8706" width="7.44140625" style="8" bestFit="1" customWidth="1"/>
    <col min="8707" max="8707" width="5" style="8" bestFit="1" customWidth="1"/>
    <col min="8708" max="8717" width="10.21875" style="8" bestFit="1" customWidth="1"/>
    <col min="8718" max="8718" width="11.21875" style="8" bestFit="1" customWidth="1"/>
    <col min="8719" max="8719" width="6.77734375" style="8" bestFit="1" customWidth="1"/>
    <col min="8720" max="8960" width="11" style="8"/>
    <col min="8961" max="8961" width="2" style="8" bestFit="1" customWidth="1"/>
    <col min="8962" max="8962" width="7.44140625" style="8" bestFit="1" customWidth="1"/>
    <col min="8963" max="8963" width="5" style="8" bestFit="1" customWidth="1"/>
    <col min="8964" max="8973" width="10.21875" style="8" bestFit="1" customWidth="1"/>
    <col min="8974" max="8974" width="11.21875" style="8" bestFit="1" customWidth="1"/>
    <col min="8975" max="8975" width="6.77734375" style="8" bestFit="1" customWidth="1"/>
    <col min="8976" max="9216" width="11" style="8"/>
    <col min="9217" max="9217" width="2" style="8" bestFit="1" customWidth="1"/>
    <col min="9218" max="9218" width="7.44140625" style="8" bestFit="1" customWidth="1"/>
    <col min="9219" max="9219" width="5" style="8" bestFit="1" customWidth="1"/>
    <col min="9220" max="9229" width="10.21875" style="8" bestFit="1" customWidth="1"/>
    <col min="9230" max="9230" width="11.21875" style="8" bestFit="1" customWidth="1"/>
    <col min="9231" max="9231" width="6.77734375" style="8" bestFit="1" customWidth="1"/>
    <col min="9232" max="9472" width="11" style="8"/>
    <col min="9473" max="9473" width="2" style="8" bestFit="1" customWidth="1"/>
    <col min="9474" max="9474" width="7.44140625" style="8" bestFit="1" customWidth="1"/>
    <col min="9475" max="9475" width="5" style="8" bestFit="1" customWidth="1"/>
    <col min="9476" max="9485" width="10.21875" style="8" bestFit="1" customWidth="1"/>
    <col min="9486" max="9486" width="11.21875" style="8" bestFit="1" customWidth="1"/>
    <col min="9487" max="9487" width="6.77734375" style="8" bestFit="1" customWidth="1"/>
    <col min="9488" max="9728" width="11" style="8"/>
    <col min="9729" max="9729" width="2" style="8" bestFit="1" customWidth="1"/>
    <col min="9730" max="9730" width="7.44140625" style="8" bestFit="1" customWidth="1"/>
    <col min="9731" max="9731" width="5" style="8" bestFit="1" customWidth="1"/>
    <col min="9732" max="9741" width="10.21875" style="8" bestFit="1" customWidth="1"/>
    <col min="9742" max="9742" width="11.21875" style="8" bestFit="1" customWidth="1"/>
    <col min="9743" max="9743" width="6.77734375" style="8" bestFit="1" customWidth="1"/>
    <col min="9744" max="9984" width="11" style="8"/>
    <col min="9985" max="9985" width="2" style="8" bestFit="1" customWidth="1"/>
    <col min="9986" max="9986" width="7.44140625" style="8" bestFit="1" customWidth="1"/>
    <col min="9987" max="9987" width="5" style="8" bestFit="1" customWidth="1"/>
    <col min="9988" max="9997" width="10.21875" style="8" bestFit="1" customWidth="1"/>
    <col min="9998" max="9998" width="11.21875" style="8" bestFit="1" customWidth="1"/>
    <col min="9999" max="9999" width="6.77734375" style="8" bestFit="1" customWidth="1"/>
    <col min="10000" max="10240" width="11" style="8"/>
    <col min="10241" max="10241" width="2" style="8" bestFit="1" customWidth="1"/>
    <col min="10242" max="10242" width="7.44140625" style="8" bestFit="1" customWidth="1"/>
    <col min="10243" max="10243" width="5" style="8" bestFit="1" customWidth="1"/>
    <col min="10244" max="10253" width="10.21875" style="8" bestFit="1" customWidth="1"/>
    <col min="10254" max="10254" width="11.21875" style="8" bestFit="1" customWidth="1"/>
    <col min="10255" max="10255" width="6.77734375" style="8" bestFit="1" customWidth="1"/>
    <col min="10256" max="10496" width="11" style="8"/>
    <col min="10497" max="10497" width="2" style="8" bestFit="1" customWidth="1"/>
    <col min="10498" max="10498" width="7.44140625" style="8" bestFit="1" customWidth="1"/>
    <col min="10499" max="10499" width="5" style="8" bestFit="1" customWidth="1"/>
    <col min="10500" max="10509" width="10.21875" style="8" bestFit="1" customWidth="1"/>
    <col min="10510" max="10510" width="11.21875" style="8" bestFit="1" customWidth="1"/>
    <col min="10511" max="10511" width="6.77734375" style="8" bestFit="1" customWidth="1"/>
    <col min="10512" max="10752" width="11" style="8"/>
    <col min="10753" max="10753" width="2" style="8" bestFit="1" customWidth="1"/>
    <col min="10754" max="10754" width="7.44140625" style="8" bestFit="1" customWidth="1"/>
    <col min="10755" max="10755" width="5" style="8" bestFit="1" customWidth="1"/>
    <col min="10756" max="10765" width="10.21875" style="8" bestFit="1" customWidth="1"/>
    <col min="10766" max="10766" width="11.21875" style="8" bestFit="1" customWidth="1"/>
    <col min="10767" max="10767" width="6.77734375" style="8" bestFit="1" customWidth="1"/>
    <col min="10768" max="11008" width="11" style="8"/>
    <col min="11009" max="11009" width="2" style="8" bestFit="1" customWidth="1"/>
    <col min="11010" max="11010" width="7.44140625" style="8" bestFit="1" customWidth="1"/>
    <col min="11011" max="11011" width="5" style="8" bestFit="1" customWidth="1"/>
    <col min="11012" max="11021" width="10.21875" style="8" bestFit="1" customWidth="1"/>
    <col min="11022" max="11022" width="11.21875" style="8" bestFit="1" customWidth="1"/>
    <col min="11023" max="11023" width="6.77734375" style="8" bestFit="1" customWidth="1"/>
    <col min="11024" max="11264" width="11" style="8"/>
    <col min="11265" max="11265" width="2" style="8" bestFit="1" customWidth="1"/>
    <col min="11266" max="11266" width="7.44140625" style="8" bestFit="1" customWidth="1"/>
    <col min="11267" max="11267" width="5" style="8" bestFit="1" customWidth="1"/>
    <col min="11268" max="11277" width="10.21875" style="8" bestFit="1" customWidth="1"/>
    <col min="11278" max="11278" width="11.21875" style="8" bestFit="1" customWidth="1"/>
    <col min="11279" max="11279" width="6.77734375" style="8" bestFit="1" customWidth="1"/>
    <col min="11280" max="11520" width="11" style="8"/>
    <col min="11521" max="11521" width="2" style="8" bestFit="1" customWidth="1"/>
    <col min="11522" max="11522" width="7.44140625" style="8" bestFit="1" customWidth="1"/>
    <col min="11523" max="11523" width="5" style="8" bestFit="1" customWidth="1"/>
    <col min="11524" max="11533" width="10.21875" style="8" bestFit="1" customWidth="1"/>
    <col min="11534" max="11534" width="11.21875" style="8" bestFit="1" customWidth="1"/>
    <col min="11535" max="11535" width="6.77734375" style="8" bestFit="1" customWidth="1"/>
    <col min="11536" max="11776" width="11" style="8"/>
    <col min="11777" max="11777" width="2" style="8" bestFit="1" customWidth="1"/>
    <col min="11778" max="11778" width="7.44140625" style="8" bestFit="1" customWidth="1"/>
    <col min="11779" max="11779" width="5" style="8" bestFit="1" customWidth="1"/>
    <col min="11780" max="11789" width="10.21875" style="8" bestFit="1" customWidth="1"/>
    <col min="11790" max="11790" width="11.21875" style="8" bestFit="1" customWidth="1"/>
    <col min="11791" max="11791" width="6.77734375" style="8" bestFit="1" customWidth="1"/>
    <col min="11792" max="12032" width="11" style="8"/>
    <col min="12033" max="12033" width="2" style="8" bestFit="1" customWidth="1"/>
    <col min="12034" max="12034" width="7.44140625" style="8" bestFit="1" customWidth="1"/>
    <col min="12035" max="12035" width="5" style="8" bestFit="1" customWidth="1"/>
    <col min="12036" max="12045" width="10.21875" style="8" bestFit="1" customWidth="1"/>
    <col min="12046" max="12046" width="11.21875" style="8" bestFit="1" customWidth="1"/>
    <col min="12047" max="12047" width="6.77734375" style="8" bestFit="1" customWidth="1"/>
    <col min="12048" max="12288" width="11" style="8"/>
    <col min="12289" max="12289" width="2" style="8" bestFit="1" customWidth="1"/>
    <col min="12290" max="12290" width="7.44140625" style="8" bestFit="1" customWidth="1"/>
    <col min="12291" max="12291" width="5" style="8" bestFit="1" customWidth="1"/>
    <col min="12292" max="12301" width="10.21875" style="8" bestFit="1" customWidth="1"/>
    <col min="12302" max="12302" width="11.21875" style="8" bestFit="1" customWidth="1"/>
    <col min="12303" max="12303" width="6.77734375" style="8" bestFit="1" customWidth="1"/>
    <col min="12304" max="12544" width="11" style="8"/>
    <col min="12545" max="12545" width="2" style="8" bestFit="1" customWidth="1"/>
    <col min="12546" max="12546" width="7.44140625" style="8" bestFit="1" customWidth="1"/>
    <col min="12547" max="12547" width="5" style="8" bestFit="1" customWidth="1"/>
    <col min="12548" max="12557" width="10.21875" style="8" bestFit="1" customWidth="1"/>
    <col min="12558" max="12558" width="11.21875" style="8" bestFit="1" customWidth="1"/>
    <col min="12559" max="12559" width="6.77734375" style="8" bestFit="1" customWidth="1"/>
    <col min="12560" max="12800" width="11" style="8"/>
    <col min="12801" max="12801" width="2" style="8" bestFit="1" customWidth="1"/>
    <col min="12802" max="12802" width="7.44140625" style="8" bestFit="1" customWidth="1"/>
    <col min="12803" max="12803" width="5" style="8" bestFit="1" customWidth="1"/>
    <col min="12804" max="12813" width="10.21875" style="8" bestFit="1" customWidth="1"/>
    <col min="12814" max="12814" width="11.21875" style="8" bestFit="1" customWidth="1"/>
    <col min="12815" max="12815" width="6.77734375" style="8" bestFit="1" customWidth="1"/>
    <col min="12816" max="13056" width="11" style="8"/>
    <col min="13057" max="13057" width="2" style="8" bestFit="1" customWidth="1"/>
    <col min="13058" max="13058" width="7.44140625" style="8" bestFit="1" customWidth="1"/>
    <col min="13059" max="13059" width="5" style="8" bestFit="1" customWidth="1"/>
    <col min="13060" max="13069" width="10.21875" style="8" bestFit="1" customWidth="1"/>
    <col min="13070" max="13070" width="11.21875" style="8" bestFit="1" customWidth="1"/>
    <col min="13071" max="13071" width="6.77734375" style="8" bestFit="1" customWidth="1"/>
    <col min="13072" max="13312" width="11" style="8"/>
    <col min="13313" max="13313" width="2" style="8" bestFit="1" customWidth="1"/>
    <col min="13314" max="13314" width="7.44140625" style="8" bestFit="1" customWidth="1"/>
    <col min="13315" max="13315" width="5" style="8" bestFit="1" customWidth="1"/>
    <col min="13316" max="13325" width="10.21875" style="8" bestFit="1" customWidth="1"/>
    <col min="13326" max="13326" width="11.21875" style="8" bestFit="1" customWidth="1"/>
    <col min="13327" max="13327" width="6.77734375" style="8" bestFit="1" customWidth="1"/>
    <col min="13328" max="13568" width="11" style="8"/>
    <col min="13569" max="13569" width="2" style="8" bestFit="1" customWidth="1"/>
    <col min="13570" max="13570" width="7.44140625" style="8" bestFit="1" customWidth="1"/>
    <col min="13571" max="13571" width="5" style="8" bestFit="1" customWidth="1"/>
    <col min="13572" max="13581" width="10.21875" style="8" bestFit="1" customWidth="1"/>
    <col min="13582" max="13582" width="11.21875" style="8" bestFit="1" customWidth="1"/>
    <col min="13583" max="13583" width="6.77734375" style="8" bestFit="1" customWidth="1"/>
    <col min="13584" max="13824" width="11" style="8"/>
    <col min="13825" max="13825" width="2" style="8" bestFit="1" customWidth="1"/>
    <col min="13826" max="13826" width="7.44140625" style="8" bestFit="1" customWidth="1"/>
    <col min="13827" max="13827" width="5" style="8" bestFit="1" customWidth="1"/>
    <col min="13828" max="13837" width="10.21875" style="8" bestFit="1" customWidth="1"/>
    <col min="13838" max="13838" width="11.21875" style="8" bestFit="1" customWidth="1"/>
    <col min="13839" max="13839" width="6.77734375" style="8" bestFit="1" customWidth="1"/>
    <col min="13840" max="14080" width="11" style="8"/>
    <col min="14081" max="14081" width="2" style="8" bestFit="1" customWidth="1"/>
    <col min="14082" max="14082" width="7.44140625" style="8" bestFit="1" customWidth="1"/>
    <col min="14083" max="14083" width="5" style="8" bestFit="1" customWidth="1"/>
    <col min="14084" max="14093" width="10.21875" style="8" bestFit="1" customWidth="1"/>
    <col min="14094" max="14094" width="11.21875" style="8" bestFit="1" customWidth="1"/>
    <col min="14095" max="14095" width="6.77734375" style="8" bestFit="1" customWidth="1"/>
    <col min="14096" max="14336" width="11" style="8"/>
    <col min="14337" max="14337" width="2" style="8" bestFit="1" customWidth="1"/>
    <col min="14338" max="14338" width="7.44140625" style="8" bestFit="1" customWidth="1"/>
    <col min="14339" max="14339" width="5" style="8" bestFit="1" customWidth="1"/>
    <col min="14340" max="14349" width="10.21875" style="8" bestFit="1" customWidth="1"/>
    <col min="14350" max="14350" width="11.21875" style="8" bestFit="1" customWidth="1"/>
    <col min="14351" max="14351" width="6.77734375" style="8" bestFit="1" customWidth="1"/>
    <col min="14352" max="14592" width="11" style="8"/>
    <col min="14593" max="14593" width="2" style="8" bestFit="1" customWidth="1"/>
    <col min="14594" max="14594" width="7.44140625" style="8" bestFit="1" customWidth="1"/>
    <col min="14595" max="14595" width="5" style="8" bestFit="1" customWidth="1"/>
    <col min="14596" max="14605" width="10.21875" style="8" bestFit="1" customWidth="1"/>
    <col min="14606" max="14606" width="11.21875" style="8" bestFit="1" customWidth="1"/>
    <col min="14607" max="14607" width="6.77734375" style="8" bestFit="1" customWidth="1"/>
    <col min="14608" max="14848" width="11" style="8"/>
    <col min="14849" max="14849" width="2" style="8" bestFit="1" customWidth="1"/>
    <col min="14850" max="14850" width="7.44140625" style="8" bestFit="1" customWidth="1"/>
    <col min="14851" max="14851" width="5" style="8" bestFit="1" customWidth="1"/>
    <col min="14852" max="14861" width="10.21875" style="8" bestFit="1" customWidth="1"/>
    <col min="14862" max="14862" width="11.21875" style="8" bestFit="1" customWidth="1"/>
    <col min="14863" max="14863" width="6.77734375" style="8" bestFit="1" customWidth="1"/>
    <col min="14864" max="15104" width="11" style="8"/>
    <col min="15105" max="15105" width="2" style="8" bestFit="1" customWidth="1"/>
    <col min="15106" max="15106" width="7.44140625" style="8" bestFit="1" customWidth="1"/>
    <col min="15107" max="15107" width="5" style="8" bestFit="1" customWidth="1"/>
    <col min="15108" max="15117" width="10.21875" style="8" bestFit="1" customWidth="1"/>
    <col min="15118" max="15118" width="11.21875" style="8" bestFit="1" customWidth="1"/>
    <col min="15119" max="15119" width="6.77734375" style="8" bestFit="1" customWidth="1"/>
    <col min="15120" max="15360" width="11" style="8"/>
    <col min="15361" max="15361" width="2" style="8" bestFit="1" customWidth="1"/>
    <col min="15362" max="15362" width="7.44140625" style="8" bestFit="1" customWidth="1"/>
    <col min="15363" max="15363" width="5" style="8" bestFit="1" customWidth="1"/>
    <col min="15364" max="15373" width="10.21875" style="8" bestFit="1" customWidth="1"/>
    <col min="15374" max="15374" width="11.21875" style="8" bestFit="1" customWidth="1"/>
    <col min="15375" max="15375" width="6.77734375" style="8" bestFit="1" customWidth="1"/>
    <col min="15376" max="15616" width="11" style="8"/>
    <col min="15617" max="15617" width="2" style="8" bestFit="1" customWidth="1"/>
    <col min="15618" max="15618" width="7.44140625" style="8" bestFit="1" customWidth="1"/>
    <col min="15619" max="15619" width="5" style="8" bestFit="1" customWidth="1"/>
    <col min="15620" max="15629" width="10.21875" style="8" bestFit="1" customWidth="1"/>
    <col min="15630" max="15630" width="11.21875" style="8" bestFit="1" customWidth="1"/>
    <col min="15631" max="15631" width="6.77734375" style="8" bestFit="1" customWidth="1"/>
    <col min="15632" max="15872" width="11" style="8"/>
    <col min="15873" max="15873" width="2" style="8" bestFit="1" customWidth="1"/>
    <col min="15874" max="15874" width="7.44140625" style="8" bestFit="1" customWidth="1"/>
    <col min="15875" max="15875" width="5" style="8" bestFit="1" customWidth="1"/>
    <col min="15876" max="15885" width="10.21875" style="8" bestFit="1" customWidth="1"/>
    <col min="15886" max="15886" width="11.21875" style="8" bestFit="1" customWidth="1"/>
    <col min="15887" max="15887" width="6.77734375" style="8" bestFit="1" customWidth="1"/>
    <col min="15888" max="16128" width="11" style="8"/>
    <col min="16129" max="16129" width="2" style="8" bestFit="1" customWidth="1"/>
    <col min="16130" max="16130" width="7.44140625" style="8" bestFit="1" customWidth="1"/>
    <col min="16131" max="16131" width="5" style="8" bestFit="1" customWidth="1"/>
    <col min="16132" max="16141" width="10.21875" style="8" bestFit="1" customWidth="1"/>
    <col min="16142" max="16142" width="11.21875" style="8" bestFit="1" customWidth="1"/>
    <col min="16143" max="16143" width="6.77734375" style="8" bestFit="1" customWidth="1"/>
    <col min="16144" max="16384" width="11" style="8"/>
  </cols>
  <sheetData>
    <row r="1" spans="1:9" ht="17.399999999999999" x14ac:dyDescent="0.3">
      <c r="B1" s="9"/>
      <c r="C1" s="9"/>
      <c r="D1" s="9"/>
      <c r="E1" s="9"/>
    </row>
    <row r="2" spans="1:9" ht="17.399999999999999" x14ac:dyDescent="0.3">
      <c r="B2" s="9"/>
      <c r="C2" s="9"/>
      <c r="D2" s="9"/>
      <c r="E2" s="9"/>
    </row>
    <row r="3" spans="1:9" ht="17.399999999999999" x14ac:dyDescent="0.3">
      <c r="A3" s="10"/>
      <c r="B3" s="11"/>
      <c r="C3" s="9"/>
      <c r="D3" s="9"/>
      <c r="E3" s="9"/>
    </row>
    <row r="4" spans="1:9" ht="17.399999999999999" x14ac:dyDescent="0.3">
      <c r="A4" s="10"/>
      <c r="B4" s="11"/>
    </row>
    <row r="5" spans="1:9" ht="17.399999999999999" x14ac:dyDescent="0.3">
      <c r="A5" s="10"/>
      <c r="B5" s="11"/>
      <c r="C5" s="11"/>
      <c r="D5" s="11"/>
      <c r="E5" s="11"/>
      <c r="F5" s="11"/>
      <c r="G5" s="11"/>
      <c r="H5" s="11"/>
      <c r="I5" s="11"/>
    </row>
    <row r="6" spans="1:9" ht="17.399999999999999" x14ac:dyDescent="0.3">
      <c r="A6" s="10"/>
      <c r="B6" s="11"/>
      <c r="C6" s="11"/>
      <c r="D6" s="11"/>
      <c r="E6" s="11"/>
      <c r="F6" s="11"/>
      <c r="G6" s="11"/>
      <c r="H6" s="11"/>
      <c r="I6" s="11"/>
    </row>
    <row r="7" spans="1:9" ht="17.399999999999999" x14ac:dyDescent="0.3">
      <c r="A7" s="10"/>
      <c r="B7" s="11"/>
      <c r="C7" s="11"/>
      <c r="D7" s="11"/>
      <c r="E7" s="11"/>
      <c r="F7" s="11"/>
      <c r="G7" s="11"/>
      <c r="H7" s="11"/>
      <c r="I7" s="11"/>
    </row>
    <row r="8" spans="1:9" ht="17.399999999999999" x14ac:dyDescent="0.3">
      <c r="A8" s="10"/>
      <c r="B8" s="11"/>
    </row>
    <row r="9" spans="1:9" ht="17.399999999999999" x14ac:dyDescent="0.3">
      <c r="A9" s="10"/>
      <c r="B9" s="11"/>
    </row>
    <row r="10" spans="1:9" ht="17.399999999999999" x14ac:dyDescent="0.3">
      <c r="A10" s="10"/>
      <c r="B10" s="11"/>
    </row>
  </sheetData>
  <pageMargins left="0.7" right="0.7" top="0.75" bottom="0.75" header="0.3" footer="0.3"/>
  <pageSetup scale="65" orientation="portrait" horizontalDpi="300" verticalDpi="300" r:id="rId1"/>
  <headerFooter>
    <oddHeader>&amp;C&amp;"Calibri,Bold"&amp;28&amp;A&amp;R&amp;"Calibri,Bold"&amp;28&amp;P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3857-4FD6-469D-9460-313A7FF4BD29}">
  <sheetPr>
    <pageSetUpPr autoPageBreaks="0"/>
  </sheetPr>
  <dimension ref="A2:I607"/>
  <sheetViews>
    <sheetView zoomScale="70" zoomScaleNormal="70" workbookViewId="0">
      <selection activeCell="G15" sqref="G15"/>
    </sheetView>
  </sheetViews>
  <sheetFormatPr defaultRowHeight="13.2" x14ac:dyDescent="0.25"/>
  <cols>
    <col min="1" max="1" width="11.21875" bestFit="1" customWidth="1"/>
    <col min="2" max="3" width="27.21875" bestFit="1" customWidth="1"/>
    <col min="4" max="4" width="24.88671875" bestFit="1" customWidth="1"/>
    <col min="5" max="5" width="20.88671875" bestFit="1" customWidth="1"/>
    <col min="6" max="6" width="16" style="29" bestFit="1" customWidth="1"/>
    <col min="7" max="7" width="25.6640625" bestFit="1" customWidth="1"/>
    <col min="9" max="9" width="20.21875" bestFit="1" customWidth="1"/>
  </cols>
  <sheetData>
    <row r="2" spans="1:9" x14ac:dyDescent="0.25">
      <c r="H2" s="101"/>
      <c r="I2" s="101"/>
    </row>
    <row r="3" spans="1:9" x14ac:dyDescent="0.25">
      <c r="A3" s="100" t="s">
        <v>5799</v>
      </c>
      <c r="B3" s="100"/>
      <c r="C3" s="100"/>
      <c r="D3" s="100"/>
      <c r="E3" s="100"/>
      <c r="F3" s="100"/>
      <c r="H3" s="96"/>
      <c r="I3" s="96"/>
    </row>
    <row r="4" spans="1:9" x14ac:dyDescent="0.25">
      <c r="A4" s="60" t="s">
        <v>5788</v>
      </c>
      <c r="B4" t="s">
        <v>5789</v>
      </c>
      <c r="C4" t="s">
        <v>5785</v>
      </c>
      <c r="D4" t="s">
        <v>5787</v>
      </c>
      <c r="E4" t="s">
        <v>5786</v>
      </c>
      <c r="F4" s="29" t="s">
        <v>5790</v>
      </c>
      <c r="H4" s="102" t="s">
        <v>5793</v>
      </c>
      <c r="I4" s="103"/>
    </row>
    <row r="5" spans="1:9" x14ac:dyDescent="0.25">
      <c r="A5" s="61" t="s">
        <v>2685</v>
      </c>
      <c r="B5" s="45">
        <v>28573764.169050865</v>
      </c>
      <c r="C5" s="19">
        <v>3735975569.7883244</v>
      </c>
      <c r="D5" s="19">
        <v>3707401805.6192737</v>
      </c>
      <c r="E5">
        <v>22.627300000000002</v>
      </c>
      <c r="F5" s="29">
        <v>129.74845679012344</v>
      </c>
      <c r="H5" s="79" t="s">
        <v>5788</v>
      </c>
      <c r="I5" s="80" t="s">
        <v>5791</v>
      </c>
    </row>
    <row r="6" spans="1:9" x14ac:dyDescent="0.25">
      <c r="A6" s="61" t="s">
        <v>1465</v>
      </c>
      <c r="B6" s="45">
        <v>29816868.030372892</v>
      </c>
      <c r="C6" s="19">
        <v>2761448573.2674899</v>
      </c>
      <c r="D6" s="19">
        <v>2731631705.2371168</v>
      </c>
      <c r="E6">
        <v>50.493600000000001</v>
      </c>
      <c r="F6" s="29">
        <v>91.613636363636374</v>
      </c>
      <c r="H6" s="81" t="str" cm="1">
        <f t="array" ref="H6:H10">A5:A9</f>
        <v>AZO</v>
      </c>
      <c r="I6" s="82" cm="1">
        <f t="array" ref="I6:I10">Top5Stocks</f>
        <v>129.74845679012344</v>
      </c>
    </row>
    <row r="7" spans="1:9" x14ac:dyDescent="0.25">
      <c r="A7" s="61" t="s">
        <v>992</v>
      </c>
      <c r="B7" s="45">
        <v>27044211.036949731</v>
      </c>
      <c r="C7" s="19">
        <v>1674191461.7015414</v>
      </c>
      <c r="D7" s="19">
        <v>1647147250.6645918</v>
      </c>
      <c r="E7">
        <v>12.9977</v>
      </c>
      <c r="F7" s="29">
        <v>60.905723905723917</v>
      </c>
      <c r="H7" s="81" t="str">
        <v>AJG</v>
      </c>
      <c r="I7" s="82">
        <v>91.613636363636374</v>
      </c>
    </row>
    <row r="8" spans="1:9" x14ac:dyDescent="0.25">
      <c r="A8" s="61" t="s">
        <v>2607</v>
      </c>
      <c r="B8" s="45">
        <v>35181246.120397024</v>
      </c>
      <c r="C8" s="19">
        <v>2006190256.3523557</v>
      </c>
      <c r="D8" s="19">
        <v>1971009010.2319586</v>
      </c>
      <c r="E8">
        <v>79.738600000000005</v>
      </c>
      <c r="F8" s="29">
        <v>56.024422883907661</v>
      </c>
      <c r="H8" s="81" t="str">
        <v>CMI</v>
      </c>
      <c r="I8" s="82">
        <v>60.905723905723917</v>
      </c>
    </row>
    <row r="9" spans="1:9" x14ac:dyDescent="0.25">
      <c r="A9" s="61" t="s">
        <v>993</v>
      </c>
      <c r="B9" s="45">
        <v>17358083.307705559</v>
      </c>
      <c r="C9" s="19">
        <v>667022472.03966498</v>
      </c>
      <c r="D9" s="19">
        <v>649664388.73195946</v>
      </c>
      <c r="E9">
        <v>29.948599999999999</v>
      </c>
      <c r="F9" s="29">
        <v>37.427196149217814</v>
      </c>
      <c r="H9" s="81" t="str">
        <v>FICO</v>
      </c>
      <c r="I9" s="82">
        <v>56.024422883907661</v>
      </c>
    </row>
    <row r="10" spans="1:9" x14ac:dyDescent="0.25">
      <c r="A10" s="61" t="s">
        <v>2570</v>
      </c>
      <c r="B10" s="45">
        <v>23783847.781681228</v>
      </c>
      <c r="C10" s="19">
        <v>910577436.94546962</v>
      </c>
      <c r="D10" s="19">
        <v>886793589.16378844</v>
      </c>
      <c r="E10">
        <v>50.619900000000001</v>
      </c>
      <c r="F10" s="29">
        <v>37.285539215686271</v>
      </c>
      <c r="H10" s="81" t="str">
        <v>CW</v>
      </c>
      <c r="I10" s="82">
        <v>37.427196149217814</v>
      </c>
    </row>
    <row r="11" spans="1:9" x14ac:dyDescent="0.25">
      <c r="A11" s="61" t="s">
        <v>1635</v>
      </c>
      <c r="B11" s="45">
        <v>43377681.325477608</v>
      </c>
      <c r="C11" s="19">
        <v>1578054184.5886488</v>
      </c>
      <c r="D11" s="19">
        <v>1534676503.2631712</v>
      </c>
      <c r="E11">
        <v>17.549299999999999</v>
      </c>
      <c r="F11" s="29">
        <v>35.379403794037941</v>
      </c>
    </row>
    <row r="12" spans="1:9" x14ac:dyDescent="0.25">
      <c r="A12" s="61" t="s">
        <v>912</v>
      </c>
      <c r="B12" s="45">
        <v>35949539.79891251</v>
      </c>
      <c r="C12" s="19">
        <v>1285256546.2887197</v>
      </c>
      <c r="D12" s="19">
        <v>1249307006.4898071</v>
      </c>
      <c r="E12">
        <v>12.2372</v>
      </c>
      <c r="F12" s="29">
        <v>34.751682872101725</v>
      </c>
    </row>
    <row r="13" spans="1:9" x14ac:dyDescent="0.25">
      <c r="A13" s="61" t="s">
        <v>884</v>
      </c>
      <c r="B13" s="45">
        <v>41531197.281232022</v>
      </c>
      <c r="C13" s="19">
        <v>1351545671.2737908</v>
      </c>
      <c r="D13" s="19">
        <v>1310014473.9925587</v>
      </c>
      <c r="E13">
        <v>0</v>
      </c>
      <c r="F13" s="29">
        <v>31.542901716068638</v>
      </c>
      <c r="H13" s="102" t="s">
        <v>5792</v>
      </c>
      <c r="I13" s="103"/>
    </row>
    <row r="14" spans="1:9" x14ac:dyDescent="0.25">
      <c r="A14" s="61" t="s">
        <v>1412</v>
      </c>
      <c r="B14" s="45">
        <v>18191638.961965129</v>
      </c>
      <c r="C14" s="19">
        <v>585687887.01166153</v>
      </c>
      <c r="D14" s="19">
        <v>567496248.04969645</v>
      </c>
      <c r="E14">
        <v>11.914300000000001</v>
      </c>
      <c r="F14" s="29">
        <v>31.195443645083937</v>
      </c>
      <c r="H14" s="79" t="s">
        <v>5788</v>
      </c>
      <c r="I14" s="79" t="s">
        <v>5791</v>
      </c>
    </row>
    <row r="15" spans="1:9" x14ac:dyDescent="0.25">
      <c r="A15" s="61" t="s">
        <v>18</v>
      </c>
      <c r="B15" s="45">
        <v>24079285.228760574</v>
      </c>
      <c r="C15" s="19">
        <v>696678983.28221488</v>
      </c>
      <c r="D15" s="19">
        <v>672599698.05345428</v>
      </c>
      <c r="E15">
        <v>89.6554</v>
      </c>
      <c r="F15" s="29">
        <v>27.932710280373833</v>
      </c>
      <c r="H15" s="81" t="str" cm="1">
        <f t="array" ref="H15:H19">A299:A303</f>
        <v>AGR</v>
      </c>
      <c r="I15" s="82" cm="1">
        <f t="array" ref="I15:I19">F299:F303</f>
        <v>-0.98283567766170377</v>
      </c>
    </row>
    <row r="16" spans="1:9" x14ac:dyDescent="0.25">
      <c r="A16" s="61" t="s">
        <v>224</v>
      </c>
      <c r="B16" s="45">
        <v>19816544.920901474</v>
      </c>
      <c r="C16" s="19">
        <v>558752486.22766113</v>
      </c>
      <c r="D16" s="19">
        <v>538935941.30675972</v>
      </c>
      <c r="E16">
        <v>11.837899999999999</v>
      </c>
      <c r="F16" s="29">
        <v>27.196261682242991</v>
      </c>
      <c r="H16" s="81" t="str">
        <v>CERS</v>
      </c>
      <c r="I16" s="82">
        <v>-0.98535729943007455</v>
      </c>
    </row>
    <row r="17" spans="1:9" x14ac:dyDescent="0.25">
      <c r="A17" s="61" t="s">
        <v>125</v>
      </c>
      <c r="B17" s="45">
        <v>34060850.40508417</v>
      </c>
      <c r="C17" s="19">
        <v>940272876.64003658</v>
      </c>
      <c r="D17" s="19">
        <v>906212026.23495245</v>
      </c>
      <c r="E17">
        <v>15.129099999999999</v>
      </c>
      <c r="F17" s="29">
        <v>26.605678233438489</v>
      </c>
      <c r="H17" s="81" t="str">
        <v>DISH</v>
      </c>
      <c r="I17" s="82">
        <v>-0.99758298420883018</v>
      </c>
    </row>
    <row r="18" spans="1:9" x14ac:dyDescent="0.25">
      <c r="A18" s="61" t="s">
        <v>1956</v>
      </c>
      <c r="B18" s="45">
        <v>39558097.188238174</v>
      </c>
      <c r="C18" s="19">
        <v>1047563621.9983795</v>
      </c>
      <c r="D18" s="19">
        <v>1008005524.8101413</v>
      </c>
      <c r="E18">
        <v>7.3334000000000001</v>
      </c>
      <c r="F18" s="29">
        <v>25.481648422408245</v>
      </c>
      <c r="H18" s="81" t="str">
        <v>AMD</v>
      </c>
      <c r="I18" s="82">
        <v>-0.99898161244695882</v>
      </c>
    </row>
    <row r="19" spans="1:9" x14ac:dyDescent="0.25">
      <c r="A19" s="61" t="s">
        <v>996</v>
      </c>
      <c r="B19" s="45">
        <v>30526152.377527747</v>
      </c>
      <c r="C19" s="19">
        <v>693373114.34553337</v>
      </c>
      <c r="D19" s="19">
        <v>662846961.96800566</v>
      </c>
      <c r="E19">
        <v>30.939599999999999</v>
      </c>
      <c r="F19" s="29">
        <v>21.714068441064644</v>
      </c>
      <c r="H19" s="81" t="str">
        <v>ATO</v>
      </c>
      <c r="I19" s="82">
        <v>-1</v>
      </c>
    </row>
    <row r="20" spans="1:9" x14ac:dyDescent="0.25">
      <c r="A20" s="61" t="s">
        <v>2640</v>
      </c>
      <c r="B20" s="45">
        <v>19563312.823404901</v>
      </c>
      <c r="C20" s="19">
        <v>423552115.86620086</v>
      </c>
      <c r="D20" s="19">
        <v>403988803.04279596</v>
      </c>
      <c r="E20">
        <v>35.892699999999998</v>
      </c>
      <c r="F20" s="29">
        <v>20.65032679738562</v>
      </c>
    </row>
    <row r="21" spans="1:9" x14ac:dyDescent="0.25">
      <c r="A21" s="61" t="s">
        <v>2514</v>
      </c>
      <c r="B21" s="45">
        <v>39318933.54060255</v>
      </c>
      <c r="C21" s="19">
        <v>851020658.08091497</v>
      </c>
      <c r="D21" s="19">
        <v>811701724.54031241</v>
      </c>
      <c r="E21">
        <v>56.618400000000001</v>
      </c>
      <c r="F21" s="29">
        <v>20.644042232277528</v>
      </c>
    </row>
    <row r="22" spans="1:9" x14ac:dyDescent="0.25">
      <c r="A22" s="61" t="s">
        <v>630</v>
      </c>
      <c r="B22" s="45">
        <v>22076485.074948877</v>
      </c>
      <c r="C22" s="19">
        <v>475594307.54934371</v>
      </c>
      <c r="D22" s="19">
        <v>453517822.4743948</v>
      </c>
      <c r="E22">
        <v>14.7676</v>
      </c>
      <c r="F22" s="29">
        <v>20.543026706231451</v>
      </c>
      <c r="H22" s="102" t="s">
        <v>5793</v>
      </c>
      <c r="I22" s="103"/>
    </row>
    <row r="23" spans="1:9" x14ac:dyDescent="0.25">
      <c r="A23" s="61" t="s">
        <v>881</v>
      </c>
      <c r="B23" s="45">
        <v>39178249.041993357</v>
      </c>
      <c r="C23" s="19">
        <v>814774065.27374458</v>
      </c>
      <c r="D23" s="19">
        <v>775595816.2317512</v>
      </c>
      <c r="E23">
        <v>11.014900000000001</v>
      </c>
      <c r="F23" s="29">
        <v>19.796592119275822</v>
      </c>
      <c r="H23" s="79" t="s">
        <v>5788</v>
      </c>
      <c r="I23" s="79" t="s">
        <v>5794</v>
      </c>
    </row>
    <row r="24" spans="1:9" x14ac:dyDescent="0.25">
      <c r="A24" s="61" t="s">
        <v>1775</v>
      </c>
      <c r="B24" s="45">
        <v>25377099.728430562</v>
      </c>
      <c r="C24" s="19">
        <v>516568401.99234164</v>
      </c>
      <c r="D24" s="19">
        <v>491191302.26391107</v>
      </c>
      <c r="E24">
        <v>127.4905</v>
      </c>
      <c r="F24" s="29">
        <v>19.355691056910569</v>
      </c>
      <c r="H24" s="81" t="str" cm="1">
        <f t="array" ref="H24:H28">A308:A312</f>
        <v>AZO</v>
      </c>
      <c r="I24" s="83" cm="1">
        <f t="array" ref="I24:I28">C308:C312</f>
        <v>3735975569.7883244</v>
      </c>
    </row>
    <row r="25" spans="1:9" x14ac:dyDescent="0.25">
      <c r="A25" s="61" t="s">
        <v>1379</v>
      </c>
      <c r="B25" s="45">
        <v>32836895.267184071</v>
      </c>
      <c r="C25" s="19">
        <v>603691325.02440715</v>
      </c>
      <c r="D25" s="19">
        <v>570854429.75722313</v>
      </c>
      <c r="E25">
        <v>14.37</v>
      </c>
      <c r="F25" s="29">
        <v>17.384543365392801</v>
      </c>
      <c r="H25" s="81" t="str">
        <v>AJG</v>
      </c>
      <c r="I25" s="83">
        <v>2761448573.2674899</v>
      </c>
    </row>
    <row r="26" spans="1:9" x14ac:dyDescent="0.25">
      <c r="A26" s="61" t="s">
        <v>2502</v>
      </c>
      <c r="B26" s="45">
        <v>29555429.33712418</v>
      </c>
      <c r="C26" s="19">
        <v>465678483.26539272</v>
      </c>
      <c r="D26" s="19">
        <v>436123053.92826855</v>
      </c>
      <c r="E26">
        <v>35.841200000000001</v>
      </c>
      <c r="F26" s="29">
        <v>14.756106194690267</v>
      </c>
      <c r="H26" s="81" t="str">
        <v>FICO</v>
      </c>
      <c r="I26" s="83">
        <v>2006190256.3523557</v>
      </c>
    </row>
    <row r="27" spans="1:9" x14ac:dyDescent="0.25">
      <c r="A27" s="61" t="s">
        <v>918</v>
      </c>
      <c r="B27" s="45">
        <v>34535660.587890178</v>
      </c>
      <c r="C27" s="19">
        <v>424648698.00964195</v>
      </c>
      <c r="D27" s="19">
        <v>390113037.42175174</v>
      </c>
      <c r="E27">
        <v>40.064500000000002</v>
      </c>
      <c r="F27" s="29">
        <v>11.295948326482675</v>
      </c>
      <c r="H27" s="81" t="str">
        <v>CMI</v>
      </c>
      <c r="I27" s="83">
        <v>1674191461.7015414</v>
      </c>
    </row>
    <row r="28" spans="1:9" x14ac:dyDescent="0.25">
      <c r="A28" s="61" t="s">
        <v>2039</v>
      </c>
      <c r="B28" s="45">
        <v>37447829.709100358</v>
      </c>
      <c r="C28" s="19">
        <v>459386397.34938461</v>
      </c>
      <c r="D28" s="19">
        <v>421938567.64028424</v>
      </c>
      <c r="E28">
        <v>107.58499999999999</v>
      </c>
      <c r="F28" s="29">
        <v>11.267370390165684</v>
      </c>
      <c r="H28" s="81" t="str">
        <v>ABT</v>
      </c>
      <c r="I28" s="83">
        <v>1578054184.5886488</v>
      </c>
    </row>
    <row r="29" spans="1:9" x14ac:dyDescent="0.25">
      <c r="A29" s="61" t="s">
        <v>2430</v>
      </c>
      <c r="B29" s="45">
        <v>33364462.13696862</v>
      </c>
      <c r="C29" s="19">
        <v>378044357.80518705</v>
      </c>
      <c r="D29" s="19">
        <v>344679895.66821843</v>
      </c>
      <c r="E29">
        <v>170.94829999999999</v>
      </c>
      <c r="F29" s="29">
        <v>10.330749354005167</v>
      </c>
    </row>
    <row r="30" spans="1:9" x14ac:dyDescent="0.25">
      <c r="A30" s="61" t="s">
        <v>1092</v>
      </c>
      <c r="B30" s="45">
        <v>39526443.176051103</v>
      </c>
      <c r="C30" s="19">
        <v>418471416.1772756</v>
      </c>
      <c r="D30" s="19">
        <v>378944973.00122452</v>
      </c>
      <c r="E30">
        <v>18.206099999999999</v>
      </c>
      <c r="F30" s="29">
        <v>9.5871255431054223</v>
      </c>
    </row>
    <row r="31" spans="1:9" x14ac:dyDescent="0.25">
      <c r="A31" s="61" t="s">
        <v>1471</v>
      </c>
      <c r="B31" s="45">
        <v>24754570.822084796</v>
      </c>
      <c r="C31" s="19">
        <v>261514018.20853689</v>
      </c>
      <c r="D31" s="19">
        <v>236759447.38645211</v>
      </c>
      <c r="E31">
        <v>35.870899999999999</v>
      </c>
      <c r="F31" s="29">
        <v>9.5642719515551899</v>
      </c>
      <c r="H31" s="102" t="s">
        <v>5792</v>
      </c>
      <c r="I31" s="103"/>
    </row>
    <row r="32" spans="1:9" x14ac:dyDescent="0.25">
      <c r="A32" s="61" t="s">
        <v>3363</v>
      </c>
      <c r="B32" s="45">
        <v>31032616.572520919</v>
      </c>
      <c r="C32" s="19">
        <v>293213894.30093336</v>
      </c>
      <c r="D32" s="19">
        <v>262181277.72841245</v>
      </c>
      <c r="E32">
        <v>12.007199999999999</v>
      </c>
      <c r="F32" s="29">
        <v>8.4485714285714284</v>
      </c>
      <c r="H32" s="79" t="s">
        <v>5788</v>
      </c>
      <c r="I32" s="79" t="s">
        <v>5794</v>
      </c>
    </row>
    <row r="33" spans="1:9" x14ac:dyDescent="0.25">
      <c r="A33" s="61" t="s">
        <v>1244</v>
      </c>
      <c r="B33" s="45">
        <v>36223874.571200423</v>
      </c>
      <c r="C33" s="19">
        <v>341340356.53631169</v>
      </c>
      <c r="D33" s="19">
        <v>305116481.96511126</v>
      </c>
      <c r="E33">
        <v>17.316299999999998</v>
      </c>
      <c r="F33" s="29">
        <v>8.4230769230769234</v>
      </c>
      <c r="H33" s="81" t="str" cm="1">
        <f t="array" ref="H33:H37">A602:A606</f>
        <v>GES</v>
      </c>
      <c r="I33" s="84" cm="1">
        <f t="array" ref="I33:I37">C602:C606</f>
        <v>386755.51304170967</v>
      </c>
    </row>
    <row r="34" spans="1:9" x14ac:dyDescent="0.25">
      <c r="A34" s="61" t="s">
        <v>2187</v>
      </c>
      <c r="B34" s="45">
        <v>16862170.450108096</v>
      </c>
      <c r="C34" s="19">
        <v>151012869.67679834</v>
      </c>
      <c r="D34" s="19">
        <v>134150699.22669025</v>
      </c>
      <c r="E34">
        <v>40.636200000000002</v>
      </c>
      <c r="F34" s="29">
        <v>7.9557195571955726</v>
      </c>
      <c r="H34" s="81" t="str">
        <v>CNX</v>
      </c>
      <c r="I34" s="84">
        <v>377646.38632283406</v>
      </c>
    </row>
    <row r="35" spans="1:9" x14ac:dyDescent="0.25">
      <c r="A35" s="61" t="s">
        <v>2884</v>
      </c>
      <c r="B35" s="45">
        <v>24343068.663652848</v>
      </c>
      <c r="C35" s="19">
        <v>214028268.3767778</v>
      </c>
      <c r="D35" s="19">
        <v>189685199.71312496</v>
      </c>
      <c r="E35">
        <v>19.382100000000001</v>
      </c>
      <c r="F35" s="29">
        <v>7.7921646746347948</v>
      </c>
      <c r="H35" s="81" t="str">
        <v>DISH</v>
      </c>
      <c r="I35" s="84">
        <v>41444.706477098684</v>
      </c>
    </row>
    <row r="36" spans="1:9" x14ac:dyDescent="0.25">
      <c r="A36" s="61" t="s">
        <v>1520</v>
      </c>
      <c r="B36" s="45">
        <v>18666449.144771211</v>
      </c>
      <c r="C36" s="19">
        <v>163614454.45723653</v>
      </c>
      <c r="D36" s="19">
        <v>144948005.31246531</v>
      </c>
      <c r="E36">
        <v>28.212299999999999</v>
      </c>
      <c r="F36" s="29">
        <v>7.7651622002820879</v>
      </c>
      <c r="H36" s="81" t="str">
        <v>AMD</v>
      </c>
      <c r="I36" s="84">
        <v>17311.914062379175</v>
      </c>
    </row>
    <row r="37" spans="1:9" x14ac:dyDescent="0.25">
      <c r="A37" s="61" t="s">
        <v>1479</v>
      </c>
      <c r="B37" s="45">
        <v>30652768.426276043</v>
      </c>
      <c r="C37" s="19">
        <v>262673337.49109596</v>
      </c>
      <c r="D37" s="19">
        <v>232020569.06481993</v>
      </c>
      <c r="E37">
        <v>16.176400000000001</v>
      </c>
      <c r="F37" s="29">
        <v>7.5693185632762683</v>
      </c>
      <c r="H37" s="81" t="str">
        <v>ATO</v>
      </c>
      <c r="I37" s="84">
        <v>0</v>
      </c>
    </row>
    <row r="38" spans="1:9" x14ac:dyDescent="0.25">
      <c r="A38" s="61" t="s">
        <v>2288</v>
      </c>
      <c r="B38" s="45">
        <v>37890985.879719295</v>
      </c>
      <c r="C38" s="19">
        <v>297266754.14568448</v>
      </c>
      <c r="D38" s="19">
        <v>259375768.26596519</v>
      </c>
      <c r="E38">
        <v>29.050699999999999</v>
      </c>
      <c r="F38" s="29">
        <v>6.8453159041394338</v>
      </c>
    </row>
    <row r="39" spans="1:9" x14ac:dyDescent="0.25">
      <c r="A39" s="61" t="s">
        <v>1003</v>
      </c>
      <c r="B39" s="45">
        <v>40381101.505101919</v>
      </c>
      <c r="C39" s="19">
        <v>315616932.0720613</v>
      </c>
      <c r="D39" s="19">
        <v>275235830.56695938</v>
      </c>
      <c r="E39">
        <v>30.351099999999999</v>
      </c>
      <c r="F39" s="29">
        <v>6.8159564823209422</v>
      </c>
    </row>
    <row r="40" spans="1:9" x14ac:dyDescent="0.25">
      <c r="A40" s="61" t="s">
        <v>2592</v>
      </c>
      <c r="B40" s="45">
        <v>40655436.277389824</v>
      </c>
      <c r="C40" s="19">
        <v>314503316.17249173</v>
      </c>
      <c r="D40" s="19">
        <v>273847879.8951019</v>
      </c>
      <c r="E40">
        <v>29.4057</v>
      </c>
      <c r="F40" s="29">
        <v>6.7358244055395877</v>
      </c>
    </row>
    <row r="41" spans="1:9" x14ac:dyDescent="0.25">
      <c r="A41" s="61" t="s">
        <v>1717</v>
      </c>
      <c r="B41" s="45">
        <v>18149433.612382367</v>
      </c>
      <c r="C41" s="19">
        <v>128230826.14659536</v>
      </c>
      <c r="D41" s="19">
        <v>110081392.53421299</v>
      </c>
      <c r="E41">
        <v>37.463099999999997</v>
      </c>
      <c r="F41" s="29">
        <v>6.0652797704447634</v>
      </c>
    </row>
    <row r="42" spans="1:9" x14ac:dyDescent="0.25">
      <c r="A42" s="61" t="s">
        <v>665</v>
      </c>
      <c r="B42" s="45">
        <v>31475772.743139934</v>
      </c>
      <c r="C42" s="19">
        <v>218238292.86580369</v>
      </c>
      <c r="D42" s="19">
        <v>186762520.12266377</v>
      </c>
      <c r="E42">
        <v>21.138000000000002</v>
      </c>
      <c r="F42" s="29">
        <v>5.9335324869305452</v>
      </c>
    </row>
    <row r="43" spans="1:9" x14ac:dyDescent="0.25">
      <c r="A43" s="61" t="s">
        <v>1179</v>
      </c>
      <c r="B43" s="45">
        <v>32351533.746982288</v>
      </c>
      <c r="C43" s="19">
        <v>221725483.80334008</v>
      </c>
      <c r="D43" s="19">
        <v>189373950.0563578</v>
      </c>
      <c r="E43">
        <v>21.509499999999999</v>
      </c>
      <c r="F43" s="29">
        <v>5.8536312849162018</v>
      </c>
    </row>
    <row r="44" spans="1:9" x14ac:dyDescent="0.25">
      <c r="A44" s="61" t="s">
        <v>47</v>
      </c>
      <c r="B44" s="45">
        <v>40359998.830310538</v>
      </c>
      <c r="C44" s="19">
        <v>272155942.7298224</v>
      </c>
      <c r="D44" s="19">
        <v>231795943.89951187</v>
      </c>
      <c r="E44">
        <v>46.081800000000001</v>
      </c>
      <c r="F44" s="29">
        <v>5.7432098765432098</v>
      </c>
    </row>
    <row r="45" spans="1:9" x14ac:dyDescent="0.25">
      <c r="A45" s="61" t="s">
        <v>980</v>
      </c>
      <c r="B45" s="45">
        <v>19331183.400699712</v>
      </c>
      <c r="C45" s="19">
        <v>125888274.07496056</v>
      </c>
      <c r="D45" s="19">
        <v>106557090.67426085</v>
      </c>
      <c r="E45">
        <v>31.4072</v>
      </c>
      <c r="F45" s="29">
        <v>5.5121866295264628</v>
      </c>
    </row>
    <row r="46" spans="1:9" x14ac:dyDescent="0.25">
      <c r="A46" s="61" t="s">
        <v>632</v>
      </c>
      <c r="B46" s="45">
        <v>28406251.918137427</v>
      </c>
      <c r="C46" s="19">
        <v>181152301.49856472</v>
      </c>
      <c r="D46" s="19">
        <v>152746049.58042729</v>
      </c>
      <c r="E46">
        <v>45.348300000000002</v>
      </c>
      <c r="F46" s="29">
        <v>5.3771983020012133</v>
      </c>
    </row>
    <row r="47" spans="1:9" x14ac:dyDescent="0.25">
      <c r="A47" s="61" t="s">
        <v>1295</v>
      </c>
      <c r="B47" s="45">
        <v>38650682.172208905</v>
      </c>
      <c r="C47" s="19">
        <v>241003814.69390914</v>
      </c>
      <c r="D47" s="19">
        <v>202353132.52170023</v>
      </c>
      <c r="E47">
        <v>42.180900000000001</v>
      </c>
      <c r="F47" s="29">
        <v>5.2354349561053466</v>
      </c>
    </row>
    <row r="48" spans="1:9" x14ac:dyDescent="0.25">
      <c r="A48" s="61" t="s">
        <v>1378</v>
      </c>
      <c r="B48" s="45">
        <v>33301154.11259447</v>
      </c>
      <c r="C48" s="19">
        <v>204913235.13781074</v>
      </c>
      <c r="D48" s="19">
        <v>171612081.02521628</v>
      </c>
      <c r="E48">
        <v>10.7342</v>
      </c>
      <c r="F48" s="29">
        <v>5.1533373421527369</v>
      </c>
    </row>
    <row r="49" spans="1:6" x14ac:dyDescent="0.25">
      <c r="A49" s="61" t="s">
        <v>1274</v>
      </c>
      <c r="B49" s="45">
        <v>35896783.111934066</v>
      </c>
      <c r="C49" s="19">
        <v>213304522.6156753</v>
      </c>
      <c r="D49" s="19">
        <v>177407739.50374123</v>
      </c>
      <c r="E49">
        <v>10.5707</v>
      </c>
      <c r="F49" s="29">
        <v>4.9421626152556586</v>
      </c>
    </row>
    <row r="50" spans="1:6" x14ac:dyDescent="0.25">
      <c r="A50" s="61" t="s">
        <v>964</v>
      </c>
      <c r="B50" s="45">
        <v>23340691.611062206</v>
      </c>
      <c r="C50" s="19">
        <v>137891068.0622741</v>
      </c>
      <c r="D50" s="19">
        <v>114550376.4512119</v>
      </c>
      <c r="E50">
        <v>60.777299999999997</v>
      </c>
      <c r="F50" s="29">
        <v>4.9077541642734062</v>
      </c>
    </row>
    <row r="51" spans="1:6" x14ac:dyDescent="0.25">
      <c r="A51" s="61" t="s">
        <v>2705</v>
      </c>
      <c r="B51" s="45">
        <v>26685465.565496244</v>
      </c>
      <c r="C51" s="19">
        <v>152288553.69400313</v>
      </c>
      <c r="D51" s="19">
        <v>125603088.1285069</v>
      </c>
      <c r="E51">
        <v>17.438600000000001</v>
      </c>
      <c r="F51" s="29">
        <v>4.7067977067977074</v>
      </c>
    </row>
    <row r="52" spans="1:6" x14ac:dyDescent="0.25">
      <c r="A52" s="61" t="s">
        <v>1615</v>
      </c>
      <c r="B52" s="45">
        <v>39832431.960526086</v>
      </c>
      <c r="C52" s="19">
        <v>226911157.15921569</v>
      </c>
      <c r="D52" s="19">
        <v>187078725.19868961</v>
      </c>
      <c r="E52">
        <v>27.6174</v>
      </c>
      <c r="F52" s="29">
        <v>4.6966433127679599</v>
      </c>
    </row>
    <row r="53" spans="1:6" x14ac:dyDescent="0.25">
      <c r="A53" s="61" t="s">
        <v>1222</v>
      </c>
      <c r="B53" s="45">
        <v>26442784.80539535</v>
      </c>
      <c r="C53" s="19">
        <v>150503624.18462962</v>
      </c>
      <c r="D53" s="19">
        <v>124060839.37923427</v>
      </c>
      <c r="E53">
        <v>20.584399999999999</v>
      </c>
      <c r="F53" s="29">
        <v>4.6916707257671693</v>
      </c>
    </row>
    <row r="54" spans="1:6" x14ac:dyDescent="0.25">
      <c r="A54" s="61" t="s">
        <v>995</v>
      </c>
      <c r="B54" s="45">
        <v>39315416.428137317</v>
      </c>
      <c r="C54" s="19">
        <v>222713590.33186597</v>
      </c>
      <c r="D54" s="19">
        <v>183398173.90372866</v>
      </c>
      <c r="E54">
        <v>18.950700000000001</v>
      </c>
      <c r="F54" s="29">
        <v>4.6647903180410921</v>
      </c>
    </row>
    <row r="55" spans="1:6" x14ac:dyDescent="0.25">
      <c r="A55" s="61" t="s">
        <v>126</v>
      </c>
      <c r="B55" s="45">
        <v>27687842.618086882</v>
      </c>
      <c r="C55" s="19">
        <v>153327810.89151677</v>
      </c>
      <c r="D55" s="19">
        <v>125639968.2734299</v>
      </c>
      <c r="E55">
        <v>23.258700000000001</v>
      </c>
      <c r="F55" s="29">
        <v>4.5377305125014145</v>
      </c>
    </row>
    <row r="56" spans="1:6" x14ac:dyDescent="0.25">
      <c r="A56" s="61" t="s">
        <v>2278</v>
      </c>
      <c r="B56" s="45">
        <v>34050299.067688487</v>
      </c>
      <c r="C56" s="19">
        <v>187516435.71079153</v>
      </c>
      <c r="D56" s="19">
        <v>153466136.64310303</v>
      </c>
      <c r="E56">
        <v>17.082899999999999</v>
      </c>
      <c r="F56" s="29">
        <v>4.5070422535211261</v>
      </c>
    </row>
    <row r="57" spans="1:6" x14ac:dyDescent="0.25">
      <c r="A57" s="61" t="s">
        <v>280</v>
      </c>
      <c r="B57" s="45">
        <v>42913422.480067298</v>
      </c>
      <c r="C57" s="19">
        <v>230475279.65358564</v>
      </c>
      <c r="D57" s="19">
        <v>187561857.17351836</v>
      </c>
      <c r="E57">
        <v>13.067</v>
      </c>
      <c r="F57" s="29">
        <v>4.370703764320786</v>
      </c>
    </row>
    <row r="58" spans="1:6" x14ac:dyDescent="0.25">
      <c r="A58" s="61" t="s">
        <v>954</v>
      </c>
      <c r="B58" s="45">
        <v>36508760.680884026</v>
      </c>
      <c r="C58" s="19">
        <v>195452664.2682218</v>
      </c>
      <c r="D58" s="19">
        <v>158943903.58733776</v>
      </c>
      <c r="E58">
        <v>22.6767</v>
      </c>
      <c r="F58" s="29">
        <v>4.3535825545171338</v>
      </c>
    </row>
    <row r="59" spans="1:6" x14ac:dyDescent="0.25">
      <c r="A59" s="61" t="s">
        <v>2400</v>
      </c>
      <c r="B59" s="45">
        <v>27012557.02476266</v>
      </c>
      <c r="C59" s="19">
        <v>142613217.30934229</v>
      </c>
      <c r="D59" s="19">
        <v>115600660.28457963</v>
      </c>
      <c r="E59">
        <v>53.988599999999998</v>
      </c>
      <c r="F59" s="29">
        <v>4.2795156407669008</v>
      </c>
    </row>
    <row r="60" spans="1:6" x14ac:dyDescent="0.25">
      <c r="A60" s="61" t="s">
        <v>23</v>
      </c>
      <c r="B60" s="45">
        <v>21736888.326917179</v>
      </c>
      <c r="C60" s="19">
        <v>109587909.0094907</v>
      </c>
      <c r="D60" s="19">
        <v>87851020.682573527</v>
      </c>
      <c r="E60">
        <v>30.571200000000001</v>
      </c>
      <c r="F60" s="29">
        <v>4.0415637860082319</v>
      </c>
    </row>
    <row r="61" spans="1:6" x14ac:dyDescent="0.25">
      <c r="A61" s="61" t="s">
        <v>696</v>
      </c>
      <c r="B61" s="45">
        <v>41488991.931649275</v>
      </c>
      <c r="C61" s="19">
        <v>201766180.37444556</v>
      </c>
      <c r="D61" s="19">
        <v>160277188.44279629</v>
      </c>
      <c r="E61">
        <v>49.017699999999998</v>
      </c>
      <c r="F61" s="29">
        <v>3.8631256384065376</v>
      </c>
    </row>
    <row r="62" spans="1:6" x14ac:dyDescent="0.25">
      <c r="A62" s="61" t="s">
        <v>1835</v>
      </c>
      <c r="B62" s="45">
        <v>18476525.071648777</v>
      </c>
      <c r="C62" s="19">
        <v>89825657.337492496</v>
      </c>
      <c r="D62" s="19">
        <v>71349132.265843719</v>
      </c>
      <c r="E62">
        <v>16.2376</v>
      </c>
      <c r="F62" s="29">
        <v>3.8616099071207435</v>
      </c>
    </row>
    <row r="63" spans="1:6" x14ac:dyDescent="0.25">
      <c r="A63" s="61" t="s">
        <v>1467</v>
      </c>
      <c r="B63" s="45">
        <v>38418552.749503754</v>
      </c>
      <c r="C63" s="19">
        <v>185382462.55317304</v>
      </c>
      <c r="D63" s="19">
        <v>146963909.80366927</v>
      </c>
      <c r="E63">
        <v>31.489100000000001</v>
      </c>
      <c r="F63" s="29">
        <v>3.8253369605539755</v>
      </c>
    </row>
    <row r="64" spans="1:6" x14ac:dyDescent="0.25">
      <c r="A64" s="61" t="s">
        <v>2509</v>
      </c>
      <c r="B64" s="45">
        <v>39231005.728971802</v>
      </c>
      <c r="C64" s="19">
        <v>187685583.15273204</v>
      </c>
      <c r="D64" s="19">
        <v>148454577.42376024</v>
      </c>
      <c r="E64">
        <v>51.074300000000001</v>
      </c>
      <c r="F64" s="29">
        <v>3.7841134751773047</v>
      </c>
    </row>
    <row r="65" spans="1:6" x14ac:dyDescent="0.25">
      <c r="A65" s="61" t="s">
        <v>122</v>
      </c>
      <c r="B65" s="45">
        <v>38408001.412108064</v>
      </c>
      <c r="C65" s="19">
        <v>183701427.8065958</v>
      </c>
      <c r="D65" s="19">
        <v>145293426.39448774</v>
      </c>
      <c r="E65">
        <v>38.42</v>
      </c>
      <c r="F65" s="29">
        <v>3.7828947368421053</v>
      </c>
    </row>
    <row r="66" spans="1:6" x14ac:dyDescent="0.25">
      <c r="A66" s="61" t="s">
        <v>1469</v>
      </c>
      <c r="B66" s="45">
        <v>21694682.977334417</v>
      </c>
      <c r="C66" s="19">
        <v>103751019.81106599</v>
      </c>
      <c r="D66" s="19">
        <v>82056336.833731562</v>
      </c>
      <c r="E66">
        <v>63.993899999999996</v>
      </c>
      <c r="F66" s="29">
        <v>3.7823247714410098</v>
      </c>
    </row>
    <row r="67" spans="1:6" x14ac:dyDescent="0.25">
      <c r="A67" s="61" t="s">
        <v>1610</v>
      </c>
      <c r="B67" s="45">
        <v>22232801.184514657</v>
      </c>
      <c r="C67" s="19">
        <v>105442544.15347636</v>
      </c>
      <c r="D67" s="19">
        <v>83209742.968961701</v>
      </c>
      <c r="E67">
        <v>25.014900000000001</v>
      </c>
      <c r="F67" s="29">
        <v>3.7426567295046036</v>
      </c>
    </row>
    <row r="68" spans="1:6" x14ac:dyDescent="0.25">
      <c r="A68" s="61" t="s">
        <v>2925</v>
      </c>
      <c r="B68" s="45">
        <v>37500586.396078803</v>
      </c>
      <c r="C68" s="19">
        <v>175604076.52206811</v>
      </c>
      <c r="D68" s="19">
        <v>138103490.12598932</v>
      </c>
      <c r="E68">
        <v>24.924499999999998</v>
      </c>
      <c r="F68" s="29">
        <v>3.6827021494370529</v>
      </c>
    </row>
    <row r="69" spans="1:6" x14ac:dyDescent="0.25">
      <c r="A69" s="61" t="s">
        <v>877</v>
      </c>
      <c r="B69" s="45">
        <v>18624243.795188449</v>
      </c>
      <c r="C69" s="19">
        <v>84565209.540118501</v>
      </c>
      <c r="D69" s="19">
        <v>65940965.744930051</v>
      </c>
      <c r="E69">
        <v>21.257999999999999</v>
      </c>
      <c r="F69" s="29">
        <v>3.5405982905982909</v>
      </c>
    </row>
    <row r="70" spans="1:6" x14ac:dyDescent="0.25">
      <c r="A70" s="61" t="s">
        <v>154</v>
      </c>
      <c r="B70" s="45">
        <v>23583372.3711631</v>
      </c>
      <c r="C70" s="19">
        <v>106944369.0083259</v>
      </c>
      <c r="D70" s="19">
        <v>83360996.637162805</v>
      </c>
      <c r="E70">
        <v>10.674099999999999</v>
      </c>
      <c r="F70" s="29">
        <v>3.534736055776893</v>
      </c>
    </row>
    <row r="71" spans="1:6" x14ac:dyDescent="0.25">
      <c r="A71" s="61" t="s">
        <v>965</v>
      </c>
      <c r="B71" s="45">
        <v>31813415.539802045</v>
      </c>
      <c r="C71" s="19">
        <v>142973232.19063976</v>
      </c>
      <c r="D71" s="19">
        <v>111159816.65083772</v>
      </c>
      <c r="E71">
        <v>12.6579</v>
      </c>
      <c r="F71" s="29">
        <v>3.4941176470588231</v>
      </c>
    </row>
    <row r="72" spans="1:6" x14ac:dyDescent="0.25">
      <c r="A72" s="61" t="s">
        <v>2322</v>
      </c>
      <c r="B72" s="45">
        <v>36941365.514107287</v>
      </c>
      <c r="C72" s="19">
        <v>165188964.76896524</v>
      </c>
      <c r="D72" s="19">
        <v>128247599.25485796</v>
      </c>
      <c r="E72">
        <v>18.262599999999999</v>
      </c>
      <c r="F72" s="29">
        <v>3.4716529145594888</v>
      </c>
    </row>
    <row r="73" spans="1:6" x14ac:dyDescent="0.25">
      <c r="A73" s="61" t="s">
        <v>2857</v>
      </c>
      <c r="B73" s="45">
        <v>40307242.143332094</v>
      </c>
      <c r="C73" s="19">
        <v>179859965.59760728</v>
      </c>
      <c r="D73" s="19">
        <v>139552723.45427519</v>
      </c>
      <c r="E73">
        <v>34.778399999999998</v>
      </c>
      <c r="F73" s="29">
        <v>3.4622245540398744</v>
      </c>
    </row>
    <row r="74" spans="1:6" x14ac:dyDescent="0.25">
      <c r="A74" s="61" t="s">
        <v>927</v>
      </c>
      <c r="B74" s="45">
        <v>23889361.155638136</v>
      </c>
      <c r="C74" s="19">
        <v>102056625.90062459</v>
      </c>
      <c r="D74" s="19">
        <v>78167264.744986445</v>
      </c>
      <c r="E74">
        <v>0</v>
      </c>
      <c r="F74" s="29">
        <v>3.2720533728687911</v>
      </c>
    </row>
    <row r="75" spans="1:6" x14ac:dyDescent="0.25">
      <c r="A75" s="61" t="s">
        <v>457</v>
      </c>
      <c r="B75" s="45">
        <v>24205901.277508866</v>
      </c>
      <c r="C75" s="19">
        <v>101034259.52599907</v>
      </c>
      <c r="D75" s="19">
        <v>76828358.248490199</v>
      </c>
      <c r="E75">
        <v>12.4742</v>
      </c>
      <c r="F75" s="29">
        <v>3.1739515652687542</v>
      </c>
    </row>
    <row r="76" spans="1:6" x14ac:dyDescent="0.25">
      <c r="A76" s="61" t="s">
        <v>880</v>
      </c>
      <c r="B76" s="45">
        <v>25725293.862488363</v>
      </c>
      <c r="C76" s="19">
        <v>105978210.35002682</v>
      </c>
      <c r="D76" s="19">
        <v>80252916.487538457</v>
      </c>
      <c r="E76">
        <v>24.9634</v>
      </c>
      <c r="F76" s="29">
        <v>3.1196112633939697</v>
      </c>
    </row>
    <row r="77" spans="1:6" x14ac:dyDescent="0.25">
      <c r="A77" s="61" t="s">
        <v>292</v>
      </c>
      <c r="B77" s="45">
        <v>33913131.681544527</v>
      </c>
      <c r="C77" s="19">
        <v>137247791.63901639</v>
      </c>
      <c r="D77" s="19">
        <v>103334659.95747186</v>
      </c>
      <c r="E77">
        <v>21.688700000000001</v>
      </c>
      <c r="F77" s="29">
        <v>3.0470397404703977</v>
      </c>
    </row>
    <row r="78" spans="1:6" x14ac:dyDescent="0.25">
      <c r="A78" s="61" t="s">
        <v>1299</v>
      </c>
      <c r="B78" s="45">
        <v>43588708.073391385</v>
      </c>
      <c r="C78" s="19">
        <v>176045650.02948278</v>
      </c>
      <c r="D78" s="19">
        <v>132456941.9560914</v>
      </c>
      <c r="E78">
        <v>16.958100000000002</v>
      </c>
      <c r="F78" s="29">
        <v>3.038790269559501</v>
      </c>
    </row>
    <row r="79" spans="1:6" x14ac:dyDescent="0.25">
      <c r="A79" s="61" t="s">
        <v>1370</v>
      </c>
      <c r="B79" s="45">
        <v>35854577.762351304</v>
      </c>
      <c r="C79" s="19">
        <v>143677657.00066993</v>
      </c>
      <c r="D79" s="19">
        <v>107823079.23831862</v>
      </c>
      <c r="E79">
        <v>5.0087000000000002</v>
      </c>
      <c r="F79" s="29">
        <v>3.0072332730560567</v>
      </c>
    </row>
    <row r="80" spans="1:6" x14ac:dyDescent="0.25">
      <c r="A80" s="61" t="s">
        <v>2503</v>
      </c>
      <c r="B80" s="45">
        <v>32087750.312090009</v>
      </c>
      <c r="C80" s="19">
        <v>123397435.07432057</v>
      </c>
      <c r="D80" s="19">
        <v>91309684.76223056</v>
      </c>
      <c r="E80">
        <v>98.040199999999999</v>
      </c>
      <c r="F80" s="29">
        <v>2.8456243854473939</v>
      </c>
    </row>
    <row r="81" spans="1:6" x14ac:dyDescent="0.25">
      <c r="A81" s="61" t="s">
        <v>785</v>
      </c>
      <c r="B81" s="45">
        <v>32910754.628953908</v>
      </c>
      <c r="C81" s="19">
        <v>125560857.90073395</v>
      </c>
      <c r="D81" s="19">
        <v>92650103.271780044</v>
      </c>
      <c r="E81">
        <v>12.711</v>
      </c>
      <c r="F81" s="29">
        <v>2.8151923076923073</v>
      </c>
    </row>
    <row r="82" spans="1:6" x14ac:dyDescent="0.25">
      <c r="A82" s="61" t="s">
        <v>1177</v>
      </c>
      <c r="B82" s="45">
        <v>43778632.146513797</v>
      </c>
      <c r="C82" s="19">
        <v>164889739.89871195</v>
      </c>
      <c r="D82" s="19">
        <v>121111107.75219816</v>
      </c>
      <c r="E82">
        <v>15.4961</v>
      </c>
      <c r="F82" s="29">
        <v>2.766443395190513</v>
      </c>
    </row>
    <row r="83" spans="1:6" x14ac:dyDescent="0.25">
      <c r="A83" s="61" t="s">
        <v>1413</v>
      </c>
      <c r="B83" s="45">
        <v>27276340.459654935</v>
      </c>
      <c r="C83" s="19">
        <v>98649673.527100444</v>
      </c>
      <c r="D83" s="19">
        <v>71373333.067445517</v>
      </c>
      <c r="E83">
        <v>9.3057999999999996</v>
      </c>
      <c r="F83" s="29">
        <v>2.6166755460841773</v>
      </c>
    </row>
    <row r="84" spans="1:6" x14ac:dyDescent="0.25">
      <c r="A84" s="61" t="s">
        <v>2672</v>
      </c>
      <c r="B84" s="45">
        <v>22042877.111392219</v>
      </c>
      <c r="C84" s="19">
        <v>79405258.407683566</v>
      </c>
      <c r="D84" s="19">
        <v>57362381.296291351</v>
      </c>
      <c r="E84">
        <v>8.2669999999999995</v>
      </c>
      <c r="F84" s="29">
        <v>2.6023091725465037</v>
      </c>
    </row>
    <row r="85" spans="1:6" x14ac:dyDescent="0.25">
      <c r="A85" s="61" t="s">
        <v>2885</v>
      </c>
      <c r="B85" s="45">
        <v>38914465.607101135</v>
      </c>
      <c r="C85" s="19">
        <v>139410933.45901224</v>
      </c>
      <c r="D85" s="19">
        <v>100496467.8519111</v>
      </c>
      <c r="E85">
        <v>0</v>
      </c>
      <c r="F85" s="29">
        <v>2.5824964131994257</v>
      </c>
    </row>
    <row r="86" spans="1:6" x14ac:dyDescent="0.25">
      <c r="A86" s="61" t="s">
        <v>249</v>
      </c>
      <c r="B86" s="45">
        <v>30357330.979196694</v>
      </c>
      <c r="C86" s="19">
        <v>108416755.50337651</v>
      </c>
      <c r="D86" s="19">
        <v>78059424.524179816</v>
      </c>
      <c r="E86">
        <v>13.790800000000001</v>
      </c>
      <c r="F86" s="29">
        <v>2.5713533438651925</v>
      </c>
    </row>
    <row r="87" spans="1:6" x14ac:dyDescent="0.25">
      <c r="A87" s="61" t="s">
        <v>1000</v>
      </c>
      <c r="B87" s="45">
        <v>17801239.47832457</v>
      </c>
      <c r="C87" s="19">
        <v>62256899.827758044</v>
      </c>
      <c r="D87" s="19">
        <v>44455660.349433474</v>
      </c>
      <c r="E87">
        <v>26.294</v>
      </c>
      <c r="F87" s="29">
        <v>2.4973351099267154</v>
      </c>
    </row>
    <row r="88" spans="1:6" x14ac:dyDescent="0.25">
      <c r="A88" s="61" t="s">
        <v>1119</v>
      </c>
      <c r="B88" s="45">
        <v>33037370.6777022</v>
      </c>
      <c r="C88" s="19">
        <v>111823842.07532181</v>
      </c>
      <c r="D88" s="19">
        <v>78786471.397619605</v>
      </c>
      <c r="E88">
        <v>89.077799999999996</v>
      </c>
      <c r="F88" s="29">
        <v>2.3847682119205293</v>
      </c>
    </row>
    <row r="89" spans="1:6" x14ac:dyDescent="0.25">
      <c r="A89" s="61" t="s">
        <v>2909</v>
      </c>
      <c r="B89" s="45">
        <v>32763035.905414235</v>
      </c>
      <c r="C89" s="19">
        <v>110286095.89744674</v>
      </c>
      <c r="D89" s="19">
        <v>77523059.992032498</v>
      </c>
      <c r="E89">
        <v>25.1784</v>
      </c>
      <c r="F89" s="29">
        <v>2.366174496644295</v>
      </c>
    </row>
    <row r="90" spans="1:6" x14ac:dyDescent="0.25">
      <c r="A90" s="61" t="s">
        <v>378</v>
      </c>
      <c r="B90" s="45">
        <v>29165029.853483614</v>
      </c>
      <c r="C90" s="19">
        <v>97801094.165215522</v>
      </c>
      <c r="D90" s="19">
        <v>68636064.311731905</v>
      </c>
      <c r="E90">
        <v>11.7629</v>
      </c>
      <c r="F90" s="29">
        <v>2.3533685601056802</v>
      </c>
    </row>
    <row r="91" spans="1:6" x14ac:dyDescent="0.25">
      <c r="A91" s="61" t="s">
        <v>929</v>
      </c>
      <c r="B91" s="45">
        <v>40750398.313951038</v>
      </c>
      <c r="C91" s="19">
        <v>135431989.12640515</v>
      </c>
      <c r="D91" s="19">
        <v>94681590.812454104</v>
      </c>
      <c r="E91">
        <v>66.921300000000002</v>
      </c>
      <c r="F91" s="29">
        <v>2.3234519104084326</v>
      </c>
    </row>
    <row r="92" spans="1:6" x14ac:dyDescent="0.25">
      <c r="A92" s="61" t="s">
        <v>2695</v>
      </c>
      <c r="B92" s="45">
        <v>24701814.13510634</v>
      </c>
      <c r="C92" s="19">
        <v>81416041.436363533</v>
      </c>
      <c r="D92" s="19">
        <v>56714227.301257193</v>
      </c>
      <c r="E92">
        <v>39.219200000000001</v>
      </c>
      <c r="F92" s="29">
        <v>2.2959539324140024</v>
      </c>
    </row>
    <row r="93" spans="1:6" x14ac:dyDescent="0.25">
      <c r="A93" s="61" t="s">
        <v>1768</v>
      </c>
      <c r="B93" s="45">
        <v>22886984.103047498</v>
      </c>
      <c r="C93" s="19">
        <v>74935451.867419213</v>
      </c>
      <c r="D93" s="19">
        <v>52048467.764371715</v>
      </c>
      <c r="E93">
        <v>8.1109000000000009</v>
      </c>
      <c r="F93" s="29">
        <v>2.2741514360313313</v>
      </c>
    </row>
    <row r="94" spans="1:6" x14ac:dyDescent="0.25">
      <c r="A94" s="61" t="s">
        <v>745</v>
      </c>
      <c r="B94" s="45">
        <v>32034993.625111554</v>
      </c>
      <c r="C94" s="19">
        <v>104549807.72886537</v>
      </c>
      <c r="D94" s="19">
        <v>72514814.10375382</v>
      </c>
      <c r="E94">
        <v>31.6782</v>
      </c>
      <c r="F94" s="29">
        <v>2.2636125654450261</v>
      </c>
    </row>
    <row r="95" spans="1:6" x14ac:dyDescent="0.25">
      <c r="A95" s="61" t="s">
        <v>255</v>
      </c>
      <c r="B95" s="45">
        <v>29618737.36149833</v>
      </c>
      <c r="C95" s="19">
        <v>96269764.310307145</v>
      </c>
      <c r="D95" s="19">
        <v>66651026.948808819</v>
      </c>
      <c r="E95">
        <v>13.336</v>
      </c>
      <c r="F95" s="29">
        <v>2.250299401197605</v>
      </c>
    </row>
    <row r="96" spans="1:6" x14ac:dyDescent="0.25">
      <c r="A96" s="61" t="s">
        <v>1969</v>
      </c>
      <c r="B96" s="45">
        <v>22317211.883680183</v>
      </c>
      <c r="C96" s="19">
        <v>71960265.130396783</v>
      </c>
      <c r="D96" s="19">
        <v>49643053.246716604</v>
      </c>
      <c r="E96">
        <v>18.067900000000002</v>
      </c>
      <c r="F96" s="29">
        <v>2.2244289970208544</v>
      </c>
    </row>
    <row r="97" spans="1:6" x14ac:dyDescent="0.25">
      <c r="A97" s="61" t="s">
        <v>1764</v>
      </c>
      <c r="B97" s="45">
        <v>19004091.941433311</v>
      </c>
      <c r="C97" s="19">
        <v>60938047.515832528</v>
      </c>
      <c r="D97" s="19">
        <v>41933955.574399218</v>
      </c>
      <c r="E97">
        <v>12.591900000000001</v>
      </c>
      <c r="F97" s="29">
        <v>2.2065750736015706</v>
      </c>
    </row>
    <row r="98" spans="1:6" x14ac:dyDescent="0.25">
      <c r="A98" s="61" t="s">
        <v>676</v>
      </c>
      <c r="B98" s="45">
        <v>40602679.59041138</v>
      </c>
      <c r="C98" s="19">
        <v>129496265.45713781</v>
      </c>
      <c r="D98" s="19">
        <v>88893585.866726428</v>
      </c>
      <c r="E98">
        <v>41.237499999999997</v>
      </c>
      <c r="F98" s="29">
        <v>2.189352692075015</v>
      </c>
    </row>
    <row r="99" spans="1:6" x14ac:dyDescent="0.25">
      <c r="A99" s="61" t="s">
        <v>1744</v>
      </c>
      <c r="B99" s="45">
        <v>36213323.23380474</v>
      </c>
      <c r="C99" s="19">
        <v>113438893.23636323</v>
      </c>
      <c r="D99" s="19">
        <v>77225570.0025585</v>
      </c>
      <c r="E99">
        <v>7.4141000000000004</v>
      </c>
      <c r="F99" s="29">
        <v>2.1325181758096501</v>
      </c>
    </row>
    <row r="100" spans="1:6" x14ac:dyDescent="0.25">
      <c r="A100" s="61" t="s">
        <v>2222</v>
      </c>
      <c r="B100" s="45">
        <v>35569691.652667709</v>
      </c>
      <c r="C100" s="19">
        <v>110858193.24738456</v>
      </c>
      <c r="D100" s="19">
        <v>75288501.594716847</v>
      </c>
      <c r="E100">
        <v>20.571200000000001</v>
      </c>
      <c r="F100" s="29">
        <v>2.1166475754104619</v>
      </c>
    </row>
    <row r="101" spans="1:6" x14ac:dyDescent="0.25">
      <c r="A101" s="61" t="s">
        <v>2595</v>
      </c>
      <c r="B101" s="45">
        <v>30969308.548146769</v>
      </c>
      <c r="C101" s="19">
        <v>95495920.309827387</v>
      </c>
      <c r="D101" s="19">
        <v>64526611.761680618</v>
      </c>
      <c r="E101">
        <v>20.7332</v>
      </c>
      <c r="F101" s="29">
        <v>2.0835664335664332</v>
      </c>
    </row>
    <row r="102" spans="1:6" x14ac:dyDescent="0.25">
      <c r="A102" s="61" t="s">
        <v>25</v>
      </c>
      <c r="B102" s="45">
        <v>35833475.087559931</v>
      </c>
      <c r="C102" s="19">
        <v>110493329.69214794</v>
      </c>
      <c r="D102" s="19">
        <v>74659854.604588002</v>
      </c>
      <c r="E102">
        <v>18.0623</v>
      </c>
      <c r="F102" s="29">
        <v>2.0835225839010842</v>
      </c>
    </row>
    <row r="103" spans="1:6" x14ac:dyDescent="0.25">
      <c r="A103" s="61" t="s">
        <v>872</v>
      </c>
      <c r="B103" s="45">
        <v>34746687.335803963</v>
      </c>
      <c r="C103" s="19">
        <v>101483254.92106766</v>
      </c>
      <c r="D103" s="19">
        <v>66736567.585263692</v>
      </c>
      <c r="E103">
        <v>28.452400000000001</v>
      </c>
      <c r="F103" s="29">
        <v>1.9206598586017281</v>
      </c>
    </row>
    <row r="104" spans="1:6" x14ac:dyDescent="0.25">
      <c r="A104" s="61" t="s">
        <v>1294</v>
      </c>
      <c r="B104" s="45">
        <v>38270834.025964104</v>
      </c>
      <c r="C104" s="19">
        <v>111022369.82538994</v>
      </c>
      <c r="D104" s="19">
        <v>72751535.79942584</v>
      </c>
      <c r="E104">
        <v>45.020099999999999</v>
      </c>
      <c r="F104" s="29">
        <v>1.9009655172413795</v>
      </c>
    </row>
    <row r="105" spans="1:6" x14ac:dyDescent="0.25">
      <c r="A105" s="61" t="s">
        <v>1480</v>
      </c>
      <c r="B105" s="45">
        <v>37057430.225459859</v>
      </c>
      <c r="C105" s="19">
        <v>106294322.82017107</v>
      </c>
      <c r="D105" s="19">
        <v>69236892.594711214</v>
      </c>
      <c r="E105">
        <v>0</v>
      </c>
      <c r="F105" s="29">
        <v>1.8683673469387752</v>
      </c>
    </row>
    <row r="106" spans="1:6" x14ac:dyDescent="0.25">
      <c r="A106" s="61" t="s">
        <v>1602</v>
      </c>
      <c r="B106" s="45">
        <v>39568648.525633857</v>
      </c>
      <c r="C106" s="19">
        <v>112931979.69762453</v>
      </c>
      <c r="D106" s="19">
        <v>73363331.171990678</v>
      </c>
      <c r="E106">
        <v>0</v>
      </c>
      <c r="F106" s="29">
        <v>1.8540772532188843</v>
      </c>
    </row>
    <row r="107" spans="1:6" x14ac:dyDescent="0.25">
      <c r="A107" s="61" t="s">
        <v>1243</v>
      </c>
      <c r="B107" s="45">
        <v>22486033.282011237</v>
      </c>
      <c r="C107" s="19">
        <v>63371852.884089828</v>
      </c>
      <c r="D107" s="19">
        <v>40885819.602078587</v>
      </c>
      <c r="E107">
        <v>27.835899999999999</v>
      </c>
      <c r="F107" s="29">
        <v>1.8182762201453793</v>
      </c>
    </row>
    <row r="108" spans="1:6" x14ac:dyDescent="0.25">
      <c r="A108" s="61" t="s">
        <v>300</v>
      </c>
      <c r="B108" s="45">
        <v>38682336.184395976</v>
      </c>
      <c r="C108" s="19">
        <v>106697669.56703953</v>
      </c>
      <c r="D108" s="19">
        <v>68015333.382643551</v>
      </c>
      <c r="E108">
        <v>12.278499999999999</v>
      </c>
      <c r="F108" s="29">
        <v>1.7583046964490263</v>
      </c>
    </row>
    <row r="109" spans="1:6" x14ac:dyDescent="0.25">
      <c r="A109" s="61" t="s">
        <v>1459</v>
      </c>
      <c r="B109" s="45">
        <v>16957132.486669313</v>
      </c>
      <c r="C109" s="19">
        <v>46166359.406834722</v>
      </c>
      <c r="D109" s="19">
        <v>29209226.920165408</v>
      </c>
      <c r="E109">
        <v>50.531799999999997</v>
      </c>
      <c r="F109" s="29">
        <v>1.7225333907798364</v>
      </c>
    </row>
    <row r="110" spans="1:6" x14ac:dyDescent="0.25">
      <c r="A110" s="61" t="s">
        <v>21</v>
      </c>
      <c r="B110" s="45">
        <v>24089836.566156264</v>
      </c>
      <c r="C110" s="19">
        <v>65117153.85095793</v>
      </c>
      <c r="D110" s="19">
        <v>41027317.284801662</v>
      </c>
      <c r="E110">
        <v>0</v>
      </c>
      <c r="F110" s="29">
        <v>1.7030965391621133</v>
      </c>
    </row>
    <row r="111" spans="1:6" x14ac:dyDescent="0.25">
      <c r="A111" s="61" t="s">
        <v>94</v>
      </c>
      <c r="B111" s="45">
        <v>24195349.940113176</v>
      </c>
      <c r="C111" s="19">
        <v>65317060.567945011</v>
      </c>
      <c r="D111" s="19">
        <v>41121710.627831832</v>
      </c>
      <c r="E111">
        <v>0</v>
      </c>
      <c r="F111" s="29">
        <v>1.6995708154506437</v>
      </c>
    </row>
    <row r="112" spans="1:6" x14ac:dyDescent="0.25">
      <c r="A112" s="61" t="s">
        <v>862</v>
      </c>
      <c r="B112" s="45">
        <v>24248106.627091628</v>
      </c>
      <c r="C112" s="19">
        <v>64063599.901686244</v>
      </c>
      <c r="D112" s="19">
        <v>39815493.27459462</v>
      </c>
      <c r="E112">
        <v>25.037800000000001</v>
      </c>
      <c r="F112" s="29">
        <v>1.6420042144696796</v>
      </c>
    </row>
    <row r="113" spans="1:6" x14ac:dyDescent="0.25">
      <c r="A113" s="61" t="s">
        <v>930</v>
      </c>
      <c r="B113" s="45">
        <v>32720830.55583147</v>
      </c>
      <c r="C113" s="19">
        <v>86107448.831135452</v>
      </c>
      <c r="D113" s="19">
        <v>53386618.275303982</v>
      </c>
      <c r="E113">
        <v>0</v>
      </c>
      <c r="F113" s="29">
        <v>1.6315789473684212</v>
      </c>
    </row>
    <row r="114" spans="1:6" x14ac:dyDescent="0.25">
      <c r="A114" s="61" t="s">
        <v>2367</v>
      </c>
      <c r="B114" s="45">
        <v>40454960.866871744</v>
      </c>
      <c r="C114" s="19">
        <v>105835085.17286958</v>
      </c>
      <c r="D114" s="19">
        <v>65380124.305997834</v>
      </c>
      <c r="E114">
        <v>53.283499999999997</v>
      </c>
      <c r="F114" s="29">
        <v>1.6161213088587392</v>
      </c>
    </row>
    <row r="115" spans="1:6" x14ac:dyDescent="0.25">
      <c r="A115" s="61" t="s">
        <v>2750</v>
      </c>
      <c r="B115" s="45">
        <v>38038704.603258945</v>
      </c>
      <c r="C115" s="19">
        <v>96741291.970318332</v>
      </c>
      <c r="D115" s="19">
        <v>58702587.367059387</v>
      </c>
      <c r="E115">
        <v>17.465900000000001</v>
      </c>
      <c r="F115" s="29">
        <v>1.5432330827067668</v>
      </c>
    </row>
    <row r="116" spans="1:6" x14ac:dyDescent="0.25">
      <c r="A116" s="61" t="s">
        <v>1953</v>
      </c>
      <c r="B116" s="45">
        <v>20903332.672657594</v>
      </c>
      <c r="C116" s="19">
        <v>52905580.80855719</v>
      </c>
      <c r="D116" s="19">
        <v>32002248.135899596</v>
      </c>
      <c r="E116">
        <v>26.5076</v>
      </c>
      <c r="F116" s="29">
        <v>1.5309639203015619</v>
      </c>
    </row>
    <row r="117" spans="1:6" x14ac:dyDescent="0.25">
      <c r="A117" s="61" t="s">
        <v>1148</v>
      </c>
      <c r="B117" s="45">
        <v>43831388.833492242</v>
      </c>
      <c r="C117" s="19">
        <v>108394996.06773196</v>
      </c>
      <c r="D117" s="19">
        <v>64563607.23423972</v>
      </c>
      <c r="E117">
        <v>3.077</v>
      </c>
      <c r="F117" s="29">
        <v>1.4729993493819131</v>
      </c>
    </row>
    <row r="118" spans="1:6" x14ac:dyDescent="0.25">
      <c r="A118" s="61" t="s">
        <v>2859</v>
      </c>
      <c r="B118" s="45">
        <v>39294313.753345944</v>
      </c>
      <c r="C118" s="19">
        <v>96381420.416429311</v>
      </c>
      <c r="D118" s="19">
        <v>57087106.663083367</v>
      </c>
      <c r="E118">
        <v>27.224900000000002</v>
      </c>
      <c r="F118" s="29">
        <v>1.4528083381586567</v>
      </c>
    </row>
    <row r="119" spans="1:6" x14ac:dyDescent="0.25">
      <c r="A119" s="61" t="s">
        <v>1342</v>
      </c>
      <c r="B119" s="45">
        <v>38597925.485230461</v>
      </c>
      <c r="C119" s="19">
        <v>90971426.699124813</v>
      </c>
      <c r="D119" s="19">
        <v>52373501.213894352</v>
      </c>
      <c r="E119">
        <v>23.529399999999999</v>
      </c>
      <c r="F119" s="29">
        <v>1.3568993813912391</v>
      </c>
    </row>
    <row r="120" spans="1:6" x14ac:dyDescent="0.25">
      <c r="A120" s="61" t="s">
        <v>685</v>
      </c>
      <c r="B120" s="45">
        <v>31971685.600737412</v>
      </c>
      <c r="C120" s="19">
        <v>72197436.355563775</v>
      </c>
      <c r="D120" s="19">
        <v>40225750.754826367</v>
      </c>
      <c r="E120">
        <v>16.6751</v>
      </c>
      <c r="F120" s="29">
        <v>1.2581679695329726</v>
      </c>
    </row>
    <row r="121" spans="1:6" x14ac:dyDescent="0.25">
      <c r="A121" s="61" t="s">
        <v>74</v>
      </c>
      <c r="B121" s="45">
        <v>22538789.968989696</v>
      </c>
      <c r="C121" s="19">
        <v>50105316.801290922</v>
      </c>
      <c r="D121" s="19">
        <v>27566526.832301226</v>
      </c>
      <c r="E121">
        <v>8.5505999999999993</v>
      </c>
      <c r="F121" s="29">
        <v>1.2230703986429179</v>
      </c>
    </row>
    <row r="122" spans="1:6" x14ac:dyDescent="0.25">
      <c r="A122" s="61" t="s">
        <v>777</v>
      </c>
      <c r="B122" s="45">
        <v>41256862.508944109</v>
      </c>
      <c r="C122" s="19">
        <v>91205840.202328369</v>
      </c>
      <c r="D122" s="19">
        <v>49948977.69338426</v>
      </c>
      <c r="E122">
        <v>43.972099999999998</v>
      </c>
      <c r="F122" s="29">
        <v>1.2106828938471941</v>
      </c>
    </row>
    <row r="123" spans="1:6" x14ac:dyDescent="0.25">
      <c r="A123" s="61" t="s">
        <v>2436</v>
      </c>
      <c r="B123" s="45">
        <v>36709236.091402121</v>
      </c>
      <c r="C123" s="19">
        <v>76704848.81654416</v>
      </c>
      <c r="D123" s="19">
        <v>39995612.725142039</v>
      </c>
      <c r="E123">
        <v>59.1235</v>
      </c>
      <c r="F123" s="29">
        <v>1.0895245170876666</v>
      </c>
    </row>
    <row r="124" spans="1:6" x14ac:dyDescent="0.25">
      <c r="A124" s="61" t="s">
        <v>2157</v>
      </c>
      <c r="B124" s="45">
        <v>32784138.580205612</v>
      </c>
      <c r="C124" s="19">
        <v>65605030.67899891</v>
      </c>
      <c r="D124" s="19">
        <v>32820892.098793298</v>
      </c>
      <c r="E124">
        <v>0</v>
      </c>
      <c r="F124" s="29">
        <v>1.0011210762331841</v>
      </c>
    </row>
    <row r="125" spans="1:6" x14ac:dyDescent="0.25">
      <c r="A125" s="61" t="s">
        <v>778</v>
      </c>
      <c r="B125" s="45">
        <v>32752484.568018541</v>
      </c>
      <c r="C125" s="19">
        <v>64977766.165123299</v>
      </c>
      <c r="D125" s="19">
        <v>32225281.597104758</v>
      </c>
      <c r="E125">
        <v>24.9313</v>
      </c>
      <c r="F125" s="29">
        <v>0.98390342052313873</v>
      </c>
    </row>
    <row r="126" spans="1:6" x14ac:dyDescent="0.25">
      <c r="A126" s="61" t="s">
        <v>1175</v>
      </c>
      <c r="B126" s="45">
        <v>23709988.419911392</v>
      </c>
      <c r="C126" s="19">
        <v>46916418.680634126</v>
      </c>
      <c r="D126" s="19">
        <v>23206430.260722734</v>
      </c>
      <c r="E126">
        <v>0</v>
      </c>
      <c r="F126" s="29">
        <v>0.97876177118813878</v>
      </c>
    </row>
    <row r="127" spans="1:6" x14ac:dyDescent="0.25">
      <c r="A127" s="61" t="s">
        <v>808</v>
      </c>
      <c r="B127" s="45">
        <v>35917885.786725447</v>
      </c>
      <c r="C127" s="19">
        <v>69660813.091555744</v>
      </c>
      <c r="D127" s="19">
        <v>33742927.304830298</v>
      </c>
      <c r="E127">
        <v>145.34049999999999</v>
      </c>
      <c r="F127" s="29">
        <v>0.93944636678200666</v>
      </c>
    </row>
    <row r="128" spans="1:6" x14ac:dyDescent="0.25">
      <c r="A128" s="61" t="s">
        <v>2876</v>
      </c>
      <c r="B128" s="45">
        <v>18687551.819562592</v>
      </c>
      <c r="C128" s="19">
        <v>35888593.83529634</v>
      </c>
      <c r="D128" s="19">
        <v>17201042.015733749</v>
      </c>
      <c r="E128">
        <v>15.248200000000001</v>
      </c>
      <c r="F128" s="29">
        <v>0.92045454545454541</v>
      </c>
    </row>
    <row r="129" spans="1:6" x14ac:dyDescent="0.25">
      <c r="A129" s="61" t="s">
        <v>522</v>
      </c>
      <c r="B129" s="45">
        <v>23330140.273666516</v>
      </c>
      <c r="C129" s="19">
        <v>43826836.754753955</v>
      </c>
      <c r="D129" s="19">
        <v>20496696.481087439</v>
      </c>
      <c r="E129">
        <v>0</v>
      </c>
      <c r="F129" s="29">
        <v>0.87855007473841562</v>
      </c>
    </row>
    <row r="130" spans="1:6" x14ac:dyDescent="0.25">
      <c r="A130" s="61" t="s">
        <v>2841</v>
      </c>
      <c r="B130" s="45">
        <v>43472643.362038806</v>
      </c>
      <c r="C130" s="19">
        <v>76121162.191673711</v>
      </c>
      <c r="D130" s="19">
        <v>32648518.829634905</v>
      </c>
      <c r="E130">
        <v>11.667199999999999</v>
      </c>
      <c r="F130" s="29">
        <v>0.75101296596434375</v>
      </c>
    </row>
    <row r="131" spans="1:6" x14ac:dyDescent="0.25">
      <c r="A131" s="61" t="s">
        <v>1124</v>
      </c>
      <c r="B131" s="45">
        <v>41805532.053519942</v>
      </c>
      <c r="C131" s="19">
        <v>72003484.785817459</v>
      </c>
      <c r="D131" s="19">
        <v>30197952.732297517</v>
      </c>
      <c r="E131">
        <v>12.543100000000001</v>
      </c>
      <c r="F131" s="29">
        <v>0.72234346147389628</v>
      </c>
    </row>
    <row r="132" spans="1:6" x14ac:dyDescent="0.25">
      <c r="A132" s="61" t="s">
        <v>1296</v>
      </c>
      <c r="B132" s="45">
        <v>43219411.264542274</v>
      </c>
      <c r="C132" s="19">
        <v>74288569.767069325</v>
      </c>
      <c r="D132" s="19">
        <v>31069158.502527051</v>
      </c>
      <c r="E132">
        <v>25.863600000000002</v>
      </c>
      <c r="F132" s="29">
        <v>0.71887047031611384</v>
      </c>
    </row>
    <row r="133" spans="1:6" x14ac:dyDescent="0.25">
      <c r="A133" s="61" t="s">
        <v>1144</v>
      </c>
      <c r="B133" s="45">
        <v>20576241.213391189</v>
      </c>
      <c r="C133" s="19">
        <v>34390306.514413498</v>
      </c>
      <c r="D133" s="19">
        <v>13814065.30102231</v>
      </c>
      <c r="E133">
        <v>14.6967</v>
      </c>
      <c r="F133" s="29">
        <v>0.67136000000000007</v>
      </c>
    </row>
    <row r="134" spans="1:6" x14ac:dyDescent="0.25">
      <c r="A134" s="61" t="s">
        <v>1211</v>
      </c>
      <c r="B134" s="45">
        <v>34525109.250494495</v>
      </c>
      <c r="C134" s="19">
        <v>57568550.304768853</v>
      </c>
      <c r="D134" s="19">
        <v>23043441.054274358</v>
      </c>
      <c r="E134">
        <v>6.7332000000000001</v>
      </c>
      <c r="F134" s="29">
        <v>0.66744006187161631</v>
      </c>
    </row>
    <row r="135" spans="1:6" x14ac:dyDescent="0.25">
      <c r="A135" s="61" t="s">
        <v>1844</v>
      </c>
      <c r="B135" s="45">
        <v>36033950.498078026</v>
      </c>
      <c r="C135" s="19">
        <v>59040399.752329782</v>
      </c>
      <c r="D135" s="19">
        <v>23006449.254251756</v>
      </c>
      <c r="E135">
        <v>42.685400000000001</v>
      </c>
      <c r="F135" s="29">
        <v>0.63846591717660461</v>
      </c>
    </row>
    <row r="136" spans="1:6" x14ac:dyDescent="0.25">
      <c r="A136" s="61" t="s">
        <v>2770</v>
      </c>
      <c r="B136" s="45">
        <v>31254194.657830428</v>
      </c>
      <c r="C136" s="19">
        <v>50659855.564660527</v>
      </c>
      <c r="D136" s="19">
        <v>19405660.906830098</v>
      </c>
      <c r="E136">
        <v>38.842799999999997</v>
      </c>
      <c r="F136" s="29">
        <v>0.62089780649549398</v>
      </c>
    </row>
    <row r="137" spans="1:6" x14ac:dyDescent="0.25">
      <c r="A137" s="61" t="s">
        <v>2368</v>
      </c>
      <c r="B137" s="45">
        <v>21473104.892024908</v>
      </c>
      <c r="C137" s="19">
        <v>34384306.270968124</v>
      </c>
      <c r="D137" s="19">
        <v>12911201.378943216</v>
      </c>
      <c r="E137">
        <v>0</v>
      </c>
      <c r="F137" s="29">
        <v>0.60127314814814814</v>
      </c>
    </row>
    <row r="138" spans="1:6" x14ac:dyDescent="0.25">
      <c r="A138" s="61" t="s">
        <v>180</v>
      </c>
      <c r="B138" s="45">
        <v>43599259.410787083</v>
      </c>
      <c r="C138" s="19">
        <v>69767596.378389403</v>
      </c>
      <c r="D138" s="19">
        <v>26168336.96760232</v>
      </c>
      <c r="E138">
        <v>0</v>
      </c>
      <c r="F138" s="29">
        <v>0.60020140986908366</v>
      </c>
    </row>
    <row r="139" spans="1:6" x14ac:dyDescent="0.25">
      <c r="A139" s="61" t="s">
        <v>699</v>
      </c>
      <c r="B139" s="45">
        <v>42259239.561534569</v>
      </c>
      <c r="C139" s="19">
        <v>67028090.366307855</v>
      </c>
      <c r="D139" s="19">
        <v>24768850.804773286</v>
      </c>
      <c r="E139">
        <v>39.986800000000002</v>
      </c>
      <c r="F139" s="29">
        <v>0.58611681283821593</v>
      </c>
    </row>
    <row r="140" spans="1:6" x14ac:dyDescent="0.25">
      <c r="A140" s="61" t="s">
        <v>999</v>
      </c>
      <c r="B140" s="45">
        <v>31570734.779701155</v>
      </c>
      <c r="C140" s="19">
        <v>49789772.672371693</v>
      </c>
      <c r="D140" s="19">
        <v>18219037.892670538</v>
      </c>
      <c r="E140">
        <v>26.089500000000001</v>
      </c>
      <c r="F140" s="29">
        <v>0.57708628005657703</v>
      </c>
    </row>
    <row r="141" spans="1:6" x14ac:dyDescent="0.25">
      <c r="A141" s="61" t="s">
        <v>288</v>
      </c>
      <c r="B141" s="45">
        <v>33512180.860508293</v>
      </c>
      <c r="C141" s="19">
        <v>51963490.842743933</v>
      </c>
      <c r="D141" s="19">
        <v>18451309.98223564</v>
      </c>
      <c r="E141">
        <v>12.2507</v>
      </c>
      <c r="F141" s="29">
        <v>0.55058517555266562</v>
      </c>
    </row>
    <row r="142" spans="1:6" x14ac:dyDescent="0.25">
      <c r="A142" s="61" t="s">
        <v>807</v>
      </c>
      <c r="B142" s="45">
        <v>19172913.339764357</v>
      </c>
      <c r="C142" s="19">
        <v>29696593.427093115</v>
      </c>
      <c r="D142" s="19">
        <v>10523680.087328758</v>
      </c>
      <c r="E142">
        <v>0</v>
      </c>
      <c r="F142" s="29">
        <v>0.54888268156424569</v>
      </c>
    </row>
    <row r="143" spans="1:6" x14ac:dyDescent="0.25">
      <c r="A143" s="61" t="s">
        <v>520</v>
      </c>
      <c r="B143" s="45">
        <v>27065313.711741116</v>
      </c>
      <c r="C143" s="19">
        <v>41670025.493106842</v>
      </c>
      <c r="D143" s="19">
        <v>14604711.781365726</v>
      </c>
      <c r="E143">
        <v>50.043300000000002</v>
      </c>
      <c r="F143" s="29">
        <v>0.53960992053936929</v>
      </c>
    </row>
    <row r="144" spans="1:6" x14ac:dyDescent="0.25">
      <c r="A144" s="61" t="s">
        <v>237</v>
      </c>
      <c r="B144" s="45">
        <v>42860665.793088846</v>
      </c>
      <c r="C144" s="19">
        <v>65559525.280513525</v>
      </c>
      <c r="D144" s="19">
        <v>22698859.487424679</v>
      </c>
      <c r="E144">
        <v>12.247</v>
      </c>
      <c r="F144" s="29">
        <v>0.52959652089876785</v>
      </c>
    </row>
    <row r="145" spans="1:6" x14ac:dyDescent="0.25">
      <c r="A145" s="61" t="s">
        <v>1347</v>
      </c>
      <c r="B145" s="45">
        <v>36561517.367862478</v>
      </c>
      <c r="C145" s="19">
        <v>54264119.527151316</v>
      </c>
      <c r="D145" s="19">
        <v>17702602.159288839</v>
      </c>
      <c r="E145">
        <v>57.4298</v>
      </c>
      <c r="F145" s="29">
        <v>0.48418674698795189</v>
      </c>
    </row>
    <row r="146" spans="1:6" x14ac:dyDescent="0.25">
      <c r="A146" s="61" t="s">
        <v>1575</v>
      </c>
      <c r="B146" s="45">
        <v>39906291.322295912</v>
      </c>
      <c r="C146" s="19">
        <v>57116736.548921801</v>
      </c>
      <c r="D146" s="19">
        <v>17210445.22662589</v>
      </c>
      <c r="E146">
        <v>8.2499000000000002</v>
      </c>
      <c r="F146" s="29">
        <v>0.43127147766322999</v>
      </c>
    </row>
    <row r="147" spans="1:6" x14ac:dyDescent="0.25">
      <c r="A147" s="61" t="s">
        <v>1642</v>
      </c>
      <c r="B147" s="45">
        <v>27888318.028605007</v>
      </c>
      <c r="C147" s="19">
        <v>39605172.406119369</v>
      </c>
      <c r="D147" s="19">
        <v>11716854.377514362</v>
      </c>
      <c r="E147">
        <v>14.4284</v>
      </c>
      <c r="F147" s="29">
        <v>0.42013485235991649</v>
      </c>
    </row>
    <row r="148" spans="1:6" x14ac:dyDescent="0.25">
      <c r="A148" s="61" t="s">
        <v>1344</v>
      </c>
      <c r="B148" s="45">
        <v>28320922.861828338</v>
      </c>
      <c r="C148" s="19">
        <v>39757234.410107307</v>
      </c>
      <c r="D148" s="19">
        <v>11436311.548278969</v>
      </c>
      <c r="E148">
        <v>18.839500000000001</v>
      </c>
      <c r="F148" s="29">
        <v>0.40381140134713339</v>
      </c>
    </row>
    <row r="149" spans="1:6" x14ac:dyDescent="0.25">
      <c r="A149" s="61" t="s">
        <v>1414</v>
      </c>
      <c r="B149" s="45">
        <v>34398493.201746218</v>
      </c>
      <c r="C149" s="19">
        <v>46728342.713021487</v>
      </c>
      <c r="D149" s="19">
        <v>12329849.511275269</v>
      </c>
      <c r="E149">
        <v>13.491199999999999</v>
      </c>
      <c r="F149" s="29">
        <v>0.35844155844155851</v>
      </c>
    </row>
    <row r="150" spans="1:6" x14ac:dyDescent="0.25">
      <c r="A150" s="61" t="s">
        <v>1040</v>
      </c>
      <c r="B150" s="45">
        <v>41351824.545505315</v>
      </c>
      <c r="C150" s="19">
        <v>55637903.241570607</v>
      </c>
      <c r="D150" s="19">
        <v>14286078.696065292</v>
      </c>
      <c r="E150">
        <v>84.844899999999996</v>
      </c>
      <c r="F150" s="29">
        <v>0.34547638110488404</v>
      </c>
    </row>
    <row r="151" spans="1:6" x14ac:dyDescent="0.25">
      <c r="A151" s="61" t="s">
        <v>1178</v>
      </c>
      <c r="B151" s="45">
        <v>32362085.084377974</v>
      </c>
      <c r="C151" s="19">
        <v>43355574.709644377</v>
      </c>
      <c r="D151" s="19">
        <v>10993489.625266403</v>
      </c>
      <c r="E151">
        <v>59.602600000000002</v>
      </c>
      <c r="F151" s="29">
        <v>0.33970276008492567</v>
      </c>
    </row>
    <row r="152" spans="1:6" x14ac:dyDescent="0.25">
      <c r="A152" s="61" t="s">
        <v>1212</v>
      </c>
      <c r="B152" s="45">
        <v>37764369.830971032</v>
      </c>
      <c r="C152" s="19">
        <v>49668429.470617317</v>
      </c>
      <c r="D152" s="19">
        <v>11904059.639646284</v>
      </c>
      <c r="E152">
        <v>23.614999999999998</v>
      </c>
      <c r="F152" s="29">
        <v>0.31521933751119069</v>
      </c>
    </row>
    <row r="153" spans="1:6" x14ac:dyDescent="0.25">
      <c r="A153" s="61" t="s">
        <v>205</v>
      </c>
      <c r="B153" s="45">
        <v>40170074.757188141</v>
      </c>
      <c r="C153" s="19">
        <v>52474050.427168772</v>
      </c>
      <c r="D153" s="19">
        <v>12303975.66998063</v>
      </c>
      <c r="E153">
        <v>12.3216</v>
      </c>
      <c r="F153" s="29">
        <v>0.30629705681040398</v>
      </c>
    </row>
    <row r="154" spans="1:6" x14ac:dyDescent="0.25">
      <c r="A154" s="61" t="s">
        <v>2706</v>
      </c>
      <c r="B154" s="45">
        <v>17516353.368640922</v>
      </c>
      <c r="C154" s="19">
        <v>22699627.860504441</v>
      </c>
      <c r="D154" s="19">
        <v>5183274.491863519</v>
      </c>
      <c r="E154">
        <v>21.636900000000001</v>
      </c>
      <c r="F154" s="29">
        <v>0.29591059182118362</v>
      </c>
    </row>
    <row r="155" spans="1:6" x14ac:dyDescent="0.25">
      <c r="A155" s="61" t="s">
        <v>1317</v>
      </c>
      <c r="B155" s="45">
        <v>28458090.247972321</v>
      </c>
      <c r="C155" s="19">
        <v>36716958.000996456</v>
      </c>
      <c r="D155" s="19">
        <v>8258867.7530241348</v>
      </c>
      <c r="E155">
        <v>37.3247</v>
      </c>
      <c r="F155" s="29">
        <v>0.29021159470153102</v>
      </c>
    </row>
    <row r="156" spans="1:6" x14ac:dyDescent="0.25">
      <c r="A156" s="61" t="s">
        <v>1716</v>
      </c>
      <c r="B156" s="45">
        <v>32604765.844478868</v>
      </c>
      <c r="C156" s="19">
        <v>41954449.584204324</v>
      </c>
      <c r="D156" s="19">
        <v>9349683.7397254556</v>
      </c>
      <c r="E156">
        <v>22.7683</v>
      </c>
      <c r="F156" s="29">
        <v>0.28675819309123135</v>
      </c>
    </row>
    <row r="157" spans="1:6" x14ac:dyDescent="0.25">
      <c r="A157" s="61" t="s">
        <v>265</v>
      </c>
      <c r="B157" s="45">
        <v>24385274.01323561</v>
      </c>
      <c r="C157" s="19">
        <v>31360249.440505005</v>
      </c>
      <c r="D157" s="19">
        <v>6974975.4272693954</v>
      </c>
      <c r="E157">
        <v>11.593400000000001</v>
      </c>
      <c r="F157" s="29">
        <v>0.28603227601558151</v>
      </c>
    </row>
    <row r="158" spans="1:6" x14ac:dyDescent="0.25">
      <c r="A158" s="61" t="s">
        <v>2107</v>
      </c>
      <c r="B158" s="45">
        <v>28827387.056821506</v>
      </c>
      <c r="C158" s="19">
        <v>36797569.032167301</v>
      </c>
      <c r="D158" s="19">
        <v>7970181.9753457941</v>
      </c>
      <c r="E158">
        <v>23.409800000000001</v>
      </c>
      <c r="F158" s="29">
        <v>0.2764795144157815</v>
      </c>
    </row>
    <row r="159" spans="1:6" x14ac:dyDescent="0.25">
      <c r="A159" s="61" t="s">
        <v>2262</v>
      </c>
      <c r="B159" s="45">
        <v>18571487.108209994</v>
      </c>
      <c r="C159" s="19">
        <v>23675948.959030867</v>
      </c>
      <c r="D159" s="19">
        <v>5104461.8508208729</v>
      </c>
      <c r="E159">
        <v>12.3527</v>
      </c>
      <c r="F159" s="29">
        <v>0.27485477178423245</v>
      </c>
    </row>
    <row r="160" spans="1:6" x14ac:dyDescent="0.25">
      <c r="A160" s="61" t="s">
        <v>2398</v>
      </c>
      <c r="B160" s="45">
        <v>37869883.204927921</v>
      </c>
      <c r="C160" s="19">
        <v>48278135.15703366</v>
      </c>
      <c r="D160" s="19">
        <v>10408251.952105738</v>
      </c>
      <c r="E160">
        <v>0</v>
      </c>
      <c r="F160" s="29">
        <v>0.27484246243334959</v>
      </c>
    </row>
    <row r="161" spans="1:6" x14ac:dyDescent="0.25">
      <c r="A161" s="61" t="s">
        <v>1150</v>
      </c>
      <c r="B161" s="45">
        <v>30431190.34096653</v>
      </c>
      <c r="C161" s="19">
        <v>38562854.769179583</v>
      </c>
      <c r="D161" s="19">
        <v>8131664.4282130525</v>
      </c>
      <c r="E161">
        <v>22.460899999999999</v>
      </c>
      <c r="F161" s="29">
        <v>0.26721479958890038</v>
      </c>
    </row>
    <row r="162" spans="1:6" x14ac:dyDescent="0.25">
      <c r="A162" s="61" t="s">
        <v>2639</v>
      </c>
      <c r="B162" s="45">
        <v>37774921.168366715</v>
      </c>
      <c r="C162" s="19">
        <v>47837889.339207947</v>
      </c>
      <c r="D162" s="19">
        <v>10062968.170841232</v>
      </c>
      <c r="E162">
        <v>11.219900000000001</v>
      </c>
      <c r="F162" s="29">
        <v>0.26639283047050044</v>
      </c>
    </row>
    <row r="163" spans="1:6" x14ac:dyDescent="0.25">
      <c r="A163" s="61" t="s">
        <v>619</v>
      </c>
      <c r="B163" s="45">
        <v>38830054.907935627</v>
      </c>
      <c r="C163" s="19">
        <v>49075882.799543358</v>
      </c>
      <c r="D163" s="19">
        <v>10245827.891607732</v>
      </c>
      <c r="E163">
        <v>83.807900000000004</v>
      </c>
      <c r="F163" s="29">
        <v>0.26386333771353515</v>
      </c>
    </row>
    <row r="164" spans="1:6" x14ac:dyDescent="0.25">
      <c r="A164" s="61" t="s">
        <v>1920</v>
      </c>
      <c r="B164" s="45">
        <v>28563603.621929228</v>
      </c>
      <c r="C164" s="19">
        <v>35869968.383013353</v>
      </c>
      <c r="D164" s="19">
        <v>7306364.7610841244</v>
      </c>
      <c r="E164">
        <v>0</v>
      </c>
      <c r="F164" s="29">
        <v>0.25579282144479787</v>
      </c>
    </row>
    <row r="165" spans="1:6" x14ac:dyDescent="0.25">
      <c r="A165" s="61" t="s">
        <v>1117</v>
      </c>
      <c r="B165" s="45">
        <v>41151349.13498722</v>
      </c>
      <c r="C165" s="19">
        <v>51197966.986922652</v>
      </c>
      <c r="D165" s="19">
        <v>10046617.851935431</v>
      </c>
      <c r="E165">
        <v>23.307200000000002</v>
      </c>
      <c r="F165" s="29">
        <v>0.2441382375819536</v>
      </c>
    </row>
    <row r="166" spans="1:6" x14ac:dyDescent="0.25">
      <c r="A166" s="61" t="s">
        <v>261</v>
      </c>
      <c r="B166" s="45">
        <v>42976730.504441418</v>
      </c>
      <c r="C166" s="19">
        <v>53380071.669706315</v>
      </c>
      <c r="D166" s="19">
        <v>10403341.165264897</v>
      </c>
      <c r="E166">
        <v>13.474500000000001</v>
      </c>
      <c r="F166" s="29">
        <v>0.2420691626178908</v>
      </c>
    </row>
    <row r="167" spans="1:6" x14ac:dyDescent="0.25">
      <c r="A167" s="61" t="s">
        <v>973</v>
      </c>
      <c r="B167" s="45">
        <v>41742224.0291458</v>
      </c>
      <c r="C167" s="19">
        <v>49219731.911078379</v>
      </c>
      <c r="D167" s="19">
        <v>7477507.881932579</v>
      </c>
      <c r="E167">
        <v>33.075699999999998</v>
      </c>
      <c r="F167" s="29">
        <v>0.17913534929790842</v>
      </c>
    </row>
    <row r="168" spans="1:6" x14ac:dyDescent="0.25">
      <c r="A168" s="61" t="s">
        <v>2373</v>
      </c>
      <c r="B168" s="45">
        <v>20882229.997866213</v>
      </c>
      <c r="C168" s="19">
        <v>24575155.118314873</v>
      </c>
      <c r="D168" s="19">
        <v>3692925.1204486601</v>
      </c>
      <c r="E168">
        <v>33.940300000000001</v>
      </c>
      <c r="F168" s="29">
        <v>0.17684534270650262</v>
      </c>
    </row>
    <row r="169" spans="1:6" x14ac:dyDescent="0.25">
      <c r="A169" s="61" t="s">
        <v>1559</v>
      </c>
      <c r="B169" s="45">
        <v>19183464.677160047</v>
      </c>
      <c r="C169" s="19">
        <v>21769766.763780583</v>
      </c>
      <c r="D169" s="19">
        <v>2586302.0866205357</v>
      </c>
      <c r="E169">
        <v>30.531300000000002</v>
      </c>
      <c r="F169" s="29">
        <v>0.1348193420816107</v>
      </c>
    </row>
    <row r="170" spans="1:6" x14ac:dyDescent="0.25">
      <c r="A170" s="61" t="s">
        <v>1711</v>
      </c>
      <c r="B170" s="45">
        <v>37553343.083057247</v>
      </c>
      <c r="C170" s="19">
        <v>41702909.777673259</v>
      </c>
      <c r="D170" s="19">
        <v>4149566.6946160123</v>
      </c>
      <c r="E170">
        <v>45.2121</v>
      </c>
      <c r="F170" s="29">
        <v>0.11049793051548988</v>
      </c>
    </row>
    <row r="171" spans="1:6" x14ac:dyDescent="0.25">
      <c r="A171" s="61" t="s">
        <v>2517</v>
      </c>
      <c r="B171" s="45">
        <v>42997833.179232799</v>
      </c>
      <c r="C171" s="19">
        <v>45607200.364252195</v>
      </c>
      <c r="D171" s="19">
        <v>2609367.1850193962</v>
      </c>
      <c r="E171">
        <v>0</v>
      </c>
      <c r="F171" s="29">
        <v>6.0686015831134366E-2</v>
      </c>
    </row>
    <row r="172" spans="1:6" x14ac:dyDescent="0.25">
      <c r="A172" s="61" t="s">
        <v>75</v>
      </c>
      <c r="B172" s="45">
        <v>32731381.89322716</v>
      </c>
      <c r="C172" s="19">
        <v>34354737.627262652</v>
      </c>
      <c r="D172" s="19">
        <v>1623355.7340354919</v>
      </c>
      <c r="E172">
        <v>23.476099999999999</v>
      </c>
      <c r="F172" s="29">
        <v>4.9596309111880177E-2</v>
      </c>
    </row>
    <row r="173" spans="1:6" x14ac:dyDescent="0.25">
      <c r="A173" s="61" t="s">
        <v>2887</v>
      </c>
      <c r="B173" s="45">
        <v>38112563.96502877</v>
      </c>
      <c r="C173" s="19">
        <v>39918757.138404466</v>
      </c>
      <c r="D173" s="19">
        <v>1806193.1733756959</v>
      </c>
      <c r="E173">
        <v>27.250599999999999</v>
      </c>
      <c r="F173" s="29">
        <v>4.7391017173051338E-2</v>
      </c>
    </row>
    <row r="174" spans="1:6" x14ac:dyDescent="0.25">
      <c r="A174" s="61" t="s">
        <v>1907</v>
      </c>
      <c r="B174" s="45">
        <v>17495250.693849541</v>
      </c>
      <c r="C174" s="19">
        <v>18174270.373591073</v>
      </c>
      <c r="D174" s="19">
        <v>679019.67974153161</v>
      </c>
      <c r="E174">
        <v>26.349</v>
      </c>
      <c r="F174" s="29">
        <v>3.8811657610613212E-2</v>
      </c>
    </row>
    <row r="175" spans="1:6" x14ac:dyDescent="0.25">
      <c r="A175" s="61" t="s">
        <v>2217</v>
      </c>
      <c r="B175" s="45">
        <v>29249440.552649144</v>
      </c>
      <c r="C175" s="19">
        <v>30114920.759066623</v>
      </c>
      <c r="D175" s="19">
        <v>865480.20641747862</v>
      </c>
      <c r="E175">
        <v>14.331799999999999</v>
      </c>
      <c r="F175" s="29">
        <v>2.9589632829373602E-2</v>
      </c>
    </row>
    <row r="176" spans="1:6" x14ac:dyDescent="0.25">
      <c r="A176" s="61" t="s">
        <v>810</v>
      </c>
      <c r="B176" s="45">
        <v>32446495.783543508</v>
      </c>
      <c r="C176" s="19">
        <v>32774134.743806485</v>
      </c>
      <c r="D176" s="19">
        <v>327638.96026297659</v>
      </c>
      <c r="E176">
        <v>0</v>
      </c>
      <c r="F176" s="29">
        <v>1.0097822656989398E-2</v>
      </c>
    </row>
    <row r="177" spans="1:6" x14ac:dyDescent="0.25">
      <c r="A177" s="61" t="s">
        <v>2875</v>
      </c>
      <c r="B177" s="45">
        <v>19900955.620067</v>
      </c>
      <c r="C177" s="19">
        <v>20012701.670001019</v>
      </c>
      <c r="D177" s="19">
        <v>111746.0499340184</v>
      </c>
      <c r="E177">
        <v>22.150200000000002</v>
      </c>
      <c r="F177" s="29">
        <v>5.6151097498725131E-3</v>
      </c>
    </row>
    <row r="178" spans="1:6" x14ac:dyDescent="0.25">
      <c r="A178" s="61" t="s">
        <v>508</v>
      </c>
      <c r="B178" s="45">
        <v>42723498.406944886</v>
      </c>
      <c r="C178" s="19">
        <v>41359218.625882775</v>
      </c>
      <c r="D178" s="19">
        <v>-1364279.7810621113</v>
      </c>
      <c r="E178">
        <v>0</v>
      </c>
      <c r="F178" s="29">
        <v>-3.1932773109243827E-2</v>
      </c>
    </row>
    <row r="179" spans="1:6" x14ac:dyDescent="0.25">
      <c r="A179" s="61" t="s">
        <v>166</v>
      </c>
      <c r="B179" s="45">
        <v>26421682.130603965</v>
      </c>
      <c r="C179" s="19">
        <v>24663585.410886973</v>
      </c>
      <c r="D179" s="19">
        <v>-1758096.7197169922</v>
      </c>
      <c r="E179">
        <v>7.5823</v>
      </c>
      <c r="F179" s="29">
        <v>-6.6539923954372554E-2</v>
      </c>
    </row>
    <row r="180" spans="1:6" x14ac:dyDescent="0.25">
      <c r="A180" s="61" t="s">
        <v>1972</v>
      </c>
      <c r="B180" s="45">
        <v>30684422.438463118</v>
      </c>
      <c r="C180" s="19">
        <v>28512765.249590218</v>
      </c>
      <c r="D180" s="19">
        <v>-2171657.1888728999</v>
      </c>
      <c r="E180">
        <v>9.6060999999999996</v>
      </c>
      <c r="F180" s="29">
        <v>-7.0773930753564182E-2</v>
      </c>
    </row>
    <row r="181" spans="1:6" x14ac:dyDescent="0.25">
      <c r="A181" s="61" t="s">
        <v>1617</v>
      </c>
      <c r="B181" s="45">
        <v>32288225.722608138</v>
      </c>
      <c r="C181" s="19">
        <v>29734272.309410296</v>
      </c>
      <c r="D181" s="19">
        <v>-2553953.4131978415</v>
      </c>
      <c r="E181">
        <v>13.2599</v>
      </c>
      <c r="F181" s="29">
        <v>-7.9098598824820829E-2</v>
      </c>
    </row>
    <row r="182" spans="1:6" x14ac:dyDescent="0.25">
      <c r="A182" s="61" t="s">
        <v>1757</v>
      </c>
      <c r="B182" s="45">
        <v>41520645.943836331</v>
      </c>
      <c r="C182" s="19">
        <v>37907979.473427817</v>
      </c>
      <c r="D182" s="19">
        <v>-3612666.4704085141</v>
      </c>
      <c r="E182">
        <v>229.76689999999999</v>
      </c>
      <c r="F182" s="29">
        <v>-8.7008917811520897E-2</v>
      </c>
    </row>
    <row r="183" spans="1:6" x14ac:dyDescent="0.25">
      <c r="A183" s="61" t="s">
        <v>2920</v>
      </c>
      <c r="B183" s="45">
        <v>20175290.392354947</v>
      </c>
      <c r="C183" s="19">
        <v>18232538.081900556</v>
      </c>
      <c r="D183" s="19">
        <v>-1942752.3104543909</v>
      </c>
      <c r="E183">
        <v>23.6797</v>
      </c>
      <c r="F183" s="29">
        <v>-9.6293647956143466E-2</v>
      </c>
    </row>
    <row r="184" spans="1:6" x14ac:dyDescent="0.25">
      <c r="A184" s="61" t="s">
        <v>1564</v>
      </c>
      <c r="B184" s="45">
        <v>42396406.947678521</v>
      </c>
      <c r="C184" s="19">
        <v>38253651.821051791</v>
      </c>
      <c r="D184" s="19">
        <v>-4142755.12662673</v>
      </c>
      <c r="E184">
        <v>10.8873</v>
      </c>
      <c r="F184" s="29">
        <v>-9.7714769360981724E-2</v>
      </c>
    </row>
    <row r="185" spans="1:6" x14ac:dyDescent="0.25">
      <c r="A185" s="61" t="s">
        <v>1612</v>
      </c>
      <c r="B185" s="45">
        <v>30747730.462837256</v>
      </c>
      <c r="C185" s="19">
        <v>27605604.374306656</v>
      </c>
      <c r="D185" s="19">
        <v>-3142126.0885306001</v>
      </c>
      <c r="E185">
        <v>35.938800000000001</v>
      </c>
      <c r="F185" s="29">
        <v>-0.10219050450986226</v>
      </c>
    </row>
    <row r="186" spans="1:6" x14ac:dyDescent="0.25">
      <c r="A186" s="61" t="s">
        <v>1522</v>
      </c>
      <c r="B186" s="45">
        <v>29766456.085038003</v>
      </c>
      <c r="C186" s="19">
        <v>25212433.602662068</v>
      </c>
      <c r="D186" s="19">
        <v>-4554022.4823759347</v>
      </c>
      <c r="E186">
        <v>17.039200000000001</v>
      </c>
      <c r="F186" s="29">
        <v>-0.15299175922608393</v>
      </c>
    </row>
    <row r="187" spans="1:6" x14ac:dyDescent="0.25">
      <c r="A187" s="61" t="s">
        <v>2476</v>
      </c>
      <c r="B187" s="45">
        <v>40402204.1798933</v>
      </c>
      <c r="C187" s="19">
        <v>34142092.041221231</v>
      </c>
      <c r="D187" s="19">
        <v>-6260112.1386720687</v>
      </c>
      <c r="E187">
        <v>298.2389</v>
      </c>
      <c r="F187" s="29">
        <v>-0.15494481713914751</v>
      </c>
    </row>
    <row r="188" spans="1:6" x14ac:dyDescent="0.25">
      <c r="A188" s="61" t="s">
        <v>51</v>
      </c>
      <c r="B188" s="45">
        <v>39220454.391576126</v>
      </c>
      <c r="C188" s="19">
        <v>32900985.149317712</v>
      </c>
      <c r="D188" s="19">
        <v>-6319469.2422584146</v>
      </c>
      <c r="E188">
        <v>0</v>
      </c>
      <c r="F188" s="29">
        <v>-0.16112687474665585</v>
      </c>
    </row>
    <row r="189" spans="1:6" x14ac:dyDescent="0.25">
      <c r="A189" s="61" t="s">
        <v>1912</v>
      </c>
      <c r="B189" s="45">
        <v>19077951.303203143</v>
      </c>
      <c r="C189" s="19">
        <v>15725046.301534094</v>
      </c>
      <c r="D189" s="19">
        <v>-3352905.0016690493</v>
      </c>
      <c r="E189">
        <v>12.319800000000001</v>
      </c>
      <c r="F189" s="29">
        <v>-0.17574764440802951</v>
      </c>
    </row>
    <row r="190" spans="1:6" x14ac:dyDescent="0.25">
      <c r="A190" s="61" t="s">
        <v>156</v>
      </c>
      <c r="B190" s="45">
        <v>29692596.723268166</v>
      </c>
      <c r="C190" s="19">
        <v>24029008.829755902</v>
      </c>
      <c r="D190" s="19">
        <v>-5663587.8935122639</v>
      </c>
      <c r="E190">
        <v>38.0105</v>
      </c>
      <c r="F190" s="29">
        <v>-0.19074074074074082</v>
      </c>
    </row>
    <row r="191" spans="1:6" x14ac:dyDescent="0.25">
      <c r="A191" s="61" t="s">
        <v>2186</v>
      </c>
      <c r="B191" s="45">
        <v>42691844.394757815</v>
      </c>
      <c r="C191" s="19">
        <v>33879239.709798262</v>
      </c>
      <c r="D191" s="19">
        <v>-8812604.6849595532</v>
      </c>
      <c r="E191">
        <v>124.93219999999999</v>
      </c>
      <c r="F191" s="29">
        <v>-0.20642361111111104</v>
      </c>
    </row>
    <row r="192" spans="1:6" x14ac:dyDescent="0.25">
      <c r="A192" s="61" t="s">
        <v>1770</v>
      </c>
      <c r="B192" s="45">
        <v>34387941.864350535</v>
      </c>
      <c r="C192" s="19">
        <v>27015083.647168938</v>
      </c>
      <c r="D192" s="19">
        <v>-7372858.2171815969</v>
      </c>
      <c r="E192">
        <v>0</v>
      </c>
      <c r="F192" s="29">
        <v>-0.21440242763772172</v>
      </c>
    </row>
    <row r="193" spans="1:6" x14ac:dyDescent="0.25">
      <c r="A193" s="61" t="s">
        <v>689</v>
      </c>
      <c r="B193" s="45">
        <v>37985947.916280501</v>
      </c>
      <c r="C193" s="19">
        <v>29655416.492290407</v>
      </c>
      <c r="D193" s="19">
        <v>-8330531.4239900932</v>
      </c>
      <c r="E193">
        <v>49.347000000000001</v>
      </c>
      <c r="F193" s="29">
        <v>-0.21930560854635639</v>
      </c>
    </row>
    <row r="194" spans="1:6" x14ac:dyDescent="0.25">
      <c r="A194" s="61" t="s">
        <v>276</v>
      </c>
      <c r="B194" s="45">
        <v>17938406.864468552</v>
      </c>
      <c r="C194" s="19">
        <v>13750072.954031551</v>
      </c>
      <c r="D194" s="19">
        <v>-4188333.9104370009</v>
      </c>
      <c r="E194">
        <v>10.5565</v>
      </c>
      <c r="F194" s="29">
        <v>-0.23348416289592758</v>
      </c>
    </row>
    <row r="195" spans="1:6" x14ac:dyDescent="0.25">
      <c r="A195" s="61" t="s">
        <v>243</v>
      </c>
      <c r="B195" s="45">
        <v>37089084.23764693</v>
      </c>
      <c r="C195" s="19">
        <v>28338571.585016031</v>
      </c>
      <c r="D195" s="19">
        <v>-8750512.6526308991</v>
      </c>
      <c r="E195">
        <v>18.028700000000001</v>
      </c>
      <c r="F195" s="29">
        <v>-0.23593229200705831</v>
      </c>
    </row>
    <row r="196" spans="1:6" x14ac:dyDescent="0.25">
      <c r="A196" s="61" t="s">
        <v>1242</v>
      </c>
      <c r="B196" s="45">
        <v>30789935.812420022</v>
      </c>
      <c r="C196" s="19">
        <v>23231381.075314034</v>
      </c>
      <c r="D196" s="19">
        <v>-7558554.737105988</v>
      </c>
      <c r="E196">
        <v>9.1354000000000006</v>
      </c>
      <c r="F196" s="29">
        <v>-0.24548783677739996</v>
      </c>
    </row>
    <row r="197" spans="1:6" x14ac:dyDescent="0.25">
      <c r="A197" s="61" t="s">
        <v>1059</v>
      </c>
      <c r="B197" s="45">
        <v>32267123.047816757</v>
      </c>
      <c r="C197" s="19">
        <v>24334756.164774626</v>
      </c>
      <c r="D197" s="19">
        <v>-7932366.8830421306</v>
      </c>
      <c r="E197">
        <v>10.407999999999999</v>
      </c>
      <c r="F197" s="29">
        <v>-0.24583433953151415</v>
      </c>
    </row>
    <row r="198" spans="1:6" x14ac:dyDescent="0.25">
      <c r="A198" s="61" t="s">
        <v>3338</v>
      </c>
      <c r="B198" s="45">
        <v>19373388.750282474</v>
      </c>
      <c r="C198" s="19">
        <v>14285921.240757691</v>
      </c>
      <c r="D198" s="19">
        <v>-5087467.5095247831</v>
      </c>
      <c r="E198">
        <v>5.4162999999999997</v>
      </c>
      <c r="F198" s="29">
        <v>-0.26260080645161293</v>
      </c>
    </row>
    <row r="199" spans="1:6" x14ac:dyDescent="0.25">
      <c r="A199" s="61" t="s">
        <v>784</v>
      </c>
      <c r="B199" s="45">
        <v>17759034.128741808</v>
      </c>
      <c r="C199" s="19">
        <v>12692917.129213</v>
      </c>
      <c r="D199" s="19">
        <v>-5066116.9995288085</v>
      </c>
      <c r="E199">
        <v>0</v>
      </c>
      <c r="F199" s="29">
        <v>-0.28526984985797382</v>
      </c>
    </row>
    <row r="200" spans="1:6" x14ac:dyDescent="0.25">
      <c r="A200" s="61" t="s">
        <v>983</v>
      </c>
      <c r="B200" s="45">
        <v>41721121.354354426</v>
      </c>
      <c r="C200" s="19">
        <v>28845474.755748458</v>
      </c>
      <c r="D200" s="19">
        <v>-12875646.598605968</v>
      </c>
      <c r="E200">
        <v>6.3197999999999999</v>
      </c>
      <c r="F200" s="29">
        <v>-0.30861218923738587</v>
      </c>
    </row>
    <row r="201" spans="1:6" x14ac:dyDescent="0.25">
      <c r="A201" s="61" t="s">
        <v>1646</v>
      </c>
      <c r="B201" s="45">
        <v>21568066.928586125</v>
      </c>
      <c r="C201" s="19">
        <v>14518486.04090324</v>
      </c>
      <c r="D201" s="19">
        <v>-7049580.8876828849</v>
      </c>
      <c r="E201">
        <v>30.834199999999999</v>
      </c>
      <c r="F201" s="29">
        <v>-0.32685269899359559</v>
      </c>
    </row>
    <row r="202" spans="1:6" x14ac:dyDescent="0.25">
      <c r="A202" s="61" t="s">
        <v>2858</v>
      </c>
      <c r="B202" s="45">
        <v>25401367.804440584</v>
      </c>
      <c r="C202" s="19">
        <v>16940764.391905174</v>
      </c>
      <c r="D202" s="19">
        <v>-8460603.4125354104</v>
      </c>
      <c r="E202">
        <v>17.531099999999999</v>
      </c>
      <c r="F202" s="29">
        <v>-0.33307668617185077</v>
      </c>
    </row>
    <row r="203" spans="1:6" x14ac:dyDescent="0.25">
      <c r="A203" s="61" t="s">
        <v>486</v>
      </c>
      <c r="B203" s="45">
        <v>22707611.36732075</v>
      </c>
      <c r="C203" s="19">
        <v>14740689.458764078</v>
      </c>
      <c r="D203" s="19">
        <v>-7966921.9085566718</v>
      </c>
      <c r="E203">
        <v>15.9732</v>
      </c>
      <c r="F203" s="29">
        <v>-0.35084808259587019</v>
      </c>
    </row>
    <row r="204" spans="1:6" x14ac:dyDescent="0.25">
      <c r="A204" s="61" t="s">
        <v>2642</v>
      </c>
      <c r="B204" s="45">
        <v>33881477.669357456</v>
      </c>
      <c r="C204" s="19">
        <v>21513881.786752917</v>
      </c>
      <c r="D204" s="19">
        <v>-12367595.882604539</v>
      </c>
      <c r="E204">
        <v>24.9771</v>
      </c>
      <c r="F204" s="29">
        <v>-0.36502528028138048</v>
      </c>
    </row>
    <row r="205" spans="1:6" x14ac:dyDescent="0.25">
      <c r="A205" s="61" t="s">
        <v>1684</v>
      </c>
      <c r="B205" s="45">
        <v>22918638.115234569</v>
      </c>
      <c r="C205" s="19">
        <v>14481326.13030309</v>
      </c>
      <c r="D205" s="19">
        <v>-8437311.9849314783</v>
      </c>
      <c r="E205">
        <v>0</v>
      </c>
      <c r="F205" s="29">
        <v>-0.36814194379739318</v>
      </c>
    </row>
    <row r="206" spans="1:6" x14ac:dyDescent="0.25">
      <c r="A206" s="61" t="s">
        <v>1311</v>
      </c>
      <c r="B206" s="45">
        <v>40697641.626972593</v>
      </c>
      <c r="C206" s="19">
        <v>25342006.519389916</v>
      </c>
      <c r="D206" s="19">
        <v>-15355635.107582677</v>
      </c>
      <c r="E206">
        <v>0</v>
      </c>
      <c r="F206" s="29">
        <v>-0.37731019522776582</v>
      </c>
    </row>
    <row r="207" spans="1:6" x14ac:dyDescent="0.25">
      <c r="A207" s="61" t="s">
        <v>1113</v>
      </c>
      <c r="B207" s="45">
        <v>30515601.040132061</v>
      </c>
      <c r="C207" s="19">
        <v>17829192.525167447</v>
      </c>
      <c r="D207" s="19">
        <v>-12686408.514964614</v>
      </c>
      <c r="E207">
        <v>35.512799999999999</v>
      </c>
      <c r="F207" s="29">
        <v>-0.41573516766981927</v>
      </c>
    </row>
    <row r="208" spans="1:6" x14ac:dyDescent="0.25">
      <c r="A208" s="61" t="s">
        <v>446</v>
      </c>
      <c r="B208" s="45">
        <v>41225208.496757045</v>
      </c>
      <c r="C208" s="19">
        <v>24044316.259394225</v>
      </c>
      <c r="D208" s="19">
        <v>-17180892.237362821</v>
      </c>
      <c r="E208">
        <v>0</v>
      </c>
      <c r="F208" s="29">
        <v>-0.41675695196821977</v>
      </c>
    </row>
    <row r="209" spans="1:6" x14ac:dyDescent="0.25">
      <c r="A209" s="61" t="s">
        <v>931</v>
      </c>
      <c r="B209" s="45">
        <v>27033659.699554045</v>
      </c>
      <c r="C209" s="19">
        <v>15001434.802663941</v>
      </c>
      <c r="D209" s="19">
        <v>-12032224.896890104</v>
      </c>
      <c r="E209">
        <v>63.561799999999998</v>
      </c>
      <c r="F209" s="29">
        <v>-0.44508309383981004</v>
      </c>
    </row>
    <row r="210" spans="1:6" x14ac:dyDescent="0.25">
      <c r="A210" s="61" t="s">
        <v>198</v>
      </c>
      <c r="B210" s="45">
        <v>38808952.233144246</v>
      </c>
      <c r="C210" s="19">
        <v>21371037.964145627</v>
      </c>
      <c r="D210" s="19">
        <v>-17437914.268998619</v>
      </c>
      <c r="E210">
        <v>13.419600000000001</v>
      </c>
      <c r="F210" s="29">
        <v>-0.44932710793737973</v>
      </c>
    </row>
    <row r="211" spans="1:6" x14ac:dyDescent="0.25">
      <c r="A211" s="61" t="s">
        <v>1870</v>
      </c>
      <c r="B211" s="45">
        <v>20977192.034427434</v>
      </c>
      <c r="C211" s="19">
        <v>11490474.85965669</v>
      </c>
      <c r="D211" s="19">
        <v>-9486717.1747707445</v>
      </c>
      <c r="E211">
        <v>22.102499999999999</v>
      </c>
      <c r="F211" s="29">
        <v>-0.45223961144090663</v>
      </c>
    </row>
    <row r="212" spans="1:6" x14ac:dyDescent="0.25">
      <c r="A212" s="61" t="s">
        <v>1604</v>
      </c>
      <c r="B212" s="45">
        <v>29386607.938793126</v>
      </c>
      <c r="C212" s="19">
        <v>16010132.393029463</v>
      </c>
      <c r="D212" s="19">
        <v>-13376475.545763664</v>
      </c>
      <c r="E212">
        <v>35.7166</v>
      </c>
      <c r="F212" s="29">
        <v>-0.45518950583287432</v>
      </c>
    </row>
    <row r="213" spans="1:6" x14ac:dyDescent="0.25">
      <c r="A213" s="61" t="s">
        <v>169</v>
      </c>
      <c r="B213" s="45">
        <v>26115693.346128929</v>
      </c>
      <c r="C213" s="19">
        <v>14080273.146346917</v>
      </c>
      <c r="D213" s="19">
        <v>-12035420.199782012</v>
      </c>
      <c r="E213">
        <v>0</v>
      </c>
      <c r="F213" s="29">
        <v>-0.46085011185682329</v>
      </c>
    </row>
    <row r="214" spans="1:6" x14ac:dyDescent="0.25">
      <c r="A214" s="61" t="s">
        <v>250</v>
      </c>
      <c r="B214" s="45">
        <v>30906000.523772627</v>
      </c>
      <c r="C214" s="19">
        <v>16219037.897991451</v>
      </c>
      <c r="D214" s="19">
        <v>-14686962.625781177</v>
      </c>
      <c r="E214">
        <v>11.7689</v>
      </c>
      <c r="F214" s="29">
        <v>-0.47521395123526555</v>
      </c>
    </row>
    <row r="215" spans="1:6" x14ac:dyDescent="0.25">
      <c r="A215" s="61" t="s">
        <v>2665</v>
      </c>
      <c r="B215" s="45">
        <v>40286139.468540713</v>
      </c>
      <c r="C215" s="19">
        <v>20712922.875584275</v>
      </c>
      <c r="D215" s="19">
        <v>-19573216.592956439</v>
      </c>
      <c r="E215">
        <v>28.302499999999998</v>
      </c>
      <c r="F215" s="29">
        <v>-0.48585485854858557</v>
      </c>
    </row>
    <row r="216" spans="1:6" x14ac:dyDescent="0.25">
      <c r="A216" s="61" t="s">
        <v>214</v>
      </c>
      <c r="B216" s="45">
        <v>23847155.806055374</v>
      </c>
      <c r="C216" s="19">
        <v>12134589.099857027</v>
      </c>
      <c r="D216" s="19">
        <v>-11712566.706198348</v>
      </c>
      <c r="E216">
        <v>15.3965</v>
      </c>
      <c r="F216" s="29">
        <v>-0.49115151515151512</v>
      </c>
    </row>
    <row r="217" spans="1:6" x14ac:dyDescent="0.25">
      <c r="A217" s="61" t="s">
        <v>2599</v>
      </c>
      <c r="B217" s="45">
        <v>19721582.88434026</v>
      </c>
      <c r="C217" s="19">
        <v>9824188.652852498</v>
      </c>
      <c r="D217" s="19">
        <v>-9897394.2314877622</v>
      </c>
      <c r="E217">
        <v>41.7714</v>
      </c>
      <c r="F217" s="29">
        <v>-0.50185597624350409</v>
      </c>
    </row>
    <row r="218" spans="1:6" x14ac:dyDescent="0.25">
      <c r="A218" s="61" t="s">
        <v>706</v>
      </c>
      <c r="B218" s="45">
        <v>20111982.367980808</v>
      </c>
      <c r="C218" s="19">
        <v>9922731.3619803376</v>
      </c>
      <c r="D218" s="19">
        <v>-10189251.00600047</v>
      </c>
      <c r="E218">
        <v>18.611799999999999</v>
      </c>
      <c r="F218" s="29">
        <v>-0.50662589194699281</v>
      </c>
    </row>
    <row r="219" spans="1:6" x14ac:dyDescent="0.25">
      <c r="A219" s="61" t="s">
        <v>1201</v>
      </c>
      <c r="B219" s="45">
        <v>40054010.045835555</v>
      </c>
      <c r="C219" s="19">
        <v>19383848.422817715</v>
      </c>
      <c r="D219" s="19">
        <v>-20670161.62301784</v>
      </c>
      <c r="E219">
        <v>13.710800000000001</v>
      </c>
      <c r="F219" s="29">
        <v>-0.51605723370429257</v>
      </c>
    </row>
    <row r="220" spans="1:6" x14ac:dyDescent="0.25">
      <c r="A220" s="61" t="s">
        <v>2220</v>
      </c>
      <c r="B220" s="45">
        <v>36107809.859847844</v>
      </c>
      <c r="C220" s="19">
        <v>17377088.413547218</v>
      </c>
      <c r="D220" s="19">
        <v>-18730721.446300626</v>
      </c>
      <c r="E220">
        <v>54.61</v>
      </c>
      <c r="F220" s="29">
        <v>-0.51874432481515109</v>
      </c>
    </row>
    <row r="221" spans="1:6" x14ac:dyDescent="0.25">
      <c r="A221" s="61" t="s">
        <v>2070</v>
      </c>
      <c r="B221" s="45">
        <v>28574154.959324922</v>
      </c>
      <c r="C221" s="19">
        <v>13449685.791908465</v>
      </c>
      <c r="D221" s="19">
        <v>-15124469.167416457</v>
      </c>
      <c r="E221">
        <v>0</v>
      </c>
      <c r="F221" s="29">
        <v>-0.52930591259640103</v>
      </c>
    </row>
    <row r="222" spans="1:6" x14ac:dyDescent="0.25">
      <c r="A222" s="61" t="s">
        <v>2035</v>
      </c>
      <c r="B222" s="45">
        <v>30779384.475024331</v>
      </c>
      <c r="C222" s="19">
        <v>14168880.916380834</v>
      </c>
      <c r="D222" s="19">
        <v>-16610503.558643498</v>
      </c>
      <c r="E222">
        <v>101.2915</v>
      </c>
      <c r="F222" s="29">
        <v>-0.53966327923555291</v>
      </c>
    </row>
    <row r="223" spans="1:6" x14ac:dyDescent="0.25">
      <c r="A223" s="61" t="s">
        <v>1493</v>
      </c>
      <c r="B223" s="45">
        <v>43525400.049017258</v>
      </c>
      <c r="C223" s="19">
        <v>20013335.042674188</v>
      </c>
      <c r="D223" s="19">
        <v>-23512065.00634307</v>
      </c>
      <c r="E223">
        <v>26.848400000000002</v>
      </c>
      <c r="F223" s="29">
        <v>-0.54019181856718945</v>
      </c>
    </row>
    <row r="224" spans="1:6" x14ac:dyDescent="0.25">
      <c r="A224" s="61" t="s">
        <v>933</v>
      </c>
      <c r="B224" s="45">
        <v>20291355.103707548</v>
      </c>
      <c r="C224" s="19">
        <v>9292072.5958149042</v>
      </c>
      <c r="D224" s="19">
        <v>-10999282.507892644</v>
      </c>
      <c r="E224">
        <v>0</v>
      </c>
      <c r="F224" s="29">
        <v>-0.54206741992716412</v>
      </c>
    </row>
    <row r="225" spans="1:6" x14ac:dyDescent="0.25">
      <c r="A225" s="61" t="s">
        <v>314</v>
      </c>
      <c r="B225" s="45">
        <v>29629288.698894016</v>
      </c>
      <c r="C225" s="19">
        <v>12649538.277693678</v>
      </c>
      <c r="D225" s="19">
        <v>-16979750.421200339</v>
      </c>
      <c r="E225">
        <v>12.737</v>
      </c>
      <c r="F225" s="29">
        <v>-0.57307317073170738</v>
      </c>
    </row>
    <row r="226" spans="1:6" x14ac:dyDescent="0.25">
      <c r="A226" s="61" t="s">
        <v>2886</v>
      </c>
      <c r="B226" s="45">
        <v>31180335.296060592</v>
      </c>
      <c r="C226" s="19">
        <v>12602070.723340033</v>
      </c>
      <c r="D226" s="19">
        <v>-18578264.572720557</v>
      </c>
      <c r="E226">
        <v>26.702999999999999</v>
      </c>
      <c r="F226" s="29">
        <v>-0.5958327386898814</v>
      </c>
    </row>
    <row r="227" spans="1:6" x14ac:dyDescent="0.25">
      <c r="A227" s="61" t="s">
        <v>2606</v>
      </c>
      <c r="B227" s="45">
        <v>37732715.818783961</v>
      </c>
      <c r="C227" s="19">
        <v>15142344.556794725</v>
      </c>
      <c r="D227" s="19">
        <v>-22590371.261989236</v>
      </c>
      <c r="E227">
        <v>25.890799999999999</v>
      </c>
      <c r="F227" s="29">
        <v>-0.59869454853136705</v>
      </c>
    </row>
    <row r="228" spans="1:6" x14ac:dyDescent="0.25">
      <c r="A228" s="61" t="s">
        <v>1640</v>
      </c>
      <c r="B228" s="45">
        <v>34662276.636638448</v>
      </c>
      <c r="C228" s="19">
        <v>13895085.434208864</v>
      </c>
      <c r="D228" s="19">
        <v>-20767191.202429585</v>
      </c>
      <c r="E228">
        <v>83.835899999999995</v>
      </c>
      <c r="F228" s="29">
        <v>-0.59912946342590812</v>
      </c>
    </row>
    <row r="229" spans="1:6" x14ac:dyDescent="0.25">
      <c r="A229" s="61" t="s">
        <v>3873</v>
      </c>
      <c r="B229" s="45">
        <v>21357040.180672303</v>
      </c>
      <c r="C229" s="19">
        <v>7868610.8350173663</v>
      </c>
      <c r="D229" s="19">
        <v>-13488429.345654937</v>
      </c>
      <c r="E229">
        <v>14.9046</v>
      </c>
      <c r="F229" s="29">
        <v>-0.63156828996658898</v>
      </c>
    </row>
    <row r="230" spans="1:6" x14ac:dyDescent="0.25">
      <c r="A230" s="61" t="s">
        <v>2156</v>
      </c>
      <c r="B230" s="45">
        <v>23003048.814400095</v>
      </c>
      <c r="C230" s="19">
        <v>8435404.9238544311</v>
      </c>
      <c r="D230" s="19">
        <v>-14567643.890545664</v>
      </c>
      <c r="E230">
        <v>32.277500000000003</v>
      </c>
      <c r="F230" s="29">
        <v>-0.63329187396351572</v>
      </c>
    </row>
    <row r="231" spans="1:6" x14ac:dyDescent="0.25">
      <c r="A231" s="61" t="s">
        <v>213</v>
      </c>
      <c r="B231" s="45">
        <v>42269790.898930259</v>
      </c>
      <c r="C231" s="19">
        <v>15445640.755863305</v>
      </c>
      <c r="D231" s="19">
        <v>-26824150.143066954</v>
      </c>
      <c r="E231">
        <v>11.595800000000001</v>
      </c>
      <c r="F231" s="29">
        <v>-0.63459386887446856</v>
      </c>
    </row>
    <row r="232" spans="1:6" x14ac:dyDescent="0.25">
      <c r="A232" s="61" t="s">
        <v>204</v>
      </c>
      <c r="B232" s="45">
        <v>43620362.085578457</v>
      </c>
      <c r="C232" s="19">
        <v>15640817.494424405</v>
      </c>
      <c r="D232" s="19">
        <v>-27979544.591154054</v>
      </c>
      <c r="E232">
        <v>0</v>
      </c>
      <c r="F232" s="29">
        <v>-0.64143311181739382</v>
      </c>
    </row>
    <row r="233" spans="1:6" x14ac:dyDescent="0.25">
      <c r="A233" s="61" t="s">
        <v>883</v>
      </c>
      <c r="B233" s="45">
        <v>37954293.904093429</v>
      </c>
      <c r="C233" s="19">
        <v>13587336.391029483</v>
      </c>
      <c r="D233" s="19">
        <v>-24366957.513063945</v>
      </c>
      <c r="E233">
        <v>11.903700000000001</v>
      </c>
      <c r="F233" s="29">
        <v>-0.6420079260237781</v>
      </c>
    </row>
    <row r="234" spans="1:6" x14ac:dyDescent="0.25">
      <c r="A234" s="61" t="s">
        <v>783</v>
      </c>
      <c r="B234" s="45">
        <v>35601345.664854772</v>
      </c>
      <c r="C234" s="19">
        <v>12368752.13292253</v>
      </c>
      <c r="D234" s="19">
        <v>-23232593.531932242</v>
      </c>
      <c r="E234">
        <v>0</v>
      </c>
      <c r="F234" s="29">
        <v>-0.65257627480264557</v>
      </c>
    </row>
    <row r="235" spans="1:6" x14ac:dyDescent="0.25">
      <c r="A235" s="61" t="s">
        <v>2030</v>
      </c>
      <c r="B235" s="45">
        <v>31802864.202406358</v>
      </c>
      <c r="C235" s="19">
        <v>11045979.347366946</v>
      </c>
      <c r="D235" s="19">
        <v>-20756884.85503941</v>
      </c>
      <c r="E235">
        <v>0</v>
      </c>
      <c r="F235" s="29">
        <v>-0.65267344233318592</v>
      </c>
    </row>
    <row r="236" spans="1:6" x14ac:dyDescent="0.25">
      <c r="A236" s="61" t="s">
        <v>2864</v>
      </c>
      <c r="B236" s="45">
        <v>42881768.467880227</v>
      </c>
      <c r="C236" s="19">
        <v>14531773.69839525</v>
      </c>
      <c r="D236" s="19">
        <v>-28349994.769484974</v>
      </c>
      <c r="E236">
        <v>7.1605999999999996</v>
      </c>
      <c r="F236" s="29">
        <v>-0.66111999999999993</v>
      </c>
    </row>
    <row r="237" spans="1:6" x14ac:dyDescent="0.25">
      <c r="A237" s="61" t="s">
        <v>99</v>
      </c>
      <c r="B237" s="45">
        <v>29112273.166505162</v>
      </c>
      <c r="C237" s="19">
        <v>9800731.2627583575</v>
      </c>
      <c r="D237" s="19">
        <v>-19311541.903746806</v>
      </c>
      <c r="E237">
        <v>10.4724</v>
      </c>
      <c r="F237" s="29">
        <v>-0.66334709740102016</v>
      </c>
    </row>
    <row r="238" spans="1:6" x14ac:dyDescent="0.25">
      <c r="A238" s="61" t="s">
        <v>2924</v>
      </c>
      <c r="B238" s="45">
        <v>41794980.716124251</v>
      </c>
      <c r="C238" s="19">
        <v>13593165.418914888</v>
      </c>
      <c r="D238" s="19">
        <v>-28201815.297209363</v>
      </c>
      <c r="E238">
        <v>16.605799999999999</v>
      </c>
      <c r="F238" s="29">
        <v>-0.67476560137110608</v>
      </c>
    </row>
    <row r="239" spans="1:6" x14ac:dyDescent="0.25">
      <c r="A239" s="61" t="s">
        <v>1928</v>
      </c>
      <c r="B239" s="45">
        <v>43398784.000268981</v>
      </c>
      <c r="C239" s="19">
        <v>14050187.771769281</v>
      </c>
      <c r="D239" s="19">
        <v>-29348596.228499699</v>
      </c>
      <c r="E239">
        <v>8.7616999999999994</v>
      </c>
      <c r="F239" s="29">
        <v>-0.67625388371060813</v>
      </c>
    </row>
    <row r="240" spans="1:6" x14ac:dyDescent="0.25">
      <c r="A240" s="61" t="s">
        <v>2343</v>
      </c>
      <c r="B240" s="45">
        <v>30631665.751484659</v>
      </c>
      <c r="C240" s="19">
        <v>9415041.0999854393</v>
      </c>
      <c r="D240" s="19">
        <v>-21216624.651499219</v>
      </c>
      <c r="E240">
        <v>16.203900000000001</v>
      </c>
      <c r="F240" s="29">
        <v>-0.69263698630136983</v>
      </c>
    </row>
    <row r="241" spans="1:6" x14ac:dyDescent="0.25">
      <c r="A241" s="61" t="s">
        <v>70</v>
      </c>
      <c r="B241" s="45">
        <v>35443075.603919439</v>
      </c>
      <c r="C241" s="19">
        <v>10861300.657870544</v>
      </c>
      <c r="D241" s="19">
        <v>-24581774.946048893</v>
      </c>
      <c r="E241">
        <v>5.524</v>
      </c>
      <c r="F241" s="29">
        <v>-0.6935564853556484</v>
      </c>
    </row>
    <row r="242" spans="1:6" x14ac:dyDescent="0.25">
      <c r="A242" s="61" t="s">
        <v>275</v>
      </c>
      <c r="B242" s="45">
        <v>25113316.293538287</v>
      </c>
      <c r="C242" s="19">
        <v>7666602.1601545494</v>
      </c>
      <c r="D242" s="19">
        <v>-17446714.133383736</v>
      </c>
      <c r="E242">
        <v>14.946300000000001</v>
      </c>
      <c r="F242" s="29">
        <v>-0.69471964313501733</v>
      </c>
    </row>
    <row r="243" spans="1:6" x14ac:dyDescent="0.25">
      <c r="A243" s="61" t="s">
        <v>664</v>
      </c>
      <c r="B243" s="45">
        <v>23182421.550126839</v>
      </c>
      <c r="C243" s="19">
        <v>7039446.2780119386</v>
      </c>
      <c r="D243" s="19">
        <v>-16142975.272114901</v>
      </c>
      <c r="E243">
        <v>0</v>
      </c>
      <c r="F243" s="29">
        <v>-0.69634551495016606</v>
      </c>
    </row>
    <row r="244" spans="1:6" x14ac:dyDescent="0.25">
      <c r="A244" s="61" t="s">
        <v>1872</v>
      </c>
      <c r="B244" s="45">
        <v>32889651.954162523</v>
      </c>
      <c r="C244" s="19">
        <v>9958178.8927657716</v>
      </c>
      <c r="D244" s="19">
        <v>-22931473.061396752</v>
      </c>
      <c r="E244">
        <v>0</v>
      </c>
      <c r="F244" s="29">
        <v>-0.69722455845248121</v>
      </c>
    </row>
    <row r="245" spans="1:6" x14ac:dyDescent="0.25">
      <c r="A245" s="61" t="s">
        <v>1406</v>
      </c>
      <c r="B245" s="45">
        <v>34194148.967516169</v>
      </c>
      <c r="C245" s="19">
        <v>10166578.815687181</v>
      </c>
      <c r="D245" s="19">
        <v>-24027570.151828989</v>
      </c>
      <c r="E245">
        <v>0</v>
      </c>
      <c r="F245" s="29">
        <v>-0.70268074735987007</v>
      </c>
    </row>
    <row r="246" spans="1:6" x14ac:dyDescent="0.25">
      <c r="A246" s="61" t="s">
        <v>239</v>
      </c>
      <c r="B246" s="45">
        <v>39653059.224799365</v>
      </c>
      <c r="C246" s="19">
        <v>11658503.420202471</v>
      </c>
      <c r="D246" s="19">
        <v>-27994555.804596893</v>
      </c>
      <c r="E246">
        <v>14.795299999999999</v>
      </c>
      <c r="F246" s="29">
        <v>-0.70598728955290435</v>
      </c>
    </row>
    <row r="247" spans="1:6" x14ac:dyDescent="0.25">
      <c r="A247" s="61" t="s">
        <v>69</v>
      </c>
      <c r="B247" s="45">
        <v>34978816.758509114</v>
      </c>
      <c r="C247" s="19">
        <v>10011128.624048861</v>
      </c>
      <c r="D247" s="19">
        <v>-24967688.134460256</v>
      </c>
      <c r="E247">
        <v>0</v>
      </c>
      <c r="F247" s="29">
        <v>-0.71379453189726594</v>
      </c>
    </row>
    <row r="248" spans="1:6" x14ac:dyDescent="0.25">
      <c r="A248" s="61" t="s">
        <v>197</v>
      </c>
      <c r="B248" s="45">
        <v>39146595.029806301</v>
      </c>
      <c r="C248" s="19">
        <v>10484616.706096219</v>
      </c>
      <c r="D248" s="19">
        <v>-28661978.323710084</v>
      </c>
      <c r="E248">
        <v>14.051299999999999</v>
      </c>
      <c r="F248" s="29">
        <v>-0.73217040465171468</v>
      </c>
    </row>
    <row r="249" spans="1:6" x14ac:dyDescent="0.25">
      <c r="A249" s="61" t="s">
        <v>2868</v>
      </c>
      <c r="B249" s="45">
        <v>33870926.331961766</v>
      </c>
      <c r="C249" s="19">
        <v>9018543.6317227986</v>
      </c>
      <c r="D249" s="19">
        <v>-24852382.700238965</v>
      </c>
      <c r="E249">
        <v>0</v>
      </c>
      <c r="F249" s="29">
        <v>-0.73373791010809786</v>
      </c>
    </row>
    <row r="250" spans="1:6" x14ac:dyDescent="0.25">
      <c r="A250" s="61" t="s">
        <v>1397</v>
      </c>
      <c r="B250" s="45">
        <v>40138420.74500107</v>
      </c>
      <c r="C250" s="19">
        <v>10618523.520827467</v>
      </c>
      <c r="D250" s="19">
        <v>-29519897.224173605</v>
      </c>
      <c r="E250">
        <v>0</v>
      </c>
      <c r="F250" s="29">
        <v>-0.73545238393192336</v>
      </c>
    </row>
    <row r="251" spans="1:6" x14ac:dyDescent="0.25">
      <c r="A251" s="61" t="s">
        <v>2440</v>
      </c>
      <c r="B251" s="45">
        <v>30072444.869513039</v>
      </c>
      <c r="C251" s="19">
        <v>7467193.8089951882</v>
      </c>
      <c r="D251" s="19">
        <v>-22605251.060517851</v>
      </c>
      <c r="E251">
        <v>20.518599999999999</v>
      </c>
      <c r="F251" s="29">
        <v>-0.75169315825846572</v>
      </c>
    </row>
    <row r="252" spans="1:6" x14ac:dyDescent="0.25">
      <c r="A252" s="61" t="s">
        <v>2778</v>
      </c>
      <c r="B252" s="45">
        <v>38587374.147834778</v>
      </c>
      <c r="C252" s="19">
        <v>9160625.7107715886</v>
      </c>
      <c r="D252" s="19">
        <v>-29426748.437063187</v>
      </c>
      <c r="E252">
        <v>65</v>
      </c>
      <c r="F252" s="29">
        <v>-0.7626004382761139</v>
      </c>
    </row>
    <row r="253" spans="1:6" x14ac:dyDescent="0.25">
      <c r="A253" s="61" t="s">
        <v>295</v>
      </c>
      <c r="B253" s="45">
        <v>42565228.346009552</v>
      </c>
      <c r="C253" s="19">
        <v>10050609.29053401</v>
      </c>
      <c r="D253" s="19">
        <v>-32514619.05547554</v>
      </c>
      <c r="E253">
        <v>13.6561</v>
      </c>
      <c r="F253" s="29">
        <v>-0.76387747273823225</v>
      </c>
    </row>
    <row r="254" spans="1:6" x14ac:dyDescent="0.25">
      <c r="A254" s="61" t="s">
        <v>1042</v>
      </c>
      <c r="B254" s="45">
        <v>34461801.226120353</v>
      </c>
      <c r="C254" s="19">
        <v>8043820.9885177994</v>
      </c>
      <c r="D254" s="19">
        <v>-26417980.237602554</v>
      </c>
      <c r="E254">
        <v>0</v>
      </c>
      <c r="F254" s="29">
        <v>-0.76658733141258506</v>
      </c>
    </row>
    <row r="255" spans="1:6" x14ac:dyDescent="0.25">
      <c r="A255" s="61" t="s">
        <v>2757</v>
      </c>
      <c r="B255" s="45">
        <v>25092213.618746907</v>
      </c>
      <c r="C255" s="19">
        <v>5772230.8676881287</v>
      </c>
      <c r="D255" s="19">
        <v>-19319982.75105878</v>
      </c>
      <c r="E255">
        <v>45.191800000000001</v>
      </c>
      <c r="F255" s="29">
        <v>-0.76995928077961306</v>
      </c>
    </row>
    <row r="256" spans="1:6" x14ac:dyDescent="0.25">
      <c r="A256" s="61" t="s">
        <v>1758</v>
      </c>
      <c r="B256" s="45">
        <v>24775673.496876176</v>
      </c>
      <c r="C256" s="19">
        <v>5563574.6182572627</v>
      </c>
      <c r="D256" s="19">
        <v>-19212098.878618915</v>
      </c>
      <c r="E256">
        <v>3.2433999999999998</v>
      </c>
      <c r="F256" s="29">
        <v>-0.77544204322200394</v>
      </c>
    </row>
    <row r="257" spans="1:6" x14ac:dyDescent="0.25">
      <c r="A257" s="61" t="s">
        <v>2426</v>
      </c>
      <c r="B257" s="45">
        <v>32857997.941975448</v>
      </c>
      <c r="C257" s="19">
        <v>7275227.1269486565</v>
      </c>
      <c r="D257" s="19">
        <v>-25582770.81502679</v>
      </c>
      <c r="E257">
        <v>0</v>
      </c>
      <c r="F257" s="29">
        <v>-0.77858580611648598</v>
      </c>
    </row>
    <row r="258" spans="1:6" x14ac:dyDescent="0.25">
      <c r="A258" s="61" t="s">
        <v>2165</v>
      </c>
      <c r="B258" s="45">
        <v>34957714.083717741</v>
      </c>
      <c r="C258" s="19">
        <v>7631076.0366733307</v>
      </c>
      <c r="D258" s="19">
        <v>-27326638.047044411</v>
      </c>
      <c r="E258">
        <v>79.860200000000006</v>
      </c>
      <c r="F258" s="29">
        <v>-0.7817055194627941</v>
      </c>
    </row>
    <row r="259" spans="1:6" x14ac:dyDescent="0.25">
      <c r="A259" s="61" t="s">
        <v>1186</v>
      </c>
      <c r="B259" s="45">
        <v>32235469.035629682</v>
      </c>
      <c r="C259" s="19">
        <v>6999160.8095888244</v>
      </c>
      <c r="D259" s="19">
        <v>-25236308.226040859</v>
      </c>
      <c r="E259">
        <v>13.2189</v>
      </c>
      <c r="F259" s="29">
        <v>-0.78287392679620416</v>
      </c>
    </row>
    <row r="260" spans="1:6" x14ac:dyDescent="0.25">
      <c r="A260" s="61" t="s">
        <v>1188</v>
      </c>
      <c r="B260" s="45">
        <v>23636129.058141552</v>
      </c>
      <c r="C260" s="19">
        <v>5018324.3410183433</v>
      </c>
      <c r="D260" s="19">
        <v>-18617804.71712321</v>
      </c>
      <c r="E260">
        <v>9.1212999999999997</v>
      </c>
      <c r="F260" s="29">
        <v>-0.78768417075935027</v>
      </c>
    </row>
    <row r="261" spans="1:6" x14ac:dyDescent="0.25">
      <c r="A261" s="61" t="s">
        <v>1978</v>
      </c>
      <c r="B261" s="45">
        <v>37046878.888064176</v>
      </c>
      <c r="C261" s="19">
        <v>7619785.7710638009</v>
      </c>
      <c r="D261" s="19">
        <v>-29427093.117000375</v>
      </c>
      <c r="E261">
        <v>21.625499999999999</v>
      </c>
      <c r="F261" s="29">
        <v>-0.79432043940633401</v>
      </c>
    </row>
    <row r="262" spans="1:6" x14ac:dyDescent="0.25">
      <c r="A262" s="61" t="s">
        <v>2169</v>
      </c>
      <c r="B262" s="45">
        <v>19943160.969649762</v>
      </c>
      <c r="C262" s="19">
        <v>3668750.3695580889</v>
      </c>
      <c r="D262" s="19">
        <v>-16274410.600091673</v>
      </c>
      <c r="E262">
        <v>26.3156</v>
      </c>
      <c r="F262" s="29">
        <v>-0.81603967519786214</v>
      </c>
    </row>
    <row r="263" spans="1:6" x14ac:dyDescent="0.25">
      <c r="A263" s="61" t="s">
        <v>273</v>
      </c>
      <c r="B263" s="45">
        <v>51779711.293667354</v>
      </c>
      <c r="C263" s="19">
        <v>9525168.7999710348</v>
      </c>
      <c r="D263" s="19">
        <v>-42254542.493696317</v>
      </c>
      <c r="E263">
        <v>14.525600000000001</v>
      </c>
      <c r="F263" s="29">
        <v>-0.81604438182458616</v>
      </c>
    </row>
    <row r="264" spans="1:6" x14ac:dyDescent="0.25">
      <c r="A264" s="61" t="s">
        <v>164</v>
      </c>
      <c r="B264" s="45">
        <v>19056848.628411762</v>
      </c>
      <c r="C264" s="19">
        <v>3450240.4310175045</v>
      </c>
      <c r="D264" s="19">
        <v>-15606608.197394257</v>
      </c>
      <c r="E264">
        <v>0</v>
      </c>
      <c r="F264" s="29">
        <v>-0.81895010563952542</v>
      </c>
    </row>
    <row r="265" spans="1:6" x14ac:dyDescent="0.25">
      <c r="A265" s="61" t="s">
        <v>2193</v>
      </c>
      <c r="B265" s="45">
        <v>34757238.673199646</v>
      </c>
      <c r="C265" s="19">
        <v>6202002.595502181</v>
      </c>
      <c r="D265" s="19">
        <v>-28555236.077697463</v>
      </c>
      <c r="E265">
        <v>21.3782</v>
      </c>
      <c r="F265" s="29">
        <v>-0.82156227501799861</v>
      </c>
    </row>
    <row r="266" spans="1:6" x14ac:dyDescent="0.25">
      <c r="A266" s="61" t="s">
        <v>2470</v>
      </c>
      <c r="B266" s="45">
        <v>19985366.319232523</v>
      </c>
      <c r="C266" s="19">
        <v>3458605.6390413688</v>
      </c>
      <c r="D266" s="19">
        <v>-16526760.680191156</v>
      </c>
      <c r="E266">
        <v>3.2265999999999999</v>
      </c>
      <c r="F266" s="29">
        <v>-0.82694309507286601</v>
      </c>
    </row>
    <row r="267" spans="1:6" x14ac:dyDescent="0.25">
      <c r="A267" s="61" t="s">
        <v>245</v>
      </c>
      <c r="B267" s="45">
        <v>43282719.288916409</v>
      </c>
      <c r="C267" s="19">
        <v>7163997.7872256665</v>
      </c>
      <c r="D267" s="19">
        <v>-36118721.501690745</v>
      </c>
      <c r="E267">
        <v>0</v>
      </c>
      <c r="F267" s="29">
        <v>-0.83448364832613053</v>
      </c>
    </row>
    <row r="268" spans="1:6" x14ac:dyDescent="0.25">
      <c r="A268" s="61" t="s">
        <v>2094</v>
      </c>
      <c r="B268" s="45">
        <v>34250774.478206575</v>
      </c>
      <c r="C268" s="19">
        <v>5556191.631418217</v>
      </c>
      <c r="D268" s="19">
        <v>-28694582.846788358</v>
      </c>
      <c r="E268">
        <v>29.367599999999999</v>
      </c>
      <c r="F268" s="29">
        <v>-0.83777909504050585</v>
      </c>
    </row>
    <row r="269" spans="1:6" x14ac:dyDescent="0.25">
      <c r="A269" s="61" t="s">
        <v>240</v>
      </c>
      <c r="B269" s="45">
        <v>36540414.693071097</v>
      </c>
      <c r="C269" s="19">
        <v>5902496.5968186203</v>
      </c>
      <c r="D269" s="19">
        <v>-30637918.096252479</v>
      </c>
      <c r="E269">
        <v>31.531500000000001</v>
      </c>
      <c r="F269" s="29">
        <v>-0.83846662260409799</v>
      </c>
    </row>
    <row r="270" spans="1:6" x14ac:dyDescent="0.25">
      <c r="A270" s="61" t="s">
        <v>1334</v>
      </c>
      <c r="B270" s="45">
        <v>38313039.375546858</v>
      </c>
      <c r="C270" s="19">
        <v>5832823.7358653229</v>
      </c>
      <c r="D270" s="19">
        <v>-32480215.639681533</v>
      </c>
      <c r="E270">
        <v>0</v>
      </c>
      <c r="F270" s="29">
        <v>-0.84775878314712616</v>
      </c>
    </row>
    <row r="271" spans="1:6" x14ac:dyDescent="0.25">
      <c r="A271" s="61" t="s">
        <v>170</v>
      </c>
      <c r="B271" s="45">
        <v>30452293.015757915</v>
      </c>
      <c r="C271" s="19">
        <v>4375870.7428771174</v>
      </c>
      <c r="D271" s="19">
        <v>-26076422.272880796</v>
      </c>
      <c r="E271">
        <v>19.072399999999998</v>
      </c>
      <c r="F271" s="29">
        <v>-0.85630406417629146</v>
      </c>
    </row>
    <row r="272" spans="1:6" x14ac:dyDescent="0.25">
      <c r="A272" s="61" t="s">
        <v>299</v>
      </c>
      <c r="B272" s="45">
        <v>20417971.152455833</v>
      </c>
      <c r="C272" s="19">
        <v>2903436.6293821917</v>
      </c>
      <c r="D272" s="19">
        <v>-17514534.52307364</v>
      </c>
      <c r="E272">
        <v>10.4664</v>
      </c>
      <c r="F272" s="29">
        <v>-0.85779994458298692</v>
      </c>
    </row>
    <row r="273" spans="1:6" x14ac:dyDescent="0.25">
      <c r="A273" s="61" t="s">
        <v>2854</v>
      </c>
      <c r="B273" s="45">
        <v>20154187.71756357</v>
      </c>
      <c r="C273" s="19">
        <v>2781642.4945651051</v>
      </c>
      <c r="D273" s="19">
        <v>-17372545.222998463</v>
      </c>
      <c r="E273">
        <v>14.9986</v>
      </c>
      <c r="F273" s="29">
        <v>-0.86198190998583302</v>
      </c>
    </row>
    <row r="274" spans="1:6" x14ac:dyDescent="0.25">
      <c r="A274" s="61" t="s">
        <v>2299</v>
      </c>
      <c r="B274" s="45">
        <v>20808370.636096381</v>
      </c>
      <c r="C274" s="19">
        <v>2759370.8886997378</v>
      </c>
      <c r="D274" s="19">
        <v>-18048999.747396644</v>
      </c>
      <c r="E274">
        <v>15.9091</v>
      </c>
      <c r="F274" s="29">
        <v>-0.86739130434782619</v>
      </c>
    </row>
    <row r="275" spans="1:6" x14ac:dyDescent="0.25">
      <c r="A275" s="61" t="s">
        <v>678</v>
      </c>
      <c r="B275" s="45">
        <v>20818921.973492071</v>
      </c>
      <c r="C275" s="19">
        <v>2744146.1300736484</v>
      </c>
      <c r="D275" s="19">
        <v>-18074775.843418423</v>
      </c>
      <c r="E275">
        <v>1.7702</v>
      </c>
      <c r="F275" s="29">
        <v>-0.86818980667838308</v>
      </c>
    </row>
    <row r="276" spans="1:6" x14ac:dyDescent="0.25">
      <c r="A276" s="61" t="s">
        <v>879</v>
      </c>
      <c r="B276" s="45">
        <v>18814167.86831088</v>
      </c>
      <c r="C276" s="19">
        <v>2180446.2848838563</v>
      </c>
      <c r="D276" s="19">
        <v>-16633721.583427023</v>
      </c>
      <c r="E276">
        <v>0</v>
      </c>
      <c r="F276" s="29">
        <v>-0.88410615339749199</v>
      </c>
    </row>
    <row r="277" spans="1:6" x14ac:dyDescent="0.25">
      <c r="A277" s="61" t="s">
        <v>694</v>
      </c>
      <c r="B277" s="45">
        <v>38956670.956683889</v>
      </c>
      <c r="C277" s="19">
        <v>4315928.7712336779</v>
      </c>
      <c r="D277" s="19">
        <v>-34640742.185450211</v>
      </c>
      <c r="E277">
        <v>13.765499999999999</v>
      </c>
      <c r="F277" s="29">
        <v>-0.88921207420334814</v>
      </c>
    </row>
    <row r="278" spans="1:6" x14ac:dyDescent="0.25">
      <c r="A278" s="61" t="s">
        <v>1477</v>
      </c>
      <c r="B278" s="45">
        <v>33554386.210091051</v>
      </c>
      <c r="C278" s="19">
        <v>3660553.8699666928</v>
      </c>
      <c r="D278" s="19">
        <v>-29893832.340124357</v>
      </c>
      <c r="E278">
        <v>0</v>
      </c>
      <c r="F278" s="29">
        <v>-0.89090684457622926</v>
      </c>
    </row>
    <row r="279" spans="1:6" x14ac:dyDescent="0.25">
      <c r="A279" s="61" t="s">
        <v>2027</v>
      </c>
      <c r="B279" s="45">
        <v>34194148.967516169</v>
      </c>
      <c r="C279" s="19">
        <v>3484931.6110391519</v>
      </c>
      <c r="D279" s="19">
        <v>-30709217.356477018</v>
      </c>
      <c r="E279">
        <v>0</v>
      </c>
      <c r="F279" s="29">
        <v>-0.89808397880146762</v>
      </c>
    </row>
    <row r="280" spans="1:6" x14ac:dyDescent="0.25">
      <c r="A280" s="61" t="s">
        <v>517</v>
      </c>
      <c r="B280" s="45">
        <v>43683670.109952591</v>
      </c>
      <c r="C280" s="19">
        <v>4378792.7079188796</v>
      </c>
      <c r="D280" s="19">
        <v>-39304877.402033709</v>
      </c>
      <c r="E280">
        <v>0</v>
      </c>
      <c r="F280" s="29">
        <v>-0.89976133651551293</v>
      </c>
    </row>
    <row r="281" spans="1:6" x14ac:dyDescent="0.25">
      <c r="A281" s="61" t="s">
        <v>886</v>
      </c>
      <c r="B281" s="45">
        <v>25567023.801552996</v>
      </c>
      <c r="C281" s="19">
        <v>2535693.1846096269</v>
      </c>
      <c r="D281" s="19">
        <v>-23031330.616943371</v>
      </c>
      <c r="E281">
        <v>0</v>
      </c>
      <c r="F281" s="29">
        <v>-0.90082173019858491</v>
      </c>
    </row>
    <row r="282" spans="1:6" x14ac:dyDescent="0.25">
      <c r="A282" s="61" t="s">
        <v>481</v>
      </c>
      <c r="B282" s="45">
        <v>21842401.700874086</v>
      </c>
      <c r="C282" s="19">
        <v>2144665.9764739019</v>
      </c>
      <c r="D282" s="19">
        <v>-19697735.724400185</v>
      </c>
      <c r="E282">
        <v>0</v>
      </c>
      <c r="F282" s="29">
        <v>-0.90181180596142607</v>
      </c>
    </row>
    <row r="283" spans="1:6" x14ac:dyDescent="0.25">
      <c r="A283" s="61" t="s">
        <v>2855</v>
      </c>
      <c r="B283" s="45">
        <v>27909420.703396391</v>
      </c>
      <c r="C283" s="19">
        <v>2682924.155906559</v>
      </c>
      <c r="D283" s="19">
        <v>-25226496.547489833</v>
      </c>
      <c r="E283">
        <v>15.1906</v>
      </c>
      <c r="F283" s="29">
        <v>-0.90387030299127402</v>
      </c>
    </row>
    <row r="284" spans="1:6" x14ac:dyDescent="0.25">
      <c r="A284" s="61" t="s">
        <v>1957</v>
      </c>
      <c r="B284" s="45">
        <v>23266832.24929237</v>
      </c>
      <c r="C284" s="19">
        <v>2046486.6836615573</v>
      </c>
      <c r="D284" s="19">
        <v>-21220345.565630812</v>
      </c>
      <c r="E284">
        <v>0</v>
      </c>
      <c r="F284" s="29">
        <v>-0.91204274558158649</v>
      </c>
    </row>
    <row r="285" spans="1:6" x14ac:dyDescent="0.25">
      <c r="A285" s="61" t="s">
        <v>2083</v>
      </c>
      <c r="B285" s="45">
        <v>40971976.399260499</v>
      </c>
      <c r="C285" s="19">
        <v>3472247.2243845635</v>
      </c>
      <c r="D285" s="19">
        <v>-37499729.174875937</v>
      </c>
      <c r="E285">
        <v>101.0642</v>
      </c>
      <c r="F285" s="29">
        <v>-0.91525311860603265</v>
      </c>
    </row>
    <row r="286" spans="1:6" x14ac:dyDescent="0.25">
      <c r="A286" s="61" t="s">
        <v>2136</v>
      </c>
      <c r="B286" s="45">
        <v>35506383.628293566</v>
      </c>
      <c r="C286" s="19">
        <v>2499340.0335365986</v>
      </c>
      <c r="D286" s="19">
        <v>-33007043.594756968</v>
      </c>
      <c r="E286">
        <v>4.5172999999999996</v>
      </c>
      <c r="F286" s="29">
        <v>-0.92960871319080274</v>
      </c>
    </row>
    <row r="287" spans="1:6" x14ac:dyDescent="0.25">
      <c r="A287" s="61" t="s">
        <v>2092</v>
      </c>
      <c r="B287" s="45">
        <v>43799734.821305171</v>
      </c>
      <c r="C287" s="19">
        <v>3078746.0405058367</v>
      </c>
      <c r="D287" s="19">
        <v>-40720988.780799337</v>
      </c>
      <c r="E287">
        <v>0</v>
      </c>
      <c r="F287" s="29">
        <v>-0.92970856894301879</v>
      </c>
    </row>
    <row r="288" spans="1:6" x14ac:dyDescent="0.25">
      <c r="A288" s="61" t="s">
        <v>1159</v>
      </c>
      <c r="B288" s="45">
        <v>24364171.338444225</v>
      </c>
      <c r="C288" s="19">
        <v>1697413.8198130201</v>
      </c>
      <c r="D288" s="19">
        <v>-22666757.518631205</v>
      </c>
      <c r="E288">
        <v>10.0754</v>
      </c>
      <c r="F288" s="29">
        <v>-0.93033155955792057</v>
      </c>
    </row>
    <row r="289" spans="1:6" x14ac:dyDescent="0.25">
      <c r="A289" s="61" t="s">
        <v>616</v>
      </c>
      <c r="B289" s="45">
        <v>19763788.233923022</v>
      </c>
      <c r="C289" s="19">
        <v>1308780.6303144647</v>
      </c>
      <c r="D289" s="19">
        <v>-18455007.603608556</v>
      </c>
      <c r="E289">
        <v>0</v>
      </c>
      <c r="F289" s="29">
        <v>-0.93377885783718106</v>
      </c>
    </row>
    <row r="290" spans="1:6" x14ac:dyDescent="0.25">
      <c r="A290" s="61" t="s">
        <v>45</v>
      </c>
      <c r="B290" s="45">
        <v>41594505.305606164</v>
      </c>
      <c r="C290" s="19">
        <v>2445913.4504304715</v>
      </c>
      <c r="D290" s="19">
        <v>-39148591.855175689</v>
      </c>
      <c r="E290">
        <v>0</v>
      </c>
      <c r="F290" s="29">
        <v>-0.94119623655913964</v>
      </c>
    </row>
    <row r="291" spans="1:6" x14ac:dyDescent="0.25">
      <c r="A291" s="61" t="s">
        <v>2473</v>
      </c>
      <c r="B291" s="45">
        <v>34377390.526954845</v>
      </c>
      <c r="C291" s="19">
        <v>1719764.1404967112</v>
      </c>
      <c r="D291" s="19">
        <v>-32657626.386458132</v>
      </c>
      <c r="E291">
        <v>6.5823</v>
      </c>
      <c r="F291" s="29">
        <v>-0.94997397667085093</v>
      </c>
    </row>
    <row r="292" spans="1:6" x14ac:dyDescent="0.25">
      <c r="A292" s="61" t="s">
        <v>2711</v>
      </c>
      <c r="B292" s="45">
        <v>41552299.956023395</v>
      </c>
      <c r="C292" s="19">
        <v>1743072.518922003</v>
      </c>
      <c r="D292" s="19">
        <v>-39809227.437101394</v>
      </c>
      <c r="E292">
        <v>144.40110000000001</v>
      </c>
      <c r="F292" s="29">
        <v>-0.95805111821086264</v>
      </c>
    </row>
    <row r="293" spans="1:6" x14ac:dyDescent="0.25">
      <c r="A293" s="61" t="s">
        <v>2127</v>
      </c>
      <c r="B293" s="45">
        <v>17083748.535417605</v>
      </c>
      <c r="C293" s="19">
        <v>567133.96498529054</v>
      </c>
      <c r="D293" s="19">
        <v>-16516614.570432315</v>
      </c>
      <c r="E293">
        <v>0</v>
      </c>
      <c r="F293" s="29">
        <v>-0.96680272108843546</v>
      </c>
    </row>
    <row r="294" spans="1:6" x14ac:dyDescent="0.25">
      <c r="A294" s="61" t="s">
        <v>533</v>
      </c>
      <c r="B294" s="45">
        <v>33670450.921443656</v>
      </c>
      <c r="C294" s="19">
        <v>1111350.6235030417</v>
      </c>
      <c r="D294" s="19">
        <v>-32559100.297940616</v>
      </c>
      <c r="E294">
        <v>0</v>
      </c>
      <c r="F294" s="29">
        <v>-0.96699329551315105</v>
      </c>
    </row>
    <row r="295" spans="1:6" x14ac:dyDescent="0.25">
      <c r="A295" s="61" t="s">
        <v>1100</v>
      </c>
      <c r="B295" s="45">
        <v>32066647.637298629</v>
      </c>
      <c r="C295" s="19">
        <v>925243.19269676064</v>
      </c>
      <c r="D295" s="19">
        <v>-31141404.444601867</v>
      </c>
      <c r="E295">
        <v>0</v>
      </c>
      <c r="F295" s="29">
        <v>-0.97114624505928848</v>
      </c>
    </row>
    <row r="296" spans="1:6" x14ac:dyDescent="0.25">
      <c r="A296" s="61" t="s">
        <v>107</v>
      </c>
      <c r="B296" s="45">
        <v>16672246.376985665</v>
      </c>
      <c r="C296" s="19">
        <v>386755.51304170967</v>
      </c>
      <c r="D296" s="19">
        <v>-16285490.863943955</v>
      </c>
      <c r="E296">
        <v>9.1803000000000008</v>
      </c>
      <c r="F296" s="29">
        <v>-0.97680243535894562</v>
      </c>
    </row>
    <row r="297" spans="1:6" x14ac:dyDescent="0.25">
      <c r="A297" s="61" t="s">
        <v>523</v>
      </c>
      <c r="B297" s="45">
        <v>24638506.11073219</v>
      </c>
      <c r="C297" s="19">
        <v>465929.74508132506</v>
      </c>
      <c r="D297" s="19">
        <v>-24172576.365650866</v>
      </c>
      <c r="E297">
        <v>76.781300000000002</v>
      </c>
      <c r="F297" s="29">
        <v>-0.98108936706684613</v>
      </c>
    </row>
    <row r="298" spans="1:6" x14ac:dyDescent="0.25">
      <c r="A298" s="61" t="s">
        <v>1765</v>
      </c>
      <c r="B298" s="45">
        <v>20861127.323074833</v>
      </c>
      <c r="C298" s="19">
        <v>377646.38632283406</v>
      </c>
      <c r="D298" s="19">
        <v>-20483480.936751999</v>
      </c>
      <c r="E298">
        <v>0</v>
      </c>
      <c r="F298" s="29">
        <v>-0.98189712471074786</v>
      </c>
    </row>
    <row r="299" spans="1:6" x14ac:dyDescent="0.25">
      <c r="A299" s="61" t="s">
        <v>2881</v>
      </c>
      <c r="B299" s="45">
        <v>22686508.692529365</v>
      </c>
      <c r="C299" s="19">
        <v>389398.54792913346</v>
      </c>
      <c r="D299" s="19">
        <v>-22297110.144600231</v>
      </c>
      <c r="E299">
        <v>20.598099999999999</v>
      </c>
      <c r="F299" s="29">
        <v>-0.98283567766170377</v>
      </c>
    </row>
    <row r="300" spans="1:6" x14ac:dyDescent="0.25">
      <c r="A300" s="61" t="s">
        <v>460</v>
      </c>
      <c r="B300" s="45">
        <v>30663319.763671733</v>
      </c>
      <c r="C300" s="19">
        <v>448993.80977932236</v>
      </c>
      <c r="D300" s="19">
        <v>-30214325.95389241</v>
      </c>
      <c r="E300">
        <v>0</v>
      </c>
      <c r="F300" s="29">
        <v>-0.98535729943007455</v>
      </c>
    </row>
    <row r="301" spans="1:6" x14ac:dyDescent="0.25">
      <c r="A301" s="61" t="s">
        <v>1929</v>
      </c>
      <c r="B301" s="45">
        <v>17147056.559791747</v>
      </c>
      <c r="C301" s="19">
        <v>41444.706477098684</v>
      </c>
      <c r="D301" s="19">
        <v>-17105611.853314649</v>
      </c>
      <c r="E301">
        <v>0</v>
      </c>
      <c r="F301" s="29">
        <v>-0.99758298420883018</v>
      </c>
    </row>
    <row r="302" spans="1:6" x14ac:dyDescent="0.25">
      <c r="A302" s="61" t="s">
        <v>2425</v>
      </c>
      <c r="B302" s="45">
        <v>16999337.836252075</v>
      </c>
      <c r="C302" s="19">
        <v>17311.914062379175</v>
      </c>
      <c r="D302" s="19">
        <v>-16982025.922189694</v>
      </c>
      <c r="E302">
        <v>0</v>
      </c>
      <c r="F302" s="29">
        <v>-0.99898161244695882</v>
      </c>
    </row>
    <row r="303" spans="1:6" x14ac:dyDescent="0.25">
      <c r="A303" s="61" t="s">
        <v>2907</v>
      </c>
      <c r="B303" s="45">
        <v>41478440.594253577</v>
      </c>
      <c r="C303" s="19">
        <v>0</v>
      </c>
      <c r="D303" s="19">
        <v>-41478440.594253577</v>
      </c>
      <c r="E303">
        <v>0</v>
      </c>
      <c r="F303" s="29">
        <v>-1</v>
      </c>
    </row>
    <row r="304" spans="1:6" x14ac:dyDescent="0.25">
      <c r="A304" s="61" t="s">
        <v>5784</v>
      </c>
      <c r="B304" s="45">
        <v>9396604443.5515575</v>
      </c>
      <c r="C304" s="19">
        <v>43484455541.125885</v>
      </c>
      <c r="D304" s="19">
        <v>34087851097.574287</v>
      </c>
      <c r="E304">
        <v>24.971939464882958</v>
      </c>
      <c r="F304" s="29">
        <v>3.627677561863019</v>
      </c>
    </row>
    <row r="305" spans="1:6" x14ac:dyDescent="0.25">
      <c r="A305" s="61"/>
      <c r="B305" s="45"/>
      <c r="C305" s="19"/>
      <c r="D305" s="19"/>
    </row>
    <row r="306" spans="1:6" x14ac:dyDescent="0.25">
      <c r="A306" s="100" t="s">
        <v>5800</v>
      </c>
      <c r="B306" s="100"/>
      <c r="C306" s="100"/>
      <c r="D306" s="100"/>
      <c r="E306" s="100"/>
      <c r="F306" s="100"/>
    </row>
    <row r="307" spans="1:6" x14ac:dyDescent="0.25">
      <c r="A307" s="60" t="s">
        <v>5788</v>
      </c>
      <c r="B307" t="s">
        <v>5789</v>
      </c>
      <c r="C307" t="s">
        <v>5785</v>
      </c>
      <c r="D307" t="s">
        <v>5787</v>
      </c>
      <c r="E307" t="s">
        <v>5786</v>
      </c>
      <c r="F307" t="s">
        <v>5790</v>
      </c>
    </row>
    <row r="308" spans="1:6" x14ac:dyDescent="0.25">
      <c r="A308" s="61" t="s">
        <v>2685</v>
      </c>
      <c r="B308" s="45">
        <v>28573764.169050865</v>
      </c>
      <c r="C308" s="19">
        <v>3735975569.7883244</v>
      </c>
      <c r="D308" s="19">
        <v>3707401805.6192737</v>
      </c>
      <c r="E308">
        <v>22.627300000000002</v>
      </c>
      <c r="F308" s="62">
        <v>129.74845679012344</v>
      </c>
    </row>
    <row r="309" spans="1:6" x14ac:dyDescent="0.25">
      <c r="A309" s="61" t="s">
        <v>1465</v>
      </c>
      <c r="B309" s="45">
        <v>29816868.030372892</v>
      </c>
      <c r="C309" s="19">
        <v>2761448573.2674899</v>
      </c>
      <c r="D309" s="19">
        <v>2731631705.2371168</v>
      </c>
      <c r="E309">
        <v>50.493600000000001</v>
      </c>
      <c r="F309" s="62">
        <v>91.613636363636374</v>
      </c>
    </row>
    <row r="310" spans="1:6" x14ac:dyDescent="0.25">
      <c r="A310" s="61" t="s">
        <v>2607</v>
      </c>
      <c r="B310" s="45">
        <v>35181246.120397024</v>
      </c>
      <c r="C310" s="19">
        <v>2006190256.3523557</v>
      </c>
      <c r="D310" s="19">
        <v>1971009010.2319586</v>
      </c>
      <c r="E310">
        <v>79.738600000000005</v>
      </c>
      <c r="F310" s="62">
        <v>56.024422883907661</v>
      </c>
    </row>
    <row r="311" spans="1:6" x14ac:dyDescent="0.25">
      <c r="A311" s="61" t="s">
        <v>992</v>
      </c>
      <c r="B311" s="45">
        <v>27044211.036949731</v>
      </c>
      <c r="C311" s="19">
        <v>1674191461.7015414</v>
      </c>
      <c r="D311" s="19">
        <v>1647147250.6645918</v>
      </c>
      <c r="E311">
        <v>12.9977</v>
      </c>
      <c r="F311" s="62">
        <v>60.905723905723917</v>
      </c>
    </row>
    <row r="312" spans="1:6" x14ac:dyDescent="0.25">
      <c r="A312" s="61" t="s">
        <v>1635</v>
      </c>
      <c r="B312" s="45">
        <v>43377681.325477608</v>
      </c>
      <c r="C312" s="19">
        <v>1578054184.5886488</v>
      </c>
      <c r="D312" s="19">
        <v>1534676503.2631712</v>
      </c>
      <c r="E312">
        <v>17.549299999999999</v>
      </c>
      <c r="F312" s="62">
        <v>35.379403794037941</v>
      </c>
    </row>
    <row r="313" spans="1:6" x14ac:dyDescent="0.25">
      <c r="A313" s="61" t="s">
        <v>884</v>
      </c>
      <c r="B313" s="45">
        <v>41531197.281232022</v>
      </c>
      <c r="C313" s="19">
        <v>1351545671.2737908</v>
      </c>
      <c r="D313" s="19">
        <v>1310014473.9925587</v>
      </c>
      <c r="E313">
        <v>0</v>
      </c>
      <c r="F313" s="62">
        <v>31.542901716068638</v>
      </c>
    </row>
    <row r="314" spans="1:6" x14ac:dyDescent="0.25">
      <c r="A314" s="61" t="s">
        <v>912</v>
      </c>
      <c r="B314" s="45">
        <v>35949539.79891251</v>
      </c>
      <c r="C314" s="19">
        <v>1285256546.2887197</v>
      </c>
      <c r="D314" s="19">
        <v>1249307006.4898071</v>
      </c>
      <c r="E314">
        <v>12.2372</v>
      </c>
      <c r="F314" s="62">
        <v>34.751682872101725</v>
      </c>
    </row>
    <row r="315" spans="1:6" x14ac:dyDescent="0.25">
      <c r="A315" s="61" t="s">
        <v>1956</v>
      </c>
      <c r="B315" s="45">
        <v>39558097.188238174</v>
      </c>
      <c r="C315" s="19">
        <v>1047563621.9983795</v>
      </c>
      <c r="D315" s="19">
        <v>1008005524.8101413</v>
      </c>
      <c r="E315">
        <v>7.3334000000000001</v>
      </c>
      <c r="F315" s="62">
        <v>25.481648422408245</v>
      </c>
    </row>
    <row r="316" spans="1:6" x14ac:dyDescent="0.25">
      <c r="A316" s="61" t="s">
        <v>125</v>
      </c>
      <c r="B316" s="45">
        <v>34060850.40508417</v>
      </c>
      <c r="C316" s="19">
        <v>940272876.64003658</v>
      </c>
      <c r="D316" s="19">
        <v>906212026.23495245</v>
      </c>
      <c r="E316">
        <v>15.129099999999999</v>
      </c>
      <c r="F316" s="62">
        <v>26.605678233438489</v>
      </c>
    </row>
    <row r="317" spans="1:6" x14ac:dyDescent="0.25">
      <c r="A317" s="61" t="s">
        <v>2570</v>
      </c>
      <c r="B317" s="45">
        <v>23783847.781681228</v>
      </c>
      <c r="C317" s="19">
        <v>910577436.94546962</v>
      </c>
      <c r="D317" s="19">
        <v>886793589.16378844</v>
      </c>
      <c r="E317">
        <v>50.619900000000001</v>
      </c>
      <c r="F317" s="62">
        <v>37.285539215686271</v>
      </c>
    </row>
    <row r="318" spans="1:6" x14ac:dyDescent="0.25">
      <c r="A318" s="61" t="s">
        <v>2514</v>
      </c>
      <c r="B318" s="45">
        <v>39318933.54060255</v>
      </c>
      <c r="C318" s="19">
        <v>851020658.08091497</v>
      </c>
      <c r="D318" s="19">
        <v>811701724.54031241</v>
      </c>
      <c r="E318">
        <v>56.618400000000001</v>
      </c>
      <c r="F318" s="62">
        <v>20.644042232277528</v>
      </c>
    </row>
    <row r="319" spans="1:6" x14ac:dyDescent="0.25">
      <c r="A319" s="61" t="s">
        <v>881</v>
      </c>
      <c r="B319" s="45">
        <v>39178249.041993357</v>
      </c>
      <c r="C319" s="19">
        <v>814774065.27374458</v>
      </c>
      <c r="D319" s="19">
        <v>775595816.2317512</v>
      </c>
      <c r="E319">
        <v>11.014900000000001</v>
      </c>
      <c r="F319" s="62">
        <v>19.796592119275822</v>
      </c>
    </row>
    <row r="320" spans="1:6" x14ac:dyDescent="0.25">
      <c r="A320" s="61" t="s">
        <v>18</v>
      </c>
      <c r="B320" s="45">
        <v>24079285.228760574</v>
      </c>
      <c r="C320" s="19">
        <v>696678983.28221488</v>
      </c>
      <c r="D320" s="19">
        <v>672599698.05345428</v>
      </c>
      <c r="E320">
        <v>89.6554</v>
      </c>
      <c r="F320" s="62">
        <v>27.932710280373833</v>
      </c>
    </row>
    <row r="321" spans="1:6" x14ac:dyDescent="0.25">
      <c r="A321" s="61" t="s">
        <v>996</v>
      </c>
      <c r="B321" s="45">
        <v>30526152.377527747</v>
      </c>
      <c r="C321" s="19">
        <v>693373114.34553337</v>
      </c>
      <c r="D321" s="19">
        <v>662846961.96800566</v>
      </c>
      <c r="E321">
        <v>30.939599999999999</v>
      </c>
      <c r="F321" s="62">
        <v>21.714068441064644</v>
      </c>
    </row>
    <row r="322" spans="1:6" x14ac:dyDescent="0.25">
      <c r="A322" s="61" t="s">
        <v>993</v>
      </c>
      <c r="B322" s="45">
        <v>17358083.307705559</v>
      </c>
      <c r="C322" s="19">
        <v>667022472.03966498</v>
      </c>
      <c r="D322" s="19">
        <v>649664388.73195946</v>
      </c>
      <c r="E322">
        <v>29.948599999999999</v>
      </c>
      <c r="F322" s="62">
        <v>37.427196149217814</v>
      </c>
    </row>
    <row r="323" spans="1:6" x14ac:dyDescent="0.25">
      <c r="A323" s="61" t="s">
        <v>1379</v>
      </c>
      <c r="B323" s="45">
        <v>32836895.267184071</v>
      </c>
      <c r="C323" s="19">
        <v>603691325.02440715</v>
      </c>
      <c r="D323" s="19">
        <v>570854429.75722313</v>
      </c>
      <c r="E323">
        <v>14.37</v>
      </c>
      <c r="F323" s="62">
        <v>17.384543365392801</v>
      </c>
    </row>
    <row r="324" spans="1:6" x14ac:dyDescent="0.25">
      <c r="A324" s="61" t="s">
        <v>1412</v>
      </c>
      <c r="B324" s="45">
        <v>18191638.961965129</v>
      </c>
      <c r="C324" s="19">
        <v>585687887.01166153</v>
      </c>
      <c r="D324" s="19">
        <v>567496248.04969645</v>
      </c>
      <c r="E324">
        <v>11.914300000000001</v>
      </c>
      <c r="F324" s="62">
        <v>31.195443645083937</v>
      </c>
    </row>
    <row r="325" spans="1:6" x14ac:dyDescent="0.25">
      <c r="A325" s="61" t="s">
        <v>224</v>
      </c>
      <c r="B325" s="45">
        <v>19816544.920901474</v>
      </c>
      <c r="C325" s="19">
        <v>558752486.22766113</v>
      </c>
      <c r="D325" s="19">
        <v>538935941.30675972</v>
      </c>
      <c r="E325">
        <v>11.837899999999999</v>
      </c>
      <c r="F325" s="62">
        <v>27.196261682242991</v>
      </c>
    </row>
    <row r="326" spans="1:6" x14ac:dyDescent="0.25">
      <c r="A326" s="61" t="s">
        <v>1775</v>
      </c>
      <c r="B326" s="45">
        <v>25377099.728430562</v>
      </c>
      <c r="C326" s="19">
        <v>516568401.99234164</v>
      </c>
      <c r="D326" s="19">
        <v>491191302.26391107</v>
      </c>
      <c r="E326">
        <v>127.4905</v>
      </c>
      <c r="F326" s="62">
        <v>19.355691056910569</v>
      </c>
    </row>
    <row r="327" spans="1:6" x14ac:dyDescent="0.25">
      <c r="A327" s="61" t="s">
        <v>630</v>
      </c>
      <c r="B327" s="45">
        <v>22076485.074948877</v>
      </c>
      <c r="C327" s="19">
        <v>475594307.54934371</v>
      </c>
      <c r="D327" s="19">
        <v>453517822.4743948</v>
      </c>
      <c r="E327">
        <v>14.7676</v>
      </c>
      <c r="F327" s="62">
        <v>20.543026706231451</v>
      </c>
    </row>
    <row r="328" spans="1:6" x14ac:dyDescent="0.25">
      <c r="A328" s="61" t="s">
        <v>2502</v>
      </c>
      <c r="B328" s="45">
        <v>29555429.33712418</v>
      </c>
      <c r="C328" s="19">
        <v>465678483.26539272</v>
      </c>
      <c r="D328" s="19">
        <v>436123053.92826855</v>
      </c>
      <c r="E328">
        <v>35.841200000000001</v>
      </c>
      <c r="F328" s="62">
        <v>14.756106194690267</v>
      </c>
    </row>
    <row r="329" spans="1:6" x14ac:dyDescent="0.25">
      <c r="A329" s="61" t="s">
        <v>2039</v>
      </c>
      <c r="B329" s="45">
        <v>37447829.709100358</v>
      </c>
      <c r="C329" s="19">
        <v>459386397.34938461</v>
      </c>
      <c r="D329" s="19">
        <v>421938567.64028424</v>
      </c>
      <c r="E329">
        <v>107.58499999999999</v>
      </c>
      <c r="F329" s="62">
        <v>11.267370390165684</v>
      </c>
    </row>
    <row r="330" spans="1:6" x14ac:dyDescent="0.25">
      <c r="A330" s="61" t="s">
        <v>918</v>
      </c>
      <c r="B330" s="45">
        <v>34535660.587890178</v>
      </c>
      <c r="C330" s="19">
        <v>424648698.00964195</v>
      </c>
      <c r="D330" s="19">
        <v>390113037.42175174</v>
      </c>
      <c r="E330">
        <v>40.064500000000002</v>
      </c>
      <c r="F330" s="62">
        <v>11.295948326482675</v>
      </c>
    </row>
    <row r="331" spans="1:6" x14ac:dyDescent="0.25">
      <c r="A331" s="61" t="s">
        <v>2640</v>
      </c>
      <c r="B331" s="45">
        <v>19563312.823404901</v>
      </c>
      <c r="C331" s="19">
        <v>423552115.86620086</v>
      </c>
      <c r="D331" s="19">
        <v>403988803.04279596</v>
      </c>
      <c r="E331">
        <v>35.892699999999998</v>
      </c>
      <c r="F331" s="62">
        <v>20.65032679738562</v>
      </c>
    </row>
    <row r="332" spans="1:6" x14ac:dyDescent="0.25">
      <c r="A332" s="61" t="s">
        <v>1092</v>
      </c>
      <c r="B332" s="45">
        <v>39526443.176051103</v>
      </c>
      <c r="C332" s="19">
        <v>418471416.1772756</v>
      </c>
      <c r="D332" s="19">
        <v>378944973.00122452</v>
      </c>
      <c r="E332">
        <v>18.206099999999999</v>
      </c>
      <c r="F332" s="62">
        <v>9.5871255431054223</v>
      </c>
    </row>
    <row r="333" spans="1:6" x14ac:dyDescent="0.25">
      <c r="A333" s="61" t="s">
        <v>2430</v>
      </c>
      <c r="B333" s="45">
        <v>33364462.13696862</v>
      </c>
      <c r="C333" s="19">
        <v>378044357.80518705</v>
      </c>
      <c r="D333" s="19">
        <v>344679895.66821843</v>
      </c>
      <c r="E333">
        <v>170.94829999999999</v>
      </c>
      <c r="F333" s="62">
        <v>10.330749354005167</v>
      </c>
    </row>
    <row r="334" spans="1:6" x14ac:dyDescent="0.25">
      <c r="A334" s="61" t="s">
        <v>1244</v>
      </c>
      <c r="B334" s="45">
        <v>36223874.571200423</v>
      </c>
      <c r="C334" s="19">
        <v>341340356.53631169</v>
      </c>
      <c r="D334" s="19">
        <v>305116481.96511126</v>
      </c>
      <c r="E334">
        <v>17.316299999999998</v>
      </c>
      <c r="F334" s="62">
        <v>8.4230769230769234</v>
      </c>
    </row>
    <row r="335" spans="1:6" x14ac:dyDescent="0.25">
      <c r="A335" s="61" t="s">
        <v>1003</v>
      </c>
      <c r="B335" s="45">
        <v>40381101.505101919</v>
      </c>
      <c r="C335" s="19">
        <v>315616932.0720613</v>
      </c>
      <c r="D335" s="19">
        <v>275235830.56695938</v>
      </c>
      <c r="E335">
        <v>30.351099999999999</v>
      </c>
      <c r="F335" s="62">
        <v>6.8159564823209422</v>
      </c>
    </row>
    <row r="336" spans="1:6" x14ac:dyDescent="0.25">
      <c r="A336" s="61" t="s">
        <v>2592</v>
      </c>
      <c r="B336" s="45">
        <v>40655436.277389824</v>
      </c>
      <c r="C336" s="19">
        <v>314503316.17249173</v>
      </c>
      <c r="D336" s="19">
        <v>273847879.8951019</v>
      </c>
      <c r="E336">
        <v>29.4057</v>
      </c>
      <c r="F336" s="62">
        <v>6.7358244055395877</v>
      </c>
    </row>
    <row r="337" spans="1:6" x14ac:dyDescent="0.25">
      <c r="A337" s="61" t="s">
        <v>2288</v>
      </c>
      <c r="B337" s="45">
        <v>37890985.879719295</v>
      </c>
      <c r="C337" s="19">
        <v>297266754.14568448</v>
      </c>
      <c r="D337" s="19">
        <v>259375768.26596519</v>
      </c>
      <c r="E337">
        <v>29.050699999999999</v>
      </c>
      <c r="F337" s="62">
        <v>6.8453159041394338</v>
      </c>
    </row>
    <row r="338" spans="1:6" x14ac:dyDescent="0.25">
      <c r="A338" s="61" t="s">
        <v>3363</v>
      </c>
      <c r="B338" s="45">
        <v>31032616.572520919</v>
      </c>
      <c r="C338" s="19">
        <v>293213894.30093336</v>
      </c>
      <c r="D338" s="19">
        <v>262181277.72841245</v>
      </c>
      <c r="E338">
        <v>12.007199999999999</v>
      </c>
      <c r="F338" s="62">
        <v>8.4485714285714284</v>
      </c>
    </row>
    <row r="339" spans="1:6" x14ac:dyDescent="0.25">
      <c r="A339" s="61" t="s">
        <v>47</v>
      </c>
      <c r="B339" s="45">
        <v>40359998.830310538</v>
      </c>
      <c r="C339" s="19">
        <v>272155942.7298224</v>
      </c>
      <c r="D339" s="19">
        <v>231795943.89951187</v>
      </c>
      <c r="E339">
        <v>46.081800000000001</v>
      </c>
      <c r="F339" s="62">
        <v>5.7432098765432098</v>
      </c>
    </row>
    <row r="340" spans="1:6" x14ac:dyDescent="0.25">
      <c r="A340" s="61" t="s">
        <v>1479</v>
      </c>
      <c r="B340" s="45">
        <v>30652768.426276043</v>
      </c>
      <c r="C340" s="19">
        <v>262673337.49109596</v>
      </c>
      <c r="D340" s="19">
        <v>232020569.06481993</v>
      </c>
      <c r="E340">
        <v>16.176400000000001</v>
      </c>
      <c r="F340" s="62">
        <v>7.5693185632762683</v>
      </c>
    </row>
    <row r="341" spans="1:6" x14ac:dyDescent="0.25">
      <c r="A341" s="61" t="s">
        <v>1471</v>
      </c>
      <c r="B341" s="45">
        <v>24754570.822084796</v>
      </c>
      <c r="C341" s="19">
        <v>261514018.20853689</v>
      </c>
      <c r="D341" s="19">
        <v>236759447.38645211</v>
      </c>
      <c r="E341">
        <v>35.870899999999999</v>
      </c>
      <c r="F341" s="62">
        <v>9.5642719515551899</v>
      </c>
    </row>
    <row r="342" spans="1:6" x14ac:dyDescent="0.25">
      <c r="A342" s="61" t="s">
        <v>1295</v>
      </c>
      <c r="B342" s="45">
        <v>38650682.172208905</v>
      </c>
      <c r="C342" s="19">
        <v>241003814.69390914</v>
      </c>
      <c r="D342" s="19">
        <v>202353132.52170023</v>
      </c>
      <c r="E342">
        <v>42.180900000000001</v>
      </c>
      <c r="F342" s="62">
        <v>5.2354349561053466</v>
      </c>
    </row>
    <row r="343" spans="1:6" x14ac:dyDescent="0.25">
      <c r="A343" s="61" t="s">
        <v>280</v>
      </c>
      <c r="B343" s="45">
        <v>42913422.480067298</v>
      </c>
      <c r="C343" s="19">
        <v>230475279.65358564</v>
      </c>
      <c r="D343" s="19">
        <v>187561857.17351836</v>
      </c>
      <c r="E343">
        <v>13.067</v>
      </c>
      <c r="F343" s="62">
        <v>4.370703764320786</v>
      </c>
    </row>
    <row r="344" spans="1:6" x14ac:dyDescent="0.25">
      <c r="A344" s="61" t="s">
        <v>1615</v>
      </c>
      <c r="B344" s="45">
        <v>39832431.960526086</v>
      </c>
      <c r="C344" s="19">
        <v>226911157.15921569</v>
      </c>
      <c r="D344" s="19">
        <v>187078725.19868961</v>
      </c>
      <c r="E344">
        <v>27.6174</v>
      </c>
      <c r="F344" s="62">
        <v>4.6966433127679599</v>
      </c>
    </row>
    <row r="345" spans="1:6" x14ac:dyDescent="0.25">
      <c r="A345" s="61" t="s">
        <v>995</v>
      </c>
      <c r="B345" s="45">
        <v>39315416.428137317</v>
      </c>
      <c r="C345" s="19">
        <v>222713590.33186597</v>
      </c>
      <c r="D345" s="19">
        <v>183398173.90372866</v>
      </c>
      <c r="E345">
        <v>18.950700000000001</v>
      </c>
      <c r="F345" s="62">
        <v>4.6647903180410921</v>
      </c>
    </row>
    <row r="346" spans="1:6" x14ac:dyDescent="0.25">
      <c r="A346" s="61" t="s">
        <v>1179</v>
      </c>
      <c r="B346" s="45">
        <v>32351533.746982288</v>
      </c>
      <c r="C346" s="19">
        <v>221725483.80334008</v>
      </c>
      <c r="D346" s="19">
        <v>189373950.0563578</v>
      </c>
      <c r="E346">
        <v>21.509499999999999</v>
      </c>
      <c r="F346" s="62">
        <v>5.8536312849162018</v>
      </c>
    </row>
    <row r="347" spans="1:6" x14ac:dyDescent="0.25">
      <c r="A347" s="61" t="s">
        <v>665</v>
      </c>
      <c r="B347" s="45">
        <v>31475772.743139934</v>
      </c>
      <c r="C347" s="19">
        <v>218238292.86580369</v>
      </c>
      <c r="D347" s="19">
        <v>186762520.12266377</v>
      </c>
      <c r="E347">
        <v>21.138000000000002</v>
      </c>
      <c r="F347" s="62">
        <v>5.9335324869305452</v>
      </c>
    </row>
    <row r="348" spans="1:6" x14ac:dyDescent="0.25">
      <c r="A348" s="61" t="s">
        <v>2884</v>
      </c>
      <c r="B348" s="45">
        <v>24343068.663652848</v>
      </c>
      <c r="C348" s="19">
        <v>214028268.3767778</v>
      </c>
      <c r="D348" s="19">
        <v>189685199.71312496</v>
      </c>
      <c r="E348">
        <v>19.382100000000001</v>
      </c>
      <c r="F348" s="62">
        <v>7.7921646746347948</v>
      </c>
    </row>
    <row r="349" spans="1:6" x14ac:dyDescent="0.25">
      <c r="A349" s="61" t="s">
        <v>1274</v>
      </c>
      <c r="B349" s="45">
        <v>35896783.111934066</v>
      </c>
      <c r="C349" s="19">
        <v>213304522.6156753</v>
      </c>
      <c r="D349" s="19">
        <v>177407739.50374123</v>
      </c>
      <c r="E349">
        <v>10.5707</v>
      </c>
      <c r="F349" s="62">
        <v>4.9421626152556586</v>
      </c>
    </row>
    <row r="350" spans="1:6" x14ac:dyDescent="0.25">
      <c r="A350" s="61" t="s">
        <v>1378</v>
      </c>
      <c r="B350" s="45">
        <v>33301154.11259447</v>
      </c>
      <c r="C350" s="19">
        <v>204913235.13781074</v>
      </c>
      <c r="D350" s="19">
        <v>171612081.02521628</v>
      </c>
      <c r="E350">
        <v>10.7342</v>
      </c>
      <c r="F350" s="62">
        <v>5.1533373421527369</v>
      </c>
    </row>
    <row r="351" spans="1:6" x14ac:dyDescent="0.25">
      <c r="A351" s="61" t="s">
        <v>696</v>
      </c>
      <c r="B351" s="45">
        <v>41488991.931649275</v>
      </c>
      <c r="C351" s="19">
        <v>201766180.37444556</v>
      </c>
      <c r="D351" s="19">
        <v>160277188.44279629</v>
      </c>
      <c r="E351">
        <v>49.017699999999998</v>
      </c>
      <c r="F351" s="62">
        <v>3.8631256384065376</v>
      </c>
    </row>
    <row r="352" spans="1:6" x14ac:dyDescent="0.25">
      <c r="A352" s="61" t="s">
        <v>954</v>
      </c>
      <c r="B352" s="45">
        <v>36508760.680884026</v>
      </c>
      <c r="C352" s="19">
        <v>195452664.2682218</v>
      </c>
      <c r="D352" s="19">
        <v>158943903.58733776</v>
      </c>
      <c r="E352">
        <v>22.6767</v>
      </c>
      <c r="F352" s="62">
        <v>4.3535825545171338</v>
      </c>
    </row>
    <row r="353" spans="1:6" x14ac:dyDescent="0.25">
      <c r="A353" s="61" t="s">
        <v>2509</v>
      </c>
      <c r="B353" s="45">
        <v>39231005.728971802</v>
      </c>
      <c r="C353" s="19">
        <v>187685583.15273204</v>
      </c>
      <c r="D353" s="19">
        <v>148454577.42376024</v>
      </c>
      <c r="E353">
        <v>51.074300000000001</v>
      </c>
      <c r="F353" s="62">
        <v>3.7841134751773047</v>
      </c>
    </row>
    <row r="354" spans="1:6" x14ac:dyDescent="0.25">
      <c r="A354" s="61" t="s">
        <v>2278</v>
      </c>
      <c r="B354" s="45">
        <v>34050299.067688487</v>
      </c>
      <c r="C354" s="19">
        <v>187516435.71079153</v>
      </c>
      <c r="D354" s="19">
        <v>153466136.64310303</v>
      </c>
      <c r="E354">
        <v>17.082899999999999</v>
      </c>
      <c r="F354" s="62">
        <v>4.5070422535211261</v>
      </c>
    </row>
    <row r="355" spans="1:6" x14ac:dyDescent="0.25">
      <c r="A355" s="61" t="s">
        <v>1467</v>
      </c>
      <c r="B355" s="45">
        <v>38418552.749503754</v>
      </c>
      <c r="C355" s="19">
        <v>185382462.55317304</v>
      </c>
      <c r="D355" s="19">
        <v>146963909.80366927</v>
      </c>
      <c r="E355">
        <v>31.489100000000001</v>
      </c>
      <c r="F355" s="62">
        <v>3.8253369605539755</v>
      </c>
    </row>
    <row r="356" spans="1:6" x14ac:dyDescent="0.25">
      <c r="A356" s="61" t="s">
        <v>122</v>
      </c>
      <c r="B356" s="45">
        <v>38408001.412108064</v>
      </c>
      <c r="C356" s="19">
        <v>183701427.8065958</v>
      </c>
      <c r="D356" s="19">
        <v>145293426.39448774</v>
      </c>
      <c r="E356">
        <v>38.42</v>
      </c>
      <c r="F356" s="62">
        <v>3.7828947368421053</v>
      </c>
    </row>
    <row r="357" spans="1:6" x14ac:dyDescent="0.25">
      <c r="A357" s="61" t="s">
        <v>632</v>
      </c>
      <c r="B357" s="45">
        <v>28406251.918137427</v>
      </c>
      <c r="C357" s="19">
        <v>181152301.49856472</v>
      </c>
      <c r="D357" s="19">
        <v>152746049.58042729</v>
      </c>
      <c r="E357">
        <v>45.348300000000002</v>
      </c>
      <c r="F357" s="62">
        <v>5.3771983020012133</v>
      </c>
    </row>
    <row r="358" spans="1:6" x14ac:dyDescent="0.25">
      <c r="A358" s="61" t="s">
        <v>2857</v>
      </c>
      <c r="B358" s="45">
        <v>40307242.143332094</v>
      </c>
      <c r="C358" s="19">
        <v>179859965.59760728</v>
      </c>
      <c r="D358" s="19">
        <v>139552723.45427519</v>
      </c>
      <c r="E358">
        <v>34.778399999999998</v>
      </c>
      <c r="F358" s="62">
        <v>3.4622245540398744</v>
      </c>
    </row>
    <row r="359" spans="1:6" x14ac:dyDescent="0.25">
      <c r="A359" s="61" t="s">
        <v>1299</v>
      </c>
      <c r="B359" s="45">
        <v>43588708.073391385</v>
      </c>
      <c r="C359" s="19">
        <v>176045650.02948278</v>
      </c>
      <c r="D359" s="19">
        <v>132456941.9560914</v>
      </c>
      <c r="E359">
        <v>16.958100000000002</v>
      </c>
      <c r="F359" s="62">
        <v>3.038790269559501</v>
      </c>
    </row>
    <row r="360" spans="1:6" x14ac:dyDescent="0.25">
      <c r="A360" s="61" t="s">
        <v>2925</v>
      </c>
      <c r="B360" s="45">
        <v>37500586.396078803</v>
      </c>
      <c r="C360" s="19">
        <v>175604076.52206811</v>
      </c>
      <c r="D360" s="19">
        <v>138103490.12598932</v>
      </c>
      <c r="E360">
        <v>24.924499999999998</v>
      </c>
      <c r="F360" s="62">
        <v>3.6827021494370529</v>
      </c>
    </row>
    <row r="361" spans="1:6" x14ac:dyDescent="0.25">
      <c r="A361" s="61" t="s">
        <v>2322</v>
      </c>
      <c r="B361" s="45">
        <v>36941365.514107287</v>
      </c>
      <c r="C361" s="19">
        <v>165188964.76896524</v>
      </c>
      <c r="D361" s="19">
        <v>128247599.25485796</v>
      </c>
      <c r="E361">
        <v>18.262599999999999</v>
      </c>
      <c r="F361" s="62">
        <v>3.4716529145594888</v>
      </c>
    </row>
    <row r="362" spans="1:6" x14ac:dyDescent="0.25">
      <c r="A362" s="61" t="s">
        <v>1177</v>
      </c>
      <c r="B362" s="45">
        <v>43778632.146513797</v>
      </c>
      <c r="C362" s="19">
        <v>164889739.89871195</v>
      </c>
      <c r="D362" s="19">
        <v>121111107.75219816</v>
      </c>
      <c r="E362">
        <v>15.4961</v>
      </c>
      <c r="F362" s="62">
        <v>2.766443395190513</v>
      </c>
    </row>
    <row r="363" spans="1:6" x14ac:dyDescent="0.25">
      <c r="A363" s="61" t="s">
        <v>1520</v>
      </c>
      <c r="B363" s="45">
        <v>18666449.144771211</v>
      </c>
      <c r="C363" s="19">
        <v>163614454.45723653</v>
      </c>
      <c r="D363" s="19">
        <v>144948005.31246531</v>
      </c>
      <c r="E363">
        <v>28.212299999999999</v>
      </c>
      <c r="F363" s="62">
        <v>7.7651622002820879</v>
      </c>
    </row>
    <row r="364" spans="1:6" x14ac:dyDescent="0.25">
      <c r="A364" s="61" t="s">
        <v>126</v>
      </c>
      <c r="B364" s="45">
        <v>27687842.618086882</v>
      </c>
      <c r="C364" s="19">
        <v>153327810.89151677</v>
      </c>
      <c r="D364" s="19">
        <v>125639968.2734299</v>
      </c>
      <c r="E364">
        <v>23.258700000000001</v>
      </c>
      <c r="F364" s="62">
        <v>4.5377305125014145</v>
      </c>
    </row>
    <row r="365" spans="1:6" x14ac:dyDescent="0.25">
      <c r="A365" s="61" t="s">
        <v>2705</v>
      </c>
      <c r="B365" s="45">
        <v>26685465.565496244</v>
      </c>
      <c r="C365" s="19">
        <v>152288553.69400313</v>
      </c>
      <c r="D365" s="19">
        <v>125603088.1285069</v>
      </c>
      <c r="E365">
        <v>17.438600000000001</v>
      </c>
      <c r="F365" s="62">
        <v>4.7067977067977074</v>
      </c>
    </row>
    <row r="366" spans="1:6" x14ac:dyDescent="0.25">
      <c r="A366" s="61" t="s">
        <v>2187</v>
      </c>
      <c r="B366" s="45">
        <v>16862170.450108096</v>
      </c>
      <c r="C366" s="19">
        <v>151012869.67679834</v>
      </c>
      <c r="D366" s="19">
        <v>134150699.22669025</v>
      </c>
      <c r="E366">
        <v>40.636200000000002</v>
      </c>
      <c r="F366" s="62">
        <v>7.9557195571955726</v>
      </c>
    </row>
    <row r="367" spans="1:6" x14ac:dyDescent="0.25">
      <c r="A367" s="61" t="s">
        <v>1222</v>
      </c>
      <c r="B367" s="45">
        <v>26442784.80539535</v>
      </c>
      <c r="C367" s="19">
        <v>150503624.18462962</v>
      </c>
      <c r="D367" s="19">
        <v>124060839.37923427</v>
      </c>
      <c r="E367">
        <v>20.584399999999999</v>
      </c>
      <c r="F367" s="62">
        <v>4.6916707257671693</v>
      </c>
    </row>
    <row r="368" spans="1:6" x14ac:dyDescent="0.25">
      <c r="A368" s="61" t="s">
        <v>1370</v>
      </c>
      <c r="B368" s="45">
        <v>35854577.762351304</v>
      </c>
      <c r="C368" s="19">
        <v>143677657.00066993</v>
      </c>
      <c r="D368" s="19">
        <v>107823079.23831862</v>
      </c>
      <c r="E368">
        <v>5.0087000000000002</v>
      </c>
      <c r="F368" s="62">
        <v>3.0072332730560567</v>
      </c>
    </row>
    <row r="369" spans="1:6" x14ac:dyDescent="0.25">
      <c r="A369" s="61" t="s">
        <v>965</v>
      </c>
      <c r="B369" s="45">
        <v>31813415.539802045</v>
      </c>
      <c r="C369" s="19">
        <v>142973232.19063976</v>
      </c>
      <c r="D369" s="19">
        <v>111159816.65083772</v>
      </c>
      <c r="E369">
        <v>12.6579</v>
      </c>
      <c r="F369" s="62">
        <v>3.4941176470588231</v>
      </c>
    </row>
    <row r="370" spans="1:6" x14ac:dyDescent="0.25">
      <c r="A370" s="61" t="s">
        <v>2400</v>
      </c>
      <c r="B370" s="45">
        <v>27012557.02476266</v>
      </c>
      <c r="C370" s="19">
        <v>142613217.30934229</v>
      </c>
      <c r="D370" s="19">
        <v>115600660.28457963</v>
      </c>
      <c r="E370">
        <v>53.988599999999998</v>
      </c>
      <c r="F370" s="62">
        <v>4.2795156407669008</v>
      </c>
    </row>
    <row r="371" spans="1:6" x14ac:dyDescent="0.25">
      <c r="A371" s="61" t="s">
        <v>2885</v>
      </c>
      <c r="B371" s="45">
        <v>38914465.607101135</v>
      </c>
      <c r="C371" s="19">
        <v>139410933.45901224</v>
      </c>
      <c r="D371" s="19">
        <v>100496467.8519111</v>
      </c>
      <c r="E371">
        <v>0</v>
      </c>
      <c r="F371" s="62">
        <v>2.5824964131994257</v>
      </c>
    </row>
    <row r="372" spans="1:6" x14ac:dyDescent="0.25">
      <c r="A372" s="61" t="s">
        <v>964</v>
      </c>
      <c r="B372" s="45">
        <v>23340691.611062206</v>
      </c>
      <c r="C372" s="19">
        <v>137891068.0622741</v>
      </c>
      <c r="D372" s="19">
        <v>114550376.4512119</v>
      </c>
      <c r="E372">
        <v>60.777299999999997</v>
      </c>
      <c r="F372" s="62">
        <v>4.9077541642734062</v>
      </c>
    </row>
    <row r="373" spans="1:6" x14ac:dyDescent="0.25">
      <c r="A373" s="61" t="s">
        <v>292</v>
      </c>
      <c r="B373" s="45">
        <v>33913131.681544527</v>
      </c>
      <c r="C373" s="19">
        <v>137247791.63901639</v>
      </c>
      <c r="D373" s="19">
        <v>103334659.95747186</v>
      </c>
      <c r="E373">
        <v>21.688700000000001</v>
      </c>
      <c r="F373" s="62">
        <v>3.0470397404703977</v>
      </c>
    </row>
    <row r="374" spans="1:6" x14ac:dyDescent="0.25">
      <c r="A374" s="61" t="s">
        <v>929</v>
      </c>
      <c r="B374" s="45">
        <v>40750398.313951038</v>
      </c>
      <c r="C374" s="19">
        <v>135431989.12640515</v>
      </c>
      <c r="D374" s="19">
        <v>94681590.812454104</v>
      </c>
      <c r="E374">
        <v>66.921300000000002</v>
      </c>
      <c r="F374" s="62">
        <v>2.3234519104084326</v>
      </c>
    </row>
    <row r="375" spans="1:6" x14ac:dyDescent="0.25">
      <c r="A375" s="61" t="s">
        <v>676</v>
      </c>
      <c r="B375" s="45">
        <v>40602679.59041138</v>
      </c>
      <c r="C375" s="19">
        <v>129496265.45713781</v>
      </c>
      <c r="D375" s="19">
        <v>88893585.866726428</v>
      </c>
      <c r="E375">
        <v>41.237499999999997</v>
      </c>
      <c r="F375" s="62">
        <v>2.189352692075015</v>
      </c>
    </row>
    <row r="376" spans="1:6" x14ac:dyDescent="0.25">
      <c r="A376" s="61" t="s">
        <v>1717</v>
      </c>
      <c r="B376" s="45">
        <v>18149433.612382367</v>
      </c>
      <c r="C376" s="19">
        <v>128230826.14659536</v>
      </c>
      <c r="D376" s="19">
        <v>110081392.53421299</v>
      </c>
      <c r="E376">
        <v>37.463099999999997</v>
      </c>
      <c r="F376" s="62">
        <v>6.0652797704447634</v>
      </c>
    </row>
    <row r="377" spans="1:6" x14ac:dyDescent="0.25">
      <c r="A377" s="61" t="s">
        <v>980</v>
      </c>
      <c r="B377" s="45">
        <v>19331183.400699712</v>
      </c>
      <c r="C377" s="19">
        <v>125888274.07496056</v>
      </c>
      <c r="D377" s="19">
        <v>106557090.67426085</v>
      </c>
      <c r="E377">
        <v>31.4072</v>
      </c>
      <c r="F377" s="62">
        <v>5.5121866295264628</v>
      </c>
    </row>
    <row r="378" spans="1:6" x14ac:dyDescent="0.25">
      <c r="A378" s="61" t="s">
        <v>785</v>
      </c>
      <c r="B378" s="45">
        <v>32910754.628953908</v>
      </c>
      <c r="C378" s="19">
        <v>125560857.90073395</v>
      </c>
      <c r="D378" s="19">
        <v>92650103.271780044</v>
      </c>
      <c r="E378">
        <v>12.711</v>
      </c>
      <c r="F378" s="62">
        <v>2.8151923076923073</v>
      </c>
    </row>
    <row r="379" spans="1:6" x14ac:dyDescent="0.25">
      <c r="A379" s="61" t="s">
        <v>2503</v>
      </c>
      <c r="B379" s="45">
        <v>32087750.312090009</v>
      </c>
      <c r="C379" s="19">
        <v>123397435.07432057</v>
      </c>
      <c r="D379" s="19">
        <v>91309684.76223056</v>
      </c>
      <c r="E379">
        <v>98.040199999999999</v>
      </c>
      <c r="F379" s="62">
        <v>2.8456243854473939</v>
      </c>
    </row>
    <row r="380" spans="1:6" x14ac:dyDescent="0.25">
      <c r="A380" s="61" t="s">
        <v>1744</v>
      </c>
      <c r="B380" s="45">
        <v>36213323.23380474</v>
      </c>
      <c r="C380" s="19">
        <v>113438893.23636323</v>
      </c>
      <c r="D380" s="19">
        <v>77225570.0025585</v>
      </c>
      <c r="E380">
        <v>7.4141000000000004</v>
      </c>
      <c r="F380" s="62">
        <v>2.1325181758096501</v>
      </c>
    </row>
    <row r="381" spans="1:6" x14ac:dyDescent="0.25">
      <c r="A381" s="61" t="s">
        <v>1602</v>
      </c>
      <c r="B381" s="45">
        <v>39568648.525633857</v>
      </c>
      <c r="C381" s="19">
        <v>112931979.69762453</v>
      </c>
      <c r="D381" s="19">
        <v>73363331.171990678</v>
      </c>
      <c r="E381">
        <v>0</v>
      </c>
      <c r="F381" s="62">
        <v>1.8540772532188843</v>
      </c>
    </row>
    <row r="382" spans="1:6" x14ac:dyDescent="0.25">
      <c r="A382" s="61" t="s">
        <v>1119</v>
      </c>
      <c r="B382" s="45">
        <v>33037370.6777022</v>
      </c>
      <c r="C382" s="19">
        <v>111823842.07532181</v>
      </c>
      <c r="D382" s="19">
        <v>78786471.397619605</v>
      </c>
      <c r="E382">
        <v>89.077799999999996</v>
      </c>
      <c r="F382" s="62">
        <v>2.3847682119205293</v>
      </c>
    </row>
    <row r="383" spans="1:6" x14ac:dyDescent="0.25">
      <c r="A383" s="61" t="s">
        <v>1294</v>
      </c>
      <c r="B383" s="45">
        <v>38270834.025964104</v>
      </c>
      <c r="C383" s="19">
        <v>111022369.82538994</v>
      </c>
      <c r="D383" s="19">
        <v>72751535.79942584</v>
      </c>
      <c r="E383">
        <v>45.020099999999999</v>
      </c>
      <c r="F383" s="62">
        <v>1.9009655172413795</v>
      </c>
    </row>
    <row r="384" spans="1:6" x14ac:dyDescent="0.25">
      <c r="A384" s="61" t="s">
        <v>2222</v>
      </c>
      <c r="B384" s="45">
        <v>35569691.652667709</v>
      </c>
      <c r="C384" s="19">
        <v>110858193.24738456</v>
      </c>
      <c r="D384" s="19">
        <v>75288501.594716847</v>
      </c>
      <c r="E384">
        <v>20.571200000000001</v>
      </c>
      <c r="F384" s="62">
        <v>2.1166475754104619</v>
      </c>
    </row>
    <row r="385" spans="1:6" x14ac:dyDescent="0.25">
      <c r="A385" s="61" t="s">
        <v>25</v>
      </c>
      <c r="B385" s="45">
        <v>35833475.087559931</v>
      </c>
      <c r="C385" s="19">
        <v>110493329.69214794</v>
      </c>
      <c r="D385" s="19">
        <v>74659854.604588002</v>
      </c>
      <c r="E385">
        <v>18.0623</v>
      </c>
      <c r="F385" s="62">
        <v>2.0835225839010842</v>
      </c>
    </row>
    <row r="386" spans="1:6" x14ac:dyDescent="0.25">
      <c r="A386" s="61" t="s">
        <v>2909</v>
      </c>
      <c r="B386" s="45">
        <v>32763035.905414235</v>
      </c>
      <c r="C386" s="19">
        <v>110286095.89744674</v>
      </c>
      <c r="D386" s="19">
        <v>77523059.992032498</v>
      </c>
      <c r="E386">
        <v>25.1784</v>
      </c>
      <c r="F386" s="62">
        <v>2.366174496644295</v>
      </c>
    </row>
    <row r="387" spans="1:6" x14ac:dyDescent="0.25">
      <c r="A387" s="61" t="s">
        <v>23</v>
      </c>
      <c r="B387" s="45">
        <v>21736888.326917179</v>
      </c>
      <c r="C387" s="19">
        <v>109587909.0094907</v>
      </c>
      <c r="D387" s="19">
        <v>87851020.682573527</v>
      </c>
      <c r="E387">
        <v>30.571200000000001</v>
      </c>
      <c r="F387" s="62">
        <v>4.0415637860082319</v>
      </c>
    </row>
    <row r="388" spans="1:6" x14ac:dyDescent="0.25">
      <c r="A388" s="61" t="s">
        <v>249</v>
      </c>
      <c r="B388" s="45">
        <v>30357330.979196694</v>
      </c>
      <c r="C388" s="19">
        <v>108416755.50337651</v>
      </c>
      <c r="D388" s="19">
        <v>78059424.524179816</v>
      </c>
      <c r="E388">
        <v>13.790800000000001</v>
      </c>
      <c r="F388" s="62">
        <v>2.5713533438651925</v>
      </c>
    </row>
    <row r="389" spans="1:6" x14ac:dyDescent="0.25">
      <c r="A389" s="61" t="s">
        <v>1148</v>
      </c>
      <c r="B389" s="45">
        <v>43831388.833492242</v>
      </c>
      <c r="C389" s="19">
        <v>108394996.06773196</v>
      </c>
      <c r="D389" s="19">
        <v>64563607.23423972</v>
      </c>
      <c r="E389">
        <v>3.077</v>
      </c>
      <c r="F389" s="62">
        <v>1.4729993493819131</v>
      </c>
    </row>
    <row r="390" spans="1:6" x14ac:dyDescent="0.25">
      <c r="A390" s="61" t="s">
        <v>154</v>
      </c>
      <c r="B390" s="45">
        <v>23583372.3711631</v>
      </c>
      <c r="C390" s="19">
        <v>106944369.0083259</v>
      </c>
      <c r="D390" s="19">
        <v>83360996.637162805</v>
      </c>
      <c r="E390">
        <v>10.674099999999999</v>
      </c>
      <c r="F390" s="62">
        <v>3.534736055776893</v>
      </c>
    </row>
    <row r="391" spans="1:6" x14ac:dyDescent="0.25">
      <c r="A391" s="61" t="s">
        <v>300</v>
      </c>
      <c r="B391" s="45">
        <v>38682336.184395976</v>
      </c>
      <c r="C391" s="19">
        <v>106697669.56703953</v>
      </c>
      <c r="D391" s="19">
        <v>68015333.382643551</v>
      </c>
      <c r="E391">
        <v>12.278499999999999</v>
      </c>
      <c r="F391" s="62">
        <v>1.7583046964490263</v>
      </c>
    </row>
    <row r="392" spans="1:6" x14ac:dyDescent="0.25">
      <c r="A392" s="61" t="s">
        <v>1480</v>
      </c>
      <c r="B392" s="45">
        <v>37057430.225459859</v>
      </c>
      <c r="C392" s="19">
        <v>106294322.82017107</v>
      </c>
      <c r="D392" s="19">
        <v>69236892.594711214</v>
      </c>
      <c r="E392">
        <v>0</v>
      </c>
      <c r="F392" s="62">
        <v>1.8683673469387752</v>
      </c>
    </row>
    <row r="393" spans="1:6" x14ac:dyDescent="0.25">
      <c r="A393" s="61" t="s">
        <v>880</v>
      </c>
      <c r="B393" s="45">
        <v>25725293.862488363</v>
      </c>
      <c r="C393" s="19">
        <v>105978210.35002682</v>
      </c>
      <c r="D393" s="19">
        <v>80252916.487538457</v>
      </c>
      <c r="E393">
        <v>24.9634</v>
      </c>
      <c r="F393" s="62">
        <v>3.1196112633939697</v>
      </c>
    </row>
    <row r="394" spans="1:6" x14ac:dyDescent="0.25">
      <c r="A394" s="61" t="s">
        <v>2367</v>
      </c>
      <c r="B394" s="45">
        <v>40454960.866871744</v>
      </c>
      <c r="C394" s="19">
        <v>105835085.17286958</v>
      </c>
      <c r="D394" s="19">
        <v>65380124.305997834</v>
      </c>
      <c r="E394">
        <v>53.283499999999997</v>
      </c>
      <c r="F394" s="62">
        <v>1.6161213088587392</v>
      </c>
    </row>
    <row r="395" spans="1:6" x14ac:dyDescent="0.25">
      <c r="A395" s="61" t="s">
        <v>1610</v>
      </c>
      <c r="B395" s="45">
        <v>22232801.184514657</v>
      </c>
      <c r="C395" s="19">
        <v>105442544.15347636</v>
      </c>
      <c r="D395" s="19">
        <v>83209742.968961701</v>
      </c>
      <c r="E395">
        <v>25.014900000000001</v>
      </c>
      <c r="F395" s="62">
        <v>3.7426567295046036</v>
      </c>
    </row>
    <row r="396" spans="1:6" x14ac:dyDescent="0.25">
      <c r="A396" s="61" t="s">
        <v>745</v>
      </c>
      <c r="B396" s="45">
        <v>32034993.625111554</v>
      </c>
      <c r="C396" s="19">
        <v>104549807.72886537</v>
      </c>
      <c r="D396" s="19">
        <v>72514814.10375382</v>
      </c>
      <c r="E396">
        <v>31.6782</v>
      </c>
      <c r="F396" s="62">
        <v>2.2636125654450261</v>
      </c>
    </row>
    <row r="397" spans="1:6" x14ac:dyDescent="0.25">
      <c r="A397" s="61" t="s">
        <v>1469</v>
      </c>
      <c r="B397" s="45">
        <v>21694682.977334417</v>
      </c>
      <c r="C397" s="19">
        <v>103751019.81106599</v>
      </c>
      <c r="D397" s="19">
        <v>82056336.833731562</v>
      </c>
      <c r="E397">
        <v>63.993899999999996</v>
      </c>
      <c r="F397" s="62">
        <v>3.7823247714410098</v>
      </c>
    </row>
    <row r="398" spans="1:6" x14ac:dyDescent="0.25">
      <c r="A398" s="61" t="s">
        <v>927</v>
      </c>
      <c r="B398" s="45">
        <v>23889361.155638136</v>
      </c>
      <c r="C398" s="19">
        <v>102056625.90062459</v>
      </c>
      <c r="D398" s="19">
        <v>78167264.744986445</v>
      </c>
      <c r="E398">
        <v>0</v>
      </c>
      <c r="F398" s="62">
        <v>3.2720533728687911</v>
      </c>
    </row>
    <row r="399" spans="1:6" x14ac:dyDescent="0.25">
      <c r="A399" s="61" t="s">
        <v>872</v>
      </c>
      <c r="B399" s="45">
        <v>34746687.335803963</v>
      </c>
      <c r="C399" s="19">
        <v>101483254.92106766</v>
      </c>
      <c r="D399" s="19">
        <v>66736567.585263692</v>
      </c>
      <c r="E399">
        <v>28.452400000000001</v>
      </c>
      <c r="F399" s="62">
        <v>1.9206598586017281</v>
      </c>
    </row>
    <row r="400" spans="1:6" x14ac:dyDescent="0.25">
      <c r="A400" s="61" t="s">
        <v>457</v>
      </c>
      <c r="B400" s="45">
        <v>24205901.277508866</v>
      </c>
      <c r="C400" s="19">
        <v>101034259.52599907</v>
      </c>
      <c r="D400" s="19">
        <v>76828358.248490199</v>
      </c>
      <c r="E400">
        <v>12.4742</v>
      </c>
      <c r="F400" s="62">
        <v>3.1739515652687542</v>
      </c>
    </row>
    <row r="401" spans="1:6" x14ac:dyDescent="0.25">
      <c r="A401" s="61" t="s">
        <v>1413</v>
      </c>
      <c r="B401" s="45">
        <v>27276340.459654935</v>
      </c>
      <c r="C401" s="19">
        <v>98649673.527100444</v>
      </c>
      <c r="D401" s="19">
        <v>71373333.067445517</v>
      </c>
      <c r="E401">
        <v>9.3057999999999996</v>
      </c>
      <c r="F401" s="62">
        <v>2.6166755460841773</v>
      </c>
    </row>
    <row r="402" spans="1:6" x14ac:dyDescent="0.25">
      <c r="A402" s="61" t="s">
        <v>378</v>
      </c>
      <c r="B402" s="45">
        <v>29165029.853483614</v>
      </c>
      <c r="C402" s="19">
        <v>97801094.165215522</v>
      </c>
      <c r="D402" s="19">
        <v>68636064.311731905</v>
      </c>
      <c r="E402">
        <v>11.7629</v>
      </c>
      <c r="F402" s="62">
        <v>2.3533685601056802</v>
      </c>
    </row>
    <row r="403" spans="1:6" x14ac:dyDescent="0.25">
      <c r="A403" s="61" t="s">
        <v>2750</v>
      </c>
      <c r="B403" s="45">
        <v>38038704.603258945</v>
      </c>
      <c r="C403" s="19">
        <v>96741291.970318332</v>
      </c>
      <c r="D403" s="19">
        <v>58702587.367059387</v>
      </c>
      <c r="E403">
        <v>17.465900000000001</v>
      </c>
      <c r="F403" s="62">
        <v>1.5432330827067668</v>
      </c>
    </row>
    <row r="404" spans="1:6" x14ac:dyDescent="0.25">
      <c r="A404" s="61" t="s">
        <v>2859</v>
      </c>
      <c r="B404" s="45">
        <v>39294313.753345944</v>
      </c>
      <c r="C404" s="19">
        <v>96381420.416429311</v>
      </c>
      <c r="D404" s="19">
        <v>57087106.663083367</v>
      </c>
      <c r="E404">
        <v>27.224900000000002</v>
      </c>
      <c r="F404" s="62">
        <v>1.4528083381586567</v>
      </c>
    </row>
    <row r="405" spans="1:6" x14ac:dyDescent="0.25">
      <c r="A405" s="61" t="s">
        <v>255</v>
      </c>
      <c r="B405" s="45">
        <v>29618737.36149833</v>
      </c>
      <c r="C405" s="19">
        <v>96269764.310307145</v>
      </c>
      <c r="D405" s="19">
        <v>66651026.948808819</v>
      </c>
      <c r="E405">
        <v>13.336</v>
      </c>
      <c r="F405" s="62">
        <v>2.250299401197605</v>
      </c>
    </row>
    <row r="406" spans="1:6" x14ac:dyDescent="0.25">
      <c r="A406" s="61" t="s">
        <v>2595</v>
      </c>
      <c r="B406" s="45">
        <v>30969308.548146769</v>
      </c>
      <c r="C406" s="19">
        <v>95495920.309827387</v>
      </c>
      <c r="D406" s="19">
        <v>64526611.761680618</v>
      </c>
      <c r="E406">
        <v>20.7332</v>
      </c>
      <c r="F406" s="62">
        <v>2.0835664335664332</v>
      </c>
    </row>
    <row r="407" spans="1:6" x14ac:dyDescent="0.25">
      <c r="A407" s="61" t="s">
        <v>777</v>
      </c>
      <c r="B407" s="45">
        <v>41256862.508944109</v>
      </c>
      <c r="C407" s="19">
        <v>91205840.202328369</v>
      </c>
      <c r="D407" s="19">
        <v>49948977.69338426</v>
      </c>
      <c r="E407">
        <v>43.972099999999998</v>
      </c>
      <c r="F407" s="62">
        <v>1.2106828938471941</v>
      </c>
    </row>
    <row r="408" spans="1:6" x14ac:dyDescent="0.25">
      <c r="A408" s="61" t="s">
        <v>1342</v>
      </c>
      <c r="B408" s="45">
        <v>38597925.485230461</v>
      </c>
      <c r="C408" s="19">
        <v>90971426.699124813</v>
      </c>
      <c r="D408" s="19">
        <v>52373501.213894352</v>
      </c>
      <c r="E408">
        <v>23.529399999999999</v>
      </c>
      <c r="F408" s="62">
        <v>1.3568993813912391</v>
      </c>
    </row>
    <row r="409" spans="1:6" x14ac:dyDescent="0.25">
      <c r="A409" s="61" t="s">
        <v>1835</v>
      </c>
      <c r="B409" s="45">
        <v>18476525.071648777</v>
      </c>
      <c r="C409" s="19">
        <v>89825657.337492496</v>
      </c>
      <c r="D409" s="19">
        <v>71349132.265843719</v>
      </c>
      <c r="E409">
        <v>16.2376</v>
      </c>
      <c r="F409" s="62">
        <v>3.8616099071207435</v>
      </c>
    </row>
    <row r="410" spans="1:6" x14ac:dyDescent="0.25">
      <c r="A410" s="61" t="s">
        <v>930</v>
      </c>
      <c r="B410" s="45">
        <v>32720830.55583147</v>
      </c>
      <c r="C410" s="19">
        <v>86107448.831135452</v>
      </c>
      <c r="D410" s="19">
        <v>53386618.275303982</v>
      </c>
      <c r="E410">
        <v>0</v>
      </c>
      <c r="F410" s="62">
        <v>1.6315789473684212</v>
      </c>
    </row>
    <row r="411" spans="1:6" x14ac:dyDescent="0.25">
      <c r="A411" s="61" t="s">
        <v>877</v>
      </c>
      <c r="B411" s="45">
        <v>18624243.795188449</v>
      </c>
      <c r="C411" s="19">
        <v>84565209.540118501</v>
      </c>
      <c r="D411" s="19">
        <v>65940965.744930051</v>
      </c>
      <c r="E411">
        <v>21.257999999999999</v>
      </c>
      <c r="F411" s="62">
        <v>3.5405982905982909</v>
      </c>
    </row>
    <row r="412" spans="1:6" x14ac:dyDescent="0.25">
      <c r="A412" s="61" t="s">
        <v>2695</v>
      </c>
      <c r="B412" s="45">
        <v>24701814.13510634</v>
      </c>
      <c r="C412" s="19">
        <v>81416041.436363533</v>
      </c>
      <c r="D412" s="19">
        <v>56714227.301257193</v>
      </c>
      <c r="E412">
        <v>39.219200000000001</v>
      </c>
      <c r="F412" s="62">
        <v>2.2959539324140024</v>
      </c>
    </row>
    <row r="413" spans="1:6" x14ac:dyDescent="0.25">
      <c r="A413" s="61" t="s">
        <v>2672</v>
      </c>
      <c r="B413" s="45">
        <v>22042877.111392219</v>
      </c>
      <c r="C413" s="19">
        <v>79405258.407683566</v>
      </c>
      <c r="D413" s="19">
        <v>57362381.296291351</v>
      </c>
      <c r="E413">
        <v>8.2669999999999995</v>
      </c>
      <c r="F413" s="62">
        <v>2.6023091725465037</v>
      </c>
    </row>
    <row r="414" spans="1:6" x14ac:dyDescent="0.25">
      <c r="A414" s="61" t="s">
        <v>2436</v>
      </c>
      <c r="B414" s="45">
        <v>36709236.091402121</v>
      </c>
      <c r="C414" s="19">
        <v>76704848.81654416</v>
      </c>
      <c r="D414" s="19">
        <v>39995612.725142039</v>
      </c>
      <c r="E414">
        <v>59.1235</v>
      </c>
      <c r="F414" s="62">
        <v>1.0895245170876666</v>
      </c>
    </row>
    <row r="415" spans="1:6" x14ac:dyDescent="0.25">
      <c r="A415" s="61" t="s">
        <v>2841</v>
      </c>
      <c r="B415" s="45">
        <v>43472643.362038806</v>
      </c>
      <c r="C415" s="19">
        <v>76121162.191673711</v>
      </c>
      <c r="D415" s="19">
        <v>32648518.829634905</v>
      </c>
      <c r="E415">
        <v>11.667199999999999</v>
      </c>
      <c r="F415" s="62">
        <v>0.75101296596434375</v>
      </c>
    </row>
    <row r="416" spans="1:6" x14ac:dyDescent="0.25">
      <c r="A416" s="61" t="s">
        <v>1768</v>
      </c>
      <c r="B416" s="45">
        <v>22886984.103047498</v>
      </c>
      <c r="C416" s="19">
        <v>74935451.867419213</v>
      </c>
      <c r="D416" s="19">
        <v>52048467.764371715</v>
      </c>
      <c r="E416">
        <v>8.1109000000000009</v>
      </c>
      <c r="F416" s="62">
        <v>2.2741514360313313</v>
      </c>
    </row>
    <row r="417" spans="1:6" x14ac:dyDescent="0.25">
      <c r="A417" s="61" t="s">
        <v>1296</v>
      </c>
      <c r="B417" s="45">
        <v>43219411.264542274</v>
      </c>
      <c r="C417" s="19">
        <v>74288569.767069325</v>
      </c>
      <c r="D417" s="19">
        <v>31069158.502527051</v>
      </c>
      <c r="E417">
        <v>25.863600000000002</v>
      </c>
      <c r="F417" s="62">
        <v>0.71887047031611384</v>
      </c>
    </row>
    <row r="418" spans="1:6" x14ac:dyDescent="0.25">
      <c r="A418" s="61" t="s">
        <v>685</v>
      </c>
      <c r="B418" s="45">
        <v>31971685.600737412</v>
      </c>
      <c r="C418" s="19">
        <v>72197436.355563775</v>
      </c>
      <c r="D418" s="19">
        <v>40225750.754826367</v>
      </c>
      <c r="E418">
        <v>16.6751</v>
      </c>
      <c r="F418" s="62">
        <v>1.2581679695329726</v>
      </c>
    </row>
    <row r="419" spans="1:6" x14ac:dyDescent="0.25">
      <c r="A419" s="61" t="s">
        <v>1124</v>
      </c>
      <c r="B419" s="45">
        <v>41805532.053519942</v>
      </c>
      <c r="C419" s="19">
        <v>72003484.785817459</v>
      </c>
      <c r="D419" s="19">
        <v>30197952.732297517</v>
      </c>
      <c r="E419">
        <v>12.543100000000001</v>
      </c>
      <c r="F419" s="62">
        <v>0.72234346147389628</v>
      </c>
    </row>
    <row r="420" spans="1:6" x14ac:dyDescent="0.25">
      <c r="A420" s="61" t="s">
        <v>1969</v>
      </c>
      <c r="B420" s="45">
        <v>22317211.883680183</v>
      </c>
      <c r="C420" s="19">
        <v>71960265.130396783</v>
      </c>
      <c r="D420" s="19">
        <v>49643053.246716604</v>
      </c>
      <c r="E420">
        <v>18.067900000000002</v>
      </c>
      <c r="F420" s="62">
        <v>2.2244289970208544</v>
      </c>
    </row>
    <row r="421" spans="1:6" x14ac:dyDescent="0.25">
      <c r="A421" s="61" t="s">
        <v>180</v>
      </c>
      <c r="B421" s="45">
        <v>43599259.410787083</v>
      </c>
      <c r="C421" s="19">
        <v>69767596.378389403</v>
      </c>
      <c r="D421" s="19">
        <v>26168336.96760232</v>
      </c>
      <c r="E421">
        <v>0</v>
      </c>
      <c r="F421" s="62">
        <v>0.60020140986908366</v>
      </c>
    </row>
    <row r="422" spans="1:6" x14ac:dyDescent="0.25">
      <c r="A422" s="61" t="s">
        <v>808</v>
      </c>
      <c r="B422" s="45">
        <v>35917885.786725447</v>
      </c>
      <c r="C422" s="19">
        <v>69660813.091555744</v>
      </c>
      <c r="D422" s="19">
        <v>33742927.304830298</v>
      </c>
      <c r="E422">
        <v>145.34049999999999</v>
      </c>
      <c r="F422" s="62">
        <v>0.93944636678200666</v>
      </c>
    </row>
    <row r="423" spans="1:6" x14ac:dyDescent="0.25">
      <c r="A423" s="61" t="s">
        <v>699</v>
      </c>
      <c r="B423" s="45">
        <v>42259239.561534569</v>
      </c>
      <c r="C423" s="19">
        <v>67028090.366307855</v>
      </c>
      <c r="D423" s="19">
        <v>24768850.804773286</v>
      </c>
      <c r="E423">
        <v>39.986800000000002</v>
      </c>
      <c r="F423" s="62">
        <v>0.58611681283821593</v>
      </c>
    </row>
    <row r="424" spans="1:6" x14ac:dyDescent="0.25">
      <c r="A424" s="61" t="s">
        <v>2157</v>
      </c>
      <c r="B424" s="45">
        <v>32784138.580205612</v>
      </c>
      <c r="C424" s="19">
        <v>65605030.67899891</v>
      </c>
      <c r="D424" s="19">
        <v>32820892.098793298</v>
      </c>
      <c r="E424">
        <v>0</v>
      </c>
      <c r="F424" s="62">
        <v>1.0011210762331841</v>
      </c>
    </row>
    <row r="425" spans="1:6" x14ac:dyDescent="0.25">
      <c r="A425" s="61" t="s">
        <v>237</v>
      </c>
      <c r="B425" s="45">
        <v>42860665.793088846</v>
      </c>
      <c r="C425" s="19">
        <v>65559525.280513525</v>
      </c>
      <c r="D425" s="19">
        <v>22698859.487424679</v>
      </c>
      <c r="E425">
        <v>12.247</v>
      </c>
      <c r="F425" s="62">
        <v>0.52959652089876785</v>
      </c>
    </row>
    <row r="426" spans="1:6" x14ac:dyDescent="0.25">
      <c r="A426" s="61" t="s">
        <v>94</v>
      </c>
      <c r="B426" s="45">
        <v>24195349.940113176</v>
      </c>
      <c r="C426" s="19">
        <v>65317060.567945011</v>
      </c>
      <c r="D426" s="19">
        <v>41121710.627831832</v>
      </c>
      <c r="E426">
        <v>0</v>
      </c>
      <c r="F426" s="62">
        <v>1.6995708154506437</v>
      </c>
    </row>
    <row r="427" spans="1:6" x14ac:dyDescent="0.25">
      <c r="A427" s="61" t="s">
        <v>21</v>
      </c>
      <c r="B427" s="45">
        <v>24089836.566156264</v>
      </c>
      <c r="C427" s="19">
        <v>65117153.85095793</v>
      </c>
      <c r="D427" s="19">
        <v>41027317.284801662</v>
      </c>
      <c r="E427">
        <v>0</v>
      </c>
      <c r="F427" s="62">
        <v>1.7030965391621133</v>
      </c>
    </row>
    <row r="428" spans="1:6" x14ac:dyDescent="0.25">
      <c r="A428" s="61" t="s">
        <v>778</v>
      </c>
      <c r="B428" s="45">
        <v>32752484.568018541</v>
      </c>
      <c r="C428" s="19">
        <v>64977766.165123299</v>
      </c>
      <c r="D428" s="19">
        <v>32225281.597104758</v>
      </c>
      <c r="E428">
        <v>24.9313</v>
      </c>
      <c r="F428" s="62">
        <v>0.98390342052313873</v>
      </c>
    </row>
    <row r="429" spans="1:6" x14ac:dyDescent="0.25">
      <c r="A429" s="61" t="s">
        <v>862</v>
      </c>
      <c r="B429" s="45">
        <v>24248106.627091628</v>
      </c>
      <c r="C429" s="19">
        <v>64063599.901686244</v>
      </c>
      <c r="D429" s="19">
        <v>39815493.27459462</v>
      </c>
      <c r="E429">
        <v>25.037800000000001</v>
      </c>
      <c r="F429" s="62">
        <v>1.6420042144696796</v>
      </c>
    </row>
    <row r="430" spans="1:6" x14ac:dyDescent="0.25">
      <c r="A430" s="61" t="s">
        <v>1243</v>
      </c>
      <c r="B430" s="45">
        <v>22486033.282011237</v>
      </c>
      <c r="C430" s="19">
        <v>63371852.884089828</v>
      </c>
      <c r="D430" s="19">
        <v>40885819.602078587</v>
      </c>
      <c r="E430">
        <v>27.835899999999999</v>
      </c>
      <c r="F430" s="62">
        <v>1.8182762201453793</v>
      </c>
    </row>
    <row r="431" spans="1:6" x14ac:dyDescent="0.25">
      <c r="A431" s="61" t="s">
        <v>1000</v>
      </c>
      <c r="B431" s="45">
        <v>17801239.47832457</v>
      </c>
      <c r="C431" s="19">
        <v>62256899.827758044</v>
      </c>
      <c r="D431" s="19">
        <v>44455660.349433474</v>
      </c>
      <c r="E431">
        <v>26.294</v>
      </c>
      <c r="F431" s="62">
        <v>2.4973351099267154</v>
      </c>
    </row>
    <row r="432" spans="1:6" x14ac:dyDescent="0.25">
      <c r="A432" s="61" t="s">
        <v>1764</v>
      </c>
      <c r="B432" s="45">
        <v>19004091.941433311</v>
      </c>
      <c r="C432" s="19">
        <v>60938047.515832528</v>
      </c>
      <c r="D432" s="19">
        <v>41933955.574399218</v>
      </c>
      <c r="E432">
        <v>12.591900000000001</v>
      </c>
      <c r="F432" s="62">
        <v>2.2065750736015706</v>
      </c>
    </row>
    <row r="433" spans="1:6" x14ac:dyDescent="0.25">
      <c r="A433" s="61" t="s">
        <v>1844</v>
      </c>
      <c r="B433" s="45">
        <v>36033950.498078026</v>
      </c>
      <c r="C433" s="19">
        <v>59040399.752329782</v>
      </c>
      <c r="D433" s="19">
        <v>23006449.254251756</v>
      </c>
      <c r="E433">
        <v>42.685400000000001</v>
      </c>
      <c r="F433" s="62">
        <v>0.63846591717660461</v>
      </c>
    </row>
    <row r="434" spans="1:6" x14ac:dyDescent="0.25">
      <c r="A434" s="61" t="s">
        <v>1211</v>
      </c>
      <c r="B434" s="45">
        <v>34525109.250494495</v>
      </c>
      <c r="C434" s="19">
        <v>57568550.304768853</v>
      </c>
      <c r="D434" s="19">
        <v>23043441.054274358</v>
      </c>
      <c r="E434">
        <v>6.7332000000000001</v>
      </c>
      <c r="F434" s="62">
        <v>0.66744006187161631</v>
      </c>
    </row>
    <row r="435" spans="1:6" x14ac:dyDescent="0.25">
      <c r="A435" s="61" t="s">
        <v>1575</v>
      </c>
      <c r="B435" s="45">
        <v>39906291.322295912</v>
      </c>
      <c r="C435" s="19">
        <v>57116736.548921801</v>
      </c>
      <c r="D435" s="19">
        <v>17210445.22662589</v>
      </c>
      <c r="E435">
        <v>8.2499000000000002</v>
      </c>
      <c r="F435" s="62">
        <v>0.43127147766322999</v>
      </c>
    </row>
    <row r="436" spans="1:6" x14ac:dyDescent="0.25">
      <c r="A436" s="61" t="s">
        <v>1040</v>
      </c>
      <c r="B436" s="45">
        <v>41351824.545505315</v>
      </c>
      <c r="C436" s="19">
        <v>55637903.241570607</v>
      </c>
      <c r="D436" s="19">
        <v>14286078.696065292</v>
      </c>
      <c r="E436">
        <v>84.844899999999996</v>
      </c>
      <c r="F436" s="62">
        <v>0.34547638110488404</v>
      </c>
    </row>
    <row r="437" spans="1:6" x14ac:dyDescent="0.25">
      <c r="A437" s="61" t="s">
        <v>1347</v>
      </c>
      <c r="B437" s="45">
        <v>36561517.367862478</v>
      </c>
      <c r="C437" s="19">
        <v>54264119.527151316</v>
      </c>
      <c r="D437" s="19">
        <v>17702602.159288839</v>
      </c>
      <c r="E437">
        <v>57.4298</v>
      </c>
      <c r="F437" s="62">
        <v>0.48418674698795189</v>
      </c>
    </row>
    <row r="438" spans="1:6" x14ac:dyDescent="0.25">
      <c r="A438" s="61" t="s">
        <v>261</v>
      </c>
      <c r="B438" s="45">
        <v>42976730.504441418</v>
      </c>
      <c r="C438" s="19">
        <v>53380071.669706315</v>
      </c>
      <c r="D438" s="19">
        <v>10403341.165264897</v>
      </c>
      <c r="E438">
        <v>13.474500000000001</v>
      </c>
      <c r="F438" s="62">
        <v>0.2420691626178908</v>
      </c>
    </row>
    <row r="439" spans="1:6" x14ac:dyDescent="0.25">
      <c r="A439" s="61" t="s">
        <v>1953</v>
      </c>
      <c r="B439" s="45">
        <v>20903332.672657594</v>
      </c>
      <c r="C439" s="19">
        <v>52905580.80855719</v>
      </c>
      <c r="D439" s="19">
        <v>32002248.135899596</v>
      </c>
      <c r="E439">
        <v>26.5076</v>
      </c>
      <c r="F439" s="62">
        <v>1.5309639203015619</v>
      </c>
    </row>
    <row r="440" spans="1:6" x14ac:dyDescent="0.25">
      <c r="A440" s="61" t="s">
        <v>205</v>
      </c>
      <c r="B440" s="45">
        <v>40170074.757188141</v>
      </c>
      <c r="C440" s="19">
        <v>52474050.427168772</v>
      </c>
      <c r="D440" s="19">
        <v>12303975.66998063</v>
      </c>
      <c r="E440">
        <v>12.3216</v>
      </c>
      <c r="F440" s="62">
        <v>0.30629705681040398</v>
      </c>
    </row>
    <row r="441" spans="1:6" x14ac:dyDescent="0.25">
      <c r="A441" s="61" t="s">
        <v>288</v>
      </c>
      <c r="B441" s="45">
        <v>33512180.860508293</v>
      </c>
      <c r="C441" s="19">
        <v>51963490.842743933</v>
      </c>
      <c r="D441" s="19">
        <v>18451309.98223564</v>
      </c>
      <c r="E441">
        <v>12.2507</v>
      </c>
      <c r="F441" s="62">
        <v>0.55058517555266562</v>
      </c>
    </row>
    <row r="442" spans="1:6" x14ac:dyDescent="0.25">
      <c r="A442" s="61" t="s">
        <v>1117</v>
      </c>
      <c r="B442" s="45">
        <v>41151349.13498722</v>
      </c>
      <c r="C442" s="19">
        <v>51197966.986922652</v>
      </c>
      <c r="D442" s="19">
        <v>10046617.851935431</v>
      </c>
      <c r="E442">
        <v>23.307200000000002</v>
      </c>
      <c r="F442" s="62">
        <v>0.2441382375819536</v>
      </c>
    </row>
    <row r="443" spans="1:6" x14ac:dyDescent="0.25">
      <c r="A443" s="61" t="s">
        <v>2770</v>
      </c>
      <c r="B443" s="45">
        <v>31254194.657830428</v>
      </c>
      <c r="C443" s="19">
        <v>50659855.564660527</v>
      </c>
      <c r="D443" s="19">
        <v>19405660.906830098</v>
      </c>
      <c r="E443">
        <v>38.842799999999997</v>
      </c>
      <c r="F443" s="62">
        <v>0.62089780649549398</v>
      </c>
    </row>
    <row r="444" spans="1:6" x14ac:dyDescent="0.25">
      <c r="A444" s="61" t="s">
        <v>74</v>
      </c>
      <c r="B444" s="45">
        <v>22538789.968989696</v>
      </c>
      <c r="C444" s="19">
        <v>50105316.801290922</v>
      </c>
      <c r="D444" s="19">
        <v>27566526.832301226</v>
      </c>
      <c r="E444">
        <v>8.5505999999999993</v>
      </c>
      <c r="F444" s="62">
        <v>1.2230703986429179</v>
      </c>
    </row>
    <row r="445" spans="1:6" x14ac:dyDescent="0.25">
      <c r="A445" s="61" t="s">
        <v>999</v>
      </c>
      <c r="B445" s="45">
        <v>31570734.779701155</v>
      </c>
      <c r="C445" s="19">
        <v>49789772.672371693</v>
      </c>
      <c r="D445" s="19">
        <v>18219037.892670538</v>
      </c>
      <c r="E445">
        <v>26.089500000000001</v>
      </c>
      <c r="F445" s="62">
        <v>0.57708628005657703</v>
      </c>
    </row>
    <row r="446" spans="1:6" x14ac:dyDescent="0.25">
      <c r="A446" s="61" t="s">
        <v>1212</v>
      </c>
      <c r="B446" s="45">
        <v>37764369.830971032</v>
      </c>
      <c r="C446" s="19">
        <v>49668429.470617317</v>
      </c>
      <c r="D446" s="19">
        <v>11904059.639646284</v>
      </c>
      <c r="E446">
        <v>23.614999999999998</v>
      </c>
      <c r="F446" s="62">
        <v>0.31521933751119069</v>
      </c>
    </row>
    <row r="447" spans="1:6" x14ac:dyDescent="0.25">
      <c r="A447" s="61" t="s">
        <v>973</v>
      </c>
      <c r="B447" s="45">
        <v>41742224.0291458</v>
      </c>
      <c r="C447" s="19">
        <v>49219731.911078379</v>
      </c>
      <c r="D447" s="19">
        <v>7477507.881932579</v>
      </c>
      <c r="E447">
        <v>33.075699999999998</v>
      </c>
      <c r="F447" s="62">
        <v>0.17913534929790842</v>
      </c>
    </row>
    <row r="448" spans="1:6" x14ac:dyDescent="0.25">
      <c r="A448" s="61" t="s">
        <v>619</v>
      </c>
      <c r="B448" s="45">
        <v>38830054.907935627</v>
      </c>
      <c r="C448" s="19">
        <v>49075882.799543358</v>
      </c>
      <c r="D448" s="19">
        <v>10245827.891607732</v>
      </c>
      <c r="E448">
        <v>83.807900000000004</v>
      </c>
      <c r="F448" s="62">
        <v>0.26386333771353515</v>
      </c>
    </row>
    <row r="449" spans="1:6" x14ac:dyDescent="0.25">
      <c r="A449" s="61" t="s">
        <v>2398</v>
      </c>
      <c r="B449" s="45">
        <v>37869883.204927921</v>
      </c>
      <c r="C449" s="19">
        <v>48278135.15703366</v>
      </c>
      <c r="D449" s="19">
        <v>10408251.952105738</v>
      </c>
      <c r="E449">
        <v>0</v>
      </c>
      <c r="F449" s="62">
        <v>0.27484246243334959</v>
      </c>
    </row>
    <row r="450" spans="1:6" x14ac:dyDescent="0.25">
      <c r="A450" s="61" t="s">
        <v>2639</v>
      </c>
      <c r="B450" s="45">
        <v>37774921.168366715</v>
      </c>
      <c r="C450" s="19">
        <v>47837889.339207947</v>
      </c>
      <c r="D450" s="19">
        <v>10062968.170841232</v>
      </c>
      <c r="E450">
        <v>11.219900000000001</v>
      </c>
      <c r="F450" s="62">
        <v>0.26639283047050044</v>
      </c>
    </row>
    <row r="451" spans="1:6" x14ac:dyDescent="0.25">
      <c r="A451" s="61" t="s">
        <v>1175</v>
      </c>
      <c r="B451" s="45">
        <v>23709988.419911392</v>
      </c>
      <c r="C451" s="19">
        <v>46916418.680634126</v>
      </c>
      <c r="D451" s="19">
        <v>23206430.260722734</v>
      </c>
      <c r="E451">
        <v>0</v>
      </c>
      <c r="F451" s="62">
        <v>0.97876177118813878</v>
      </c>
    </row>
    <row r="452" spans="1:6" x14ac:dyDescent="0.25">
      <c r="A452" s="61" t="s">
        <v>1414</v>
      </c>
      <c r="B452" s="45">
        <v>34398493.201746218</v>
      </c>
      <c r="C452" s="19">
        <v>46728342.713021487</v>
      </c>
      <c r="D452" s="19">
        <v>12329849.511275269</v>
      </c>
      <c r="E452">
        <v>13.491199999999999</v>
      </c>
      <c r="F452" s="62">
        <v>0.35844155844155851</v>
      </c>
    </row>
    <row r="453" spans="1:6" x14ac:dyDescent="0.25">
      <c r="A453" s="61" t="s">
        <v>1459</v>
      </c>
      <c r="B453" s="45">
        <v>16957132.486669313</v>
      </c>
      <c r="C453" s="19">
        <v>46166359.406834722</v>
      </c>
      <c r="D453" s="19">
        <v>29209226.920165408</v>
      </c>
      <c r="E453">
        <v>50.531799999999997</v>
      </c>
      <c r="F453" s="62">
        <v>1.7225333907798364</v>
      </c>
    </row>
    <row r="454" spans="1:6" x14ac:dyDescent="0.25">
      <c r="A454" s="61" t="s">
        <v>2517</v>
      </c>
      <c r="B454" s="45">
        <v>42997833.179232799</v>
      </c>
      <c r="C454" s="19">
        <v>45607200.364252195</v>
      </c>
      <c r="D454" s="19">
        <v>2609367.1850193962</v>
      </c>
      <c r="E454">
        <v>0</v>
      </c>
      <c r="F454" s="62">
        <v>6.0686015831134366E-2</v>
      </c>
    </row>
    <row r="455" spans="1:6" x14ac:dyDescent="0.25">
      <c r="A455" s="61" t="s">
        <v>522</v>
      </c>
      <c r="B455" s="45">
        <v>23330140.273666516</v>
      </c>
      <c r="C455" s="19">
        <v>43826836.754753955</v>
      </c>
      <c r="D455" s="19">
        <v>20496696.481087439</v>
      </c>
      <c r="E455">
        <v>0</v>
      </c>
      <c r="F455" s="62">
        <v>0.87855007473841562</v>
      </c>
    </row>
    <row r="456" spans="1:6" x14ac:dyDescent="0.25">
      <c r="A456" s="61" t="s">
        <v>1178</v>
      </c>
      <c r="B456" s="45">
        <v>32362085.084377974</v>
      </c>
      <c r="C456" s="19">
        <v>43355574.709644377</v>
      </c>
      <c r="D456" s="19">
        <v>10993489.625266403</v>
      </c>
      <c r="E456">
        <v>59.602600000000002</v>
      </c>
      <c r="F456" s="62">
        <v>0.33970276008492567</v>
      </c>
    </row>
    <row r="457" spans="1:6" x14ac:dyDescent="0.25">
      <c r="A457" s="61" t="s">
        <v>1716</v>
      </c>
      <c r="B457" s="45">
        <v>32604765.844478868</v>
      </c>
      <c r="C457" s="19">
        <v>41954449.584204324</v>
      </c>
      <c r="D457" s="19">
        <v>9349683.7397254556</v>
      </c>
      <c r="E457">
        <v>22.7683</v>
      </c>
      <c r="F457" s="62">
        <v>0.28675819309123135</v>
      </c>
    </row>
    <row r="458" spans="1:6" x14ac:dyDescent="0.25">
      <c r="A458" s="61" t="s">
        <v>1711</v>
      </c>
      <c r="B458" s="45">
        <v>37553343.083057247</v>
      </c>
      <c r="C458" s="19">
        <v>41702909.777673259</v>
      </c>
      <c r="D458" s="19">
        <v>4149566.6946160123</v>
      </c>
      <c r="E458">
        <v>45.2121</v>
      </c>
      <c r="F458" s="62">
        <v>0.11049793051548988</v>
      </c>
    </row>
    <row r="459" spans="1:6" x14ac:dyDescent="0.25">
      <c r="A459" s="61" t="s">
        <v>520</v>
      </c>
      <c r="B459" s="45">
        <v>27065313.711741116</v>
      </c>
      <c r="C459" s="19">
        <v>41670025.493106842</v>
      </c>
      <c r="D459" s="19">
        <v>14604711.781365726</v>
      </c>
      <c r="E459">
        <v>50.043300000000002</v>
      </c>
      <c r="F459" s="62">
        <v>0.53960992053936929</v>
      </c>
    </row>
    <row r="460" spans="1:6" x14ac:dyDescent="0.25">
      <c r="A460" s="61" t="s">
        <v>508</v>
      </c>
      <c r="B460" s="45">
        <v>42723498.406944886</v>
      </c>
      <c r="C460" s="19">
        <v>41359218.625882775</v>
      </c>
      <c r="D460" s="19">
        <v>-1364279.7810621113</v>
      </c>
      <c r="E460">
        <v>0</v>
      </c>
      <c r="F460" s="62">
        <v>-3.1932773109243827E-2</v>
      </c>
    </row>
    <row r="461" spans="1:6" x14ac:dyDescent="0.25">
      <c r="A461" s="61" t="s">
        <v>2887</v>
      </c>
      <c r="B461" s="45">
        <v>38112563.96502877</v>
      </c>
      <c r="C461" s="19">
        <v>39918757.138404466</v>
      </c>
      <c r="D461" s="19">
        <v>1806193.1733756959</v>
      </c>
      <c r="E461">
        <v>27.250599999999999</v>
      </c>
      <c r="F461" s="62">
        <v>4.7391017173051338E-2</v>
      </c>
    </row>
    <row r="462" spans="1:6" x14ac:dyDescent="0.25">
      <c r="A462" s="61" t="s">
        <v>1344</v>
      </c>
      <c r="B462" s="45">
        <v>28320922.861828338</v>
      </c>
      <c r="C462" s="19">
        <v>39757234.410107307</v>
      </c>
      <c r="D462" s="19">
        <v>11436311.548278969</v>
      </c>
      <c r="E462">
        <v>18.839500000000001</v>
      </c>
      <c r="F462" s="62">
        <v>0.40381140134713339</v>
      </c>
    </row>
    <row r="463" spans="1:6" x14ac:dyDescent="0.25">
      <c r="A463" s="61" t="s">
        <v>1642</v>
      </c>
      <c r="B463" s="45">
        <v>27888318.028605007</v>
      </c>
      <c r="C463" s="19">
        <v>39605172.406119369</v>
      </c>
      <c r="D463" s="19">
        <v>11716854.377514362</v>
      </c>
      <c r="E463">
        <v>14.4284</v>
      </c>
      <c r="F463" s="62">
        <v>0.42013485235991649</v>
      </c>
    </row>
    <row r="464" spans="1:6" x14ac:dyDescent="0.25">
      <c r="A464" s="61" t="s">
        <v>1150</v>
      </c>
      <c r="B464" s="45">
        <v>30431190.34096653</v>
      </c>
      <c r="C464" s="19">
        <v>38562854.769179583</v>
      </c>
      <c r="D464" s="19">
        <v>8131664.4282130525</v>
      </c>
      <c r="E464">
        <v>22.460899999999999</v>
      </c>
      <c r="F464" s="62">
        <v>0.26721479958890038</v>
      </c>
    </row>
    <row r="465" spans="1:6" x14ac:dyDescent="0.25">
      <c r="A465" s="61" t="s">
        <v>1564</v>
      </c>
      <c r="B465" s="45">
        <v>42396406.947678521</v>
      </c>
      <c r="C465" s="19">
        <v>38253651.821051791</v>
      </c>
      <c r="D465" s="19">
        <v>-4142755.12662673</v>
      </c>
      <c r="E465">
        <v>10.8873</v>
      </c>
      <c r="F465" s="62">
        <v>-9.7714769360981724E-2</v>
      </c>
    </row>
    <row r="466" spans="1:6" x14ac:dyDescent="0.25">
      <c r="A466" s="61" t="s">
        <v>1757</v>
      </c>
      <c r="B466" s="45">
        <v>41520645.943836331</v>
      </c>
      <c r="C466" s="19">
        <v>37907979.473427817</v>
      </c>
      <c r="D466" s="19">
        <v>-3612666.4704085141</v>
      </c>
      <c r="E466">
        <v>229.76689999999999</v>
      </c>
      <c r="F466" s="62">
        <v>-8.7008917811520897E-2</v>
      </c>
    </row>
    <row r="467" spans="1:6" x14ac:dyDescent="0.25">
      <c r="A467" s="61" t="s">
        <v>2107</v>
      </c>
      <c r="B467" s="45">
        <v>28827387.056821506</v>
      </c>
      <c r="C467" s="19">
        <v>36797569.032167301</v>
      </c>
      <c r="D467" s="19">
        <v>7970181.9753457941</v>
      </c>
      <c r="E467">
        <v>23.409800000000001</v>
      </c>
      <c r="F467" s="62">
        <v>0.2764795144157815</v>
      </c>
    </row>
    <row r="468" spans="1:6" x14ac:dyDescent="0.25">
      <c r="A468" s="61" t="s">
        <v>1317</v>
      </c>
      <c r="B468" s="45">
        <v>28458090.247972321</v>
      </c>
      <c r="C468" s="19">
        <v>36716958.000996456</v>
      </c>
      <c r="D468" s="19">
        <v>8258867.7530241348</v>
      </c>
      <c r="E468">
        <v>37.3247</v>
      </c>
      <c r="F468" s="62">
        <v>0.29021159470153102</v>
      </c>
    </row>
    <row r="469" spans="1:6" x14ac:dyDescent="0.25">
      <c r="A469" s="61" t="s">
        <v>2876</v>
      </c>
      <c r="B469" s="45">
        <v>18687551.819562592</v>
      </c>
      <c r="C469" s="19">
        <v>35888593.83529634</v>
      </c>
      <c r="D469" s="19">
        <v>17201042.015733749</v>
      </c>
      <c r="E469">
        <v>15.248200000000001</v>
      </c>
      <c r="F469" s="62">
        <v>0.92045454545454541</v>
      </c>
    </row>
    <row r="470" spans="1:6" x14ac:dyDescent="0.25">
      <c r="A470" s="61" t="s">
        <v>1920</v>
      </c>
      <c r="B470" s="45">
        <v>28563603.621929228</v>
      </c>
      <c r="C470" s="19">
        <v>35869968.383013353</v>
      </c>
      <c r="D470" s="19">
        <v>7306364.7610841244</v>
      </c>
      <c r="E470">
        <v>0</v>
      </c>
      <c r="F470" s="62">
        <v>0.25579282144479787</v>
      </c>
    </row>
    <row r="471" spans="1:6" x14ac:dyDescent="0.25">
      <c r="A471" s="61" t="s">
        <v>1144</v>
      </c>
      <c r="B471" s="45">
        <v>20576241.213391189</v>
      </c>
      <c r="C471" s="19">
        <v>34390306.514413498</v>
      </c>
      <c r="D471" s="19">
        <v>13814065.30102231</v>
      </c>
      <c r="E471">
        <v>14.6967</v>
      </c>
      <c r="F471" s="62">
        <v>0.67136000000000007</v>
      </c>
    </row>
    <row r="472" spans="1:6" x14ac:dyDescent="0.25">
      <c r="A472" s="61" t="s">
        <v>2368</v>
      </c>
      <c r="B472" s="45">
        <v>21473104.892024908</v>
      </c>
      <c r="C472" s="19">
        <v>34384306.270968124</v>
      </c>
      <c r="D472" s="19">
        <v>12911201.378943216</v>
      </c>
      <c r="E472">
        <v>0</v>
      </c>
      <c r="F472" s="62">
        <v>0.60127314814814814</v>
      </c>
    </row>
    <row r="473" spans="1:6" x14ac:dyDescent="0.25">
      <c r="A473" s="61" t="s">
        <v>75</v>
      </c>
      <c r="B473" s="45">
        <v>32731381.89322716</v>
      </c>
      <c r="C473" s="19">
        <v>34354737.627262652</v>
      </c>
      <c r="D473" s="19">
        <v>1623355.7340354919</v>
      </c>
      <c r="E473">
        <v>23.476099999999999</v>
      </c>
      <c r="F473" s="62">
        <v>4.9596309111880177E-2</v>
      </c>
    </row>
    <row r="474" spans="1:6" x14ac:dyDescent="0.25">
      <c r="A474" s="61" t="s">
        <v>2476</v>
      </c>
      <c r="B474" s="45">
        <v>40402204.1798933</v>
      </c>
      <c r="C474" s="19">
        <v>34142092.041221231</v>
      </c>
      <c r="D474" s="19">
        <v>-6260112.1386720687</v>
      </c>
      <c r="E474">
        <v>298.2389</v>
      </c>
      <c r="F474" s="62">
        <v>-0.15494481713914751</v>
      </c>
    </row>
    <row r="475" spans="1:6" x14ac:dyDescent="0.25">
      <c r="A475" s="61" t="s">
        <v>2186</v>
      </c>
      <c r="B475" s="45">
        <v>42691844.394757815</v>
      </c>
      <c r="C475" s="19">
        <v>33879239.709798262</v>
      </c>
      <c r="D475" s="19">
        <v>-8812604.6849595532</v>
      </c>
      <c r="E475">
        <v>124.93219999999999</v>
      </c>
      <c r="F475" s="62">
        <v>-0.20642361111111104</v>
      </c>
    </row>
    <row r="476" spans="1:6" x14ac:dyDescent="0.25">
      <c r="A476" s="61" t="s">
        <v>51</v>
      </c>
      <c r="B476" s="45">
        <v>39220454.391576126</v>
      </c>
      <c r="C476" s="19">
        <v>32900985.149317712</v>
      </c>
      <c r="D476" s="19">
        <v>-6319469.2422584146</v>
      </c>
      <c r="E476">
        <v>0</v>
      </c>
      <c r="F476" s="62">
        <v>-0.16112687474665585</v>
      </c>
    </row>
    <row r="477" spans="1:6" x14ac:dyDescent="0.25">
      <c r="A477" s="61" t="s">
        <v>810</v>
      </c>
      <c r="B477" s="45">
        <v>32446495.783543508</v>
      </c>
      <c r="C477" s="19">
        <v>32774134.743806485</v>
      </c>
      <c r="D477" s="19">
        <v>327638.96026297659</v>
      </c>
      <c r="E477">
        <v>0</v>
      </c>
      <c r="F477" s="62">
        <v>1.0097822656989398E-2</v>
      </c>
    </row>
    <row r="478" spans="1:6" x14ac:dyDescent="0.25">
      <c r="A478" s="61" t="s">
        <v>265</v>
      </c>
      <c r="B478" s="45">
        <v>24385274.01323561</v>
      </c>
      <c r="C478" s="19">
        <v>31360249.440505005</v>
      </c>
      <c r="D478" s="19">
        <v>6974975.4272693954</v>
      </c>
      <c r="E478">
        <v>11.593400000000001</v>
      </c>
      <c r="F478" s="62">
        <v>0.28603227601558151</v>
      </c>
    </row>
    <row r="479" spans="1:6" x14ac:dyDescent="0.25">
      <c r="A479" s="61" t="s">
        <v>2217</v>
      </c>
      <c r="B479" s="45">
        <v>29249440.552649144</v>
      </c>
      <c r="C479" s="19">
        <v>30114920.759066623</v>
      </c>
      <c r="D479" s="19">
        <v>865480.20641747862</v>
      </c>
      <c r="E479">
        <v>14.331799999999999</v>
      </c>
      <c r="F479" s="62">
        <v>2.9589632829373602E-2</v>
      </c>
    </row>
    <row r="480" spans="1:6" x14ac:dyDescent="0.25">
      <c r="A480" s="61" t="s">
        <v>1617</v>
      </c>
      <c r="B480" s="45">
        <v>32288225.722608138</v>
      </c>
      <c r="C480" s="19">
        <v>29734272.309410296</v>
      </c>
      <c r="D480" s="19">
        <v>-2553953.4131978415</v>
      </c>
      <c r="E480">
        <v>13.2599</v>
      </c>
      <c r="F480" s="62">
        <v>-7.9098598824820829E-2</v>
      </c>
    </row>
    <row r="481" spans="1:6" x14ac:dyDescent="0.25">
      <c r="A481" s="61" t="s">
        <v>807</v>
      </c>
      <c r="B481" s="45">
        <v>19172913.339764357</v>
      </c>
      <c r="C481" s="19">
        <v>29696593.427093115</v>
      </c>
      <c r="D481" s="19">
        <v>10523680.087328758</v>
      </c>
      <c r="E481">
        <v>0</v>
      </c>
      <c r="F481" s="62">
        <v>0.54888268156424569</v>
      </c>
    </row>
    <row r="482" spans="1:6" x14ac:dyDescent="0.25">
      <c r="A482" s="61" t="s">
        <v>689</v>
      </c>
      <c r="B482" s="45">
        <v>37985947.916280501</v>
      </c>
      <c r="C482" s="19">
        <v>29655416.492290407</v>
      </c>
      <c r="D482" s="19">
        <v>-8330531.4239900932</v>
      </c>
      <c r="E482">
        <v>49.347000000000001</v>
      </c>
      <c r="F482" s="62">
        <v>-0.21930560854635639</v>
      </c>
    </row>
    <row r="483" spans="1:6" x14ac:dyDescent="0.25">
      <c r="A483" s="61" t="s">
        <v>983</v>
      </c>
      <c r="B483" s="45">
        <v>41721121.354354426</v>
      </c>
      <c r="C483" s="19">
        <v>28845474.755748458</v>
      </c>
      <c r="D483" s="19">
        <v>-12875646.598605968</v>
      </c>
      <c r="E483">
        <v>6.3197999999999999</v>
      </c>
      <c r="F483" s="62">
        <v>-0.30861218923738587</v>
      </c>
    </row>
    <row r="484" spans="1:6" x14ac:dyDescent="0.25">
      <c r="A484" s="61" t="s">
        <v>1972</v>
      </c>
      <c r="B484" s="45">
        <v>30684422.438463118</v>
      </c>
      <c r="C484" s="19">
        <v>28512765.249590218</v>
      </c>
      <c r="D484" s="19">
        <v>-2171657.1888728999</v>
      </c>
      <c r="E484">
        <v>9.6060999999999996</v>
      </c>
      <c r="F484" s="62">
        <v>-7.0773930753564182E-2</v>
      </c>
    </row>
    <row r="485" spans="1:6" x14ac:dyDescent="0.25">
      <c r="A485" s="61" t="s">
        <v>243</v>
      </c>
      <c r="B485" s="45">
        <v>37089084.23764693</v>
      </c>
      <c r="C485" s="19">
        <v>28338571.585016031</v>
      </c>
      <c r="D485" s="19">
        <v>-8750512.6526308991</v>
      </c>
      <c r="E485">
        <v>18.028700000000001</v>
      </c>
      <c r="F485" s="62">
        <v>-0.23593229200705831</v>
      </c>
    </row>
    <row r="486" spans="1:6" x14ac:dyDescent="0.25">
      <c r="A486" s="61" t="s">
        <v>1612</v>
      </c>
      <c r="B486" s="45">
        <v>30747730.462837256</v>
      </c>
      <c r="C486" s="19">
        <v>27605604.374306656</v>
      </c>
      <c r="D486" s="19">
        <v>-3142126.0885306001</v>
      </c>
      <c r="E486">
        <v>35.938800000000001</v>
      </c>
      <c r="F486" s="62">
        <v>-0.10219050450986226</v>
      </c>
    </row>
    <row r="487" spans="1:6" x14ac:dyDescent="0.25">
      <c r="A487" s="61" t="s">
        <v>1770</v>
      </c>
      <c r="B487" s="45">
        <v>34387941.864350535</v>
      </c>
      <c r="C487" s="19">
        <v>27015083.647168938</v>
      </c>
      <c r="D487" s="19">
        <v>-7372858.2171815969</v>
      </c>
      <c r="E487">
        <v>0</v>
      </c>
      <c r="F487" s="62">
        <v>-0.21440242763772172</v>
      </c>
    </row>
    <row r="488" spans="1:6" x14ac:dyDescent="0.25">
      <c r="A488" s="61" t="s">
        <v>1311</v>
      </c>
      <c r="B488" s="45">
        <v>40697641.626972593</v>
      </c>
      <c r="C488" s="19">
        <v>25342006.519389916</v>
      </c>
      <c r="D488" s="19">
        <v>-15355635.107582677</v>
      </c>
      <c r="E488">
        <v>0</v>
      </c>
      <c r="F488" s="62">
        <v>-0.37731019522776582</v>
      </c>
    </row>
    <row r="489" spans="1:6" x14ac:dyDescent="0.25">
      <c r="A489" s="61" t="s">
        <v>1522</v>
      </c>
      <c r="B489" s="45">
        <v>29766456.085038003</v>
      </c>
      <c r="C489" s="19">
        <v>25212433.602662068</v>
      </c>
      <c r="D489" s="19">
        <v>-4554022.4823759347</v>
      </c>
      <c r="E489">
        <v>17.039200000000001</v>
      </c>
      <c r="F489" s="62">
        <v>-0.15299175922608393</v>
      </c>
    </row>
    <row r="490" spans="1:6" x14ac:dyDescent="0.25">
      <c r="A490" s="61" t="s">
        <v>166</v>
      </c>
      <c r="B490" s="45">
        <v>26421682.130603965</v>
      </c>
      <c r="C490" s="19">
        <v>24663585.410886973</v>
      </c>
      <c r="D490" s="19">
        <v>-1758096.7197169922</v>
      </c>
      <c r="E490">
        <v>7.5823</v>
      </c>
      <c r="F490" s="62">
        <v>-6.6539923954372554E-2</v>
      </c>
    </row>
    <row r="491" spans="1:6" x14ac:dyDescent="0.25">
      <c r="A491" s="61" t="s">
        <v>2373</v>
      </c>
      <c r="B491" s="45">
        <v>20882229.997866213</v>
      </c>
      <c r="C491" s="19">
        <v>24575155.118314873</v>
      </c>
      <c r="D491" s="19">
        <v>3692925.1204486601</v>
      </c>
      <c r="E491">
        <v>33.940300000000001</v>
      </c>
      <c r="F491" s="62">
        <v>0.17684534270650262</v>
      </c>
    </row>
    <row r="492" spans="1:6" x14ac:dyDescent="0.25">
      <c r="A492" s="61" t="s">
        <v>1059</v>
      </c>
      <c r="B492" s="45">
        <v>32267123.047816757</v>
      </c>
      <c r="C492" s="19">
        <v>24334756.164774626</v>
      </c>
      <c r="D492" s="19">
        <v>-7932366.8830421306</v>
      </c>
      <c r="E492">
        <v>10.407999999999999</v>
      </c>
      <c r="F492" s="62">
        <v>-0.24583433953151415</v>
      </c>
    </row>
    <row r="493" spans="1:6" x14ac:dyDescent="0.25">
      <c r="A493" s="61" t="s">
        <v>446</v>
      </c>
      <c r="B493" s="45">
        <v>41225208.496757045</v>
      </c>
      <c r="C493" s="19">
        <v>24044316.259394225</v>
      </c>
      <c r="D493" s="19">
        <v>-17180892.237362821</v>
      </c>
      <c r="E493">
        <v>0</v>
      </c>
      <c r="F493" s="62">
        <v>-0.41675695196821977</v>
      </c>
    </row>
    <row r="494" spans="1:6" x14ac:dyDescent="0.25">
      <c r="A494" s="61" t="s">
        <v>156</v>
      </c>
      <c r="B494" s="45">
        <v>29692596.723268166</v>
      </c>
      <c r="C494" s="19">
        <v>24029008.829755902</v>
      </c>
      <c r="D494" s="19">
        <v>-5663587.8935122639</v>
      </c>
      <c r="E494">
        <v>38.0105</v>
      </c>
      <c r="F494" s="62">
        <v>-0.19074074074074082</v>
      </c>
    </row>
    <row r="495" spans="1:6" x14ac:dyDescent="0.25">
      <c r="A495" s="61" t="s">
        <v>2262</v>
      </c>
      <c r="B495" s="45">
        <v>18571487.108209994</v>
      </c>
      <c r="C495" s="19">
        <v>23675948.959030867</v>
      </c>
      <c r="D495" s="19">
        <v>5104461.8508208729</v>
      </c>
      <c r="E495">
        <v>12.3527</v>
      </c>
      <c r="F495" s="62">
        <v>0.27485477178423245</v>
      </c>
    </row>
    <row r="496" spans="1:6" x14ac:dyDescent="0.25">
      <c r="A496" s="61" t="s">
        <v>1242</v>
      </c>
      <c r="B496" s="45">
        <v>30789935.812420022</v>
      </c>
      <c r="C496" s="19">
        <v>23231381.075314034</v>
      </c>
      <c r="D496" s="19">
        <v>-7558554.737105988</v>
      </c>
      <c r="E496">
        <v>9.1354000000000006</v>
      </c>
      <c r="F496" s="62">
        <v>-0.24548783677739996</v>
      </c>
    </row>
    <row r="497" spans="1:6" x14ac:dyDescent="0.25">
      <c r="A497" s="61" t="s">
        <v>2706</v>
      </c>
      <c r="B497" s="45">
        <v>17516353.368640922</v>
      </c>
      <c r="C497" s="19">
        <v>22699627.860504441</v>
      </c>
      <c r="D497" s="19">
        <v>5183274.491863519</v>
      </c>
      <c r="E497">
        <v>21.636900000000001</v>
      </c>
      <c r="F497" s="62">
        <v>0.29591059182118362</v>
      </c>
    </row>
    <row r="498" spans="1:6" x14ac:dyDescent="0.25">
      <c r="A498" s="61" t="s">
        <v>1559</v>
      </c>
      <c r="B498" s="45">
        <v>19183464.677160047</v>
      </c>
      <c r="C498" s="19">
        <v>21769766.763780583</v>
      </c>
      <c r="D498" s="19">
        <v>2586302.0866205357</v>
      </c>
      <c r="E498">
        <v>30.531300000000002</v>
      </c>
      <c r="F498" s="62">
        <v>0.1348193420816107</v>
      </c>
    </row>
    <row r="499" spans="1:6" x14ac:dyDescent="0.25">
      <c r="A499" s="61" t="s">
        <v>2642</v>
      </c>
      <c r="B499" s="45">
        <v>33881477.669357456</v>
      </c>
      <c r="C499" s="19">
        <v>21513881.786752917</v>
      </c>
      <c r="D499" s="19">
        <v>-12367595.882604539</v>
      </c>
      <c r="E499">
        <v>24.9771</v>
      </c>
      <c r="F499" s="62">
        <v>-0.36502528028138048</v>
      </c>
    </row>
    <row r="500" spans="1:6" x14ac:dyDescent="0.25">
      <c r="A500" s="61" t="s">
        <v>198</v>
      </c>
      <c r="B500" s="45">
        <v>38808952.233144246</v>
      </c>
      <c r="C500" s="19">
        <v>21371037.964145627</v>
      </c>
      <c r="D500" s="19">
        <v>-17437914.268998619</v>
      </c>
      <c r="E500">
        <v>13.419600000000001</v>
      </c>
      <c r="F500" s="62">
        <v>-0.44932710793737973</v>
      </c>
    </row>
    <row r="501" spans="1:6" x14ac:dyDescent="0.25">
      <c r="A501" s="61" t="s">
        <v>2665</v>
      </c>
      <c r="B501" s="45">
        <v>40286139.468540713</v>
      </c>
      <c r="C501" s="19">
        <v>20712922.875584275</v>
      </c>
      <c r="D501" s="19">
        <v>-19573216.592956439</v>
      </c>
      <c r="E501">
        <v>28.302499999999998</v>
      </c>
      <c r="F501" s="62">
        <v>-0.48585485854858557</v>
      </c>
    </row>
    <row r="502" spans="1:6" x14ac:dyDescent="0.25">
      <c r="A502" s="61" t="s">
        <v>1493</v>
      </c>
      <c r="B502" s="45">
        <v>43525400.049017258</v>
      </c>
      <c r="C502" s="19">
        <v>20013335.042674188</v>
      </c>
      <c r="D502" s="19">
        <v>-23512065.00634307</v>
      </c>
      <c r="E502">
        <v>26.848400000000002</v>
      </c>
      <c r="F502" s="62">
        <v>-0.54019181856718945</v>
      </c>
    </row>
    <row r="503" spans="1:6" x14ac:dyDescent="0.25">
      <c r="A503" s="61" t="s">
        <v>2875</v>
      </c>
      <c r="B503" s="45">
        <v>19900955.620067</v>
      </c>
      <c r="C503" s="19">
        <v>20012701.670001019</v>
      </c>
      <c r="D503" s="19">
        <v>111746.0499340184</v>
      </c>
      <c r="E503">
        <v>22.150200000000002</v>
      </c>
      <c r="F503" s="62">
        <v>5.6151097498725131E-3</v>
      </c>
    </row>
    <row r="504" spans="1:6" x14ac:dyDescent="0.25">
      <c r="A504" s="61" t="s">
        <v>1201</v>
      </c>
      <c r="B504" s="45">
        <v>40054010.045835555</v>
      </c>
      <c r="C504" s="19">
        <v>19383848.422817715</v>
      </c>
      <c r="D504" s="19">
        <v>-20670161.62301784</v>
      </c>
      <c r="E504">
        <v>13.710800000000001</v>
      </c>
      <c r="F504" s="62">
        <v>-0.51605723370429257</v>
      </c>
    </row>
    <row r="505" spans="1:6" x14ac:dyDescent="0.25">
      <c r="A505" s="61" t="s">
        <v>2920</v>
      </c>
      <c r="B505" s="45">
        <v>20175290.392354947</v>
      </c>
      <c r="C505" s="19">
        <v>18232538.081900556</v>
      </c>
      <c r="D505" s="19">
        <v>-1942752.3104543909</v>
      </c>
      <c r="E505">
        <v>23.6797</v>
      </c>
      <c r="F505" s="62">
        <v>-9.6293647956143466E-2</v>
      </c>
    </row>
    <row r="506" spans="1:6" x14ac:dyDescent="0.25">
      <c r="A506" s="61" t="s">
        <v>1907</v>
      </c>
      <c r="B506" s="45">
        <v>17495250.693849541</v>
      </c>
      <c r="C506" s="19">
        <v>18174270.373591073</v>
      </c>
      <c r="D506" s="19">
        <v>679019.67974153161</v>
      </c>
      <c r="E506">
        <v>26.349</v>
      </c>
      <c r="F506" s="62">
        <v>3.8811657610613212E-2</v>
      </c>
    </row>
    <row r="507" spans="1:6" x14ac:dyDescent="0.25">
      <c r="A507" s="61" t="s">
        <v>1113</v>
      </c>
      <c r="B507" s="45">
        <v>30515601.040132061</v>
      </c>
      <c r="C507" s="19">
        <v>17829192.525167447</v>
      </c>
      <c r="D507" s="19">
        <v>-12686408.514964614</v>
      </c>
      <c r="E507">
        <v>35.512799999999999</v>
      </c>
      <c r="F507" s="62">
        <v>-0.41573516766981927</v>
      </c>
    </row>
    <row r="508" spans="1:6" x14ac:dyDescent="0.25">
      <c r="A508" s="61" t="s">
        <v>2220</v>
      </c>
      <c r="B508" s="45">
        <v>36107809.859847844</v>
      </c>
      <c r="C508" s="19">
        <v>17377088.413547218</v>
      </c>
      <c r="D508" s="19">
        <v>-18730721.446300626</v>
      </c>
      <c r="E508">
        <v>54.61</v>
      </c>
      <c r="F508" s="62">
        <v>-0.51874432481515109</v>
      </c>
    </row>
    <row r="509" spans="1:6" x14ac:dyDescent="0.25">
      <c r="A509" s="61" t="s">
        <v>2858</v>
      </c>
      <c r="B509" s="45">
        <v>25401367.804440584</v>
      </c>
      <c r="C509" s="19">
        <v>16940764.391905174</v>
      </c>
      <c r="D509" s="19">
        <v>-8460603.4125354104</v>
      </c>
      <c r="E509">
        <v>17.531099999999999</v>
      </c>
      <c r="F509" s="62">
        <v>-0.33307668617185077</v>
      </c>
    </row>
    <row r="510" spans="1:6" x14ac:dyDescent="0.25">
      <c r="A510" s="61" t="s">
        <v>250</v>
      </c>
      <c r="B510" s="45">
        <v>30906000.523772627</v>
      </c>
      <c r="C510" s="19">
        <v>16219037.897991451</v>
      </c>
      <c r="D510" s="19">
        <v>-14686962.625781177</v>
      </c>
      <c r="E510">
        <v>11.7689</v>
      </c>
      <c r="F510" s="62">
        <v>-0.47521395123526555</v>
      </c>
    </row>
    <row r="511" spans="1:6" x14ac:dyDescent="0.25">
      <c r="A511" s="61" t="s">
        <v>1604</v>
      </c>
      <c r="B511" s="45">
        <v>29386607.938793126</v>
      </c>
      <c r="C511" s="19">
        <v>16010132.393029463</v>
      </c>
      <c r="D511" s="19">
        <v>-13376475.545763664</v>
      </c>
      <c r="E511">
        <v>35.7166</v>
      </c>
      <c r="F511" s="62">
        <v>-0.45518950583287432</v>
      </c>
    </row>
    <row r="512" spans="1:6" x14ac:dyDescent="0.25">
      <c r="A512" s="61" t="s">
        <v>1912</v>
      </c>
      <c r="B512" s="45">
        <v>19077951.303203143</v>
      </c>
      <c r="C512" s="19">
        <v>15725046.301534094</v>
      </c>
      <c r="D512" s="19">
        <v>-3352905.0016690493</v>
      </c>
      <c r="E512">
        <v>12.319800000000001</v>
      </c>
      <c r="F512" s="62">
        <v>-0.17574764440802951</v>
      </c>
    </row>
    <row r="513" spans="1:6" x14ac:dyDescent="0.25">
      <c r="A513" s="61" t="s">
        <v>204</v>
      </c>
      <c r="B513" s="45">
        <v>43620362.085578457</v>
      </c>
      <c r="C513" s="19">
        <v>15640817.494424405</v>
      </c>
      <c r="D513" s="19">
        <v>-27979544.591154054</v>
      </c>
      <c r="E513">
        <v>0</v>
      </c>
      <c r="F513" s="62">
        <v>-0.64143311181739382</v>
      </c>
    </row>
    <row r="514" spans="1:6" x14ac:dyDescent="0.25">
      <c r="A514" s="61" t="s">
        <v>213</v>
      </c>
      <c r="B514" s="45">
        <v>42269790.898930259</v>
      </c>
      <c r="C514" s="19">
        <v>15445640.755863305</v>
      </c>
      <c r="D514" s="19">
        <v>-26824150.143066954</v>
      </c>
      <c r="E514">
        <v>11.595800000000001</v>
      </c>
      <c r="F514" s="62">
        <v>-0.63459386887446856</v>
      </c>
    </row>
    <row r="515" spans="1:6" x14ac:dyDescent="0.25">
      <c r="A515" s="61" t="s">
        <v>2606</v>
      </c>
      <c r="B515" s="45">
        <v>37732715.818783961</v>
      </c>
      <c r="C515" s="19">
        <v>15142344.556794725</v>
      </c>
      <c r="D515" s="19">
        <v>-22590371.261989236</v>
      </c>
      <c r="E515">
        <v>25.890799999999999</v>
      </c>
      <c r="F515" s="62">
        <v>-0.59869454853136705</v>
      </c>
    </row>
    <row r="516" spans="1:6" x14ac:dyDescent="0.25">
      <c r="A516" s="61" t="s">
        <v>931</v>
      </c>
      <c r="B516" s="45">
        <v>27033659.699554045</v>
      </c>
      <c r="C516" s="19">
        <v>15001434.802663941</v>
      </c>
      <c r="D516" s="19">
        <v>-12032224.896890104</v>
      </c>
      <c r="E516">
        <v>63.561799999999998</v>
      </c>
      <c r="F516" s="62">
        <v>-0.44508309383981004</v>
      </c>
    </row>
    <row r="517" spans="1:6" x14ac:dyDescent="0.25">
      <c r="A517" s="61" t="s">
        <v>486</v>
      </c>
      <c r="B517" s="45">
        <v>22707611.36732075</v>
      </c>
      <c r="C517" s="19">
        <v>14740689.458764078</v>
      </c>
      <c r="D517" s="19">
        <v>-7966921.9085566718</v>
      </c>
      <c r="E517">
        <v>15.9732</v>
      </c>
      <c r="F517" s="62">
        <v>-0.35084808259587019</v>
      </c>
    </row>
    <row r="518" spans="1:6" x14ac:dyDescent="0.25">
      <c r="A518" s="61" t="s">
        <v>2864</v>
      </c>
      <c r="B518" s="45">
        <v>42881768.467880227</v>
      </c>
      <c r="C518" s="19">
        <v>14531773.69839525</v>
      </c>
      <c r="D518" s="19">
        <v>-28349994.769484974</v>
      </c>
      <c r="E518">
        <v>7.1605999999999996</v>
      </c>
      <c r="F518" s="62">
        <v>-0.66111999999999993</v>
      </c>
    </row>
    <row r="519" spans="1:6" x14ac:dyDescent="0.25">
      <c r="A519" s="61" t="s">
        <v>1646</v>
      </c>
      <c r="B519" s="45">
        <v>21568066.928586125</v>
      </c>
      <c r="C519" s="19">
        <v>14518486.04090324</v>
      </c>
      <c r="D519" s="19">
        <v>-7049580.8876828849</v>
      </c>
      <c r="E519">
        <v>30.834199999999999</v>
      </c>
      <c r="F519" s="62">
        <v>-0.32685269899359559</v>
      </c>
    </row>
    <row r="520" spans="1:6" x14ac:dyDescent="0.25">
      <c r="A520" s="61" t="s">
        <v>1684</v>
      </c>
      <c r="B520" s="45">
        <v>22918638.115234569</v>
      </c>
      <c r="C520" s="19">
        <v>14481326.13030309</v>
      </c>
      <c r="D520" s="19">
        <v>-8437311.9849314783</v>
      </c>
      <c r="E520">
        <v>0</v>
      </c>
      <c r="F520" s="62">
        <v>-0.36814194379739318</v>
      </c>
    </row>
    <row r="521" spans="1:6" x14ac:dyDescent="0.25">
      <c r="A521" s="61" t="s">
        <v>3338</v>
      </c>
      <c r="B521" s="45">
        <v>19373388.750282474</v>
      </c>
      <c r="C521" s="19">
        <v>14285921.240757691</v>
      </c>
      <c r="D521" s="19">
        <v>-5087467.5095247831</v>
      </c>
      <c r="E521">
        <v>5.4162999999999997</v>
      </c>
      <c r="F521" s="62">
        <v>-0.26260080645161293</v>
      </c>
    </row>
    <row r="522" spans="1:6" x14ac:dyDescent="0.25">
      <c r="A522" s="61" t="s">
        <v>2035</v>
      </c>
      <c r="B522" s="45">
        <v>30779384.475024331</v>
      </c>
      <c r="C522" s="19">
        <v>14168880.916380834</v>
      </c>
      <c r="D522" s="19">
        <v>-16610503.558643498</v>
      </c>
      <c r="E522">
        <v>101.2915</v>
      </c>
      <c r="F522" s="62">
        <v>-0.53966327923555291</v>
      </c>
    </row>
    <row r="523" spans="1:6" x14ac:dyDescent="0.25">
      <c r="A523" s="61" t="s">
        <v>169</v>
      </c>
      <c r="B523" s="45">
        <v>26115693.346128929</v>
      </c>
      <c r="C523" s="19">
        <v>14080273.146346917</v>
      </c>
      <c r="D523" s="19">
        <v>-12035420.199782012</v>
      </c>
      <c r="E523">
        <v>0</v>
      </c>
      <c r="F523" s="62">
        <v>-0.46085011185682329</v>
      </c>
    </row>
    <row r="524" spans="1:6" x14ac:dyDescent="0.25">
      <c r="A524" s="61" t="s">
        <v>1928</v>
      </c>
      <c r="B524" s="45">
        <v>43398784.000268981</v>
      </c>
      <c r="C524" s="19">
        <v>14050187.771769281</v>
      </c>
      <c r="D524" s="19">
        <v>-29348596.228499699</v>
      </c>
      <c r="E524">
        <v>8.7616999999999994</v>
      </c>
      <c r="F524" s="62">
        <v>-0.67625388371060813</v>
      </c>
    </row>
    <row r="525" spans="1:6" x14ac:dyDescent="0.25">
      <c r="A525" s="61" t="s">
        <v>1640</v>
      </c>
      <c r="B525" s="45">
        <v>34662276.636638448</v>
      </c>
      <c r="C525" s="19">
        <v>13895085.434208864</v>
      </c>
      <c r="D525" s="19">
        <v>-20767191.202429585</v>
      </c>
      <c r="E525">
        <v>83.835899999999995</v>
      </c>
      <c r="F525" s="62">
        <v>-0.59912946342590812</v>
      </c>
    </row>
    <row r="526" spans="1:6" x14ac:dyDescent="0.25">
      <c r="A526" s="61" t="s">
        <v>276</v>
      </c>
      <c r="B526" s="45">
        <v>17938406.864468552</v>
      </c>
      <c r="C526" s="19">
        <v>13750072.954031551</v>
      </c>
      <c r="D526" s="19">
        <v>-4188333.9104370009</v>
      </c>
      <c r="E526">
        <v>10.5565</v>
      </c>
      <c r="F526" s="62">
        <v>-0.23348416289592758</v>
      </c>
    </row>
    <row r="527" spans="1:6" x14ac:dyDescent="0.25">
      <c r="A527" s="61" t="s">
        <v>2924</v>
      </c>
      <c r="B527" s="45">
        <v>41794980.716124251</v>
      </c>
      <c r="C527" s="19">
        <v>13593165.418914888</v>
      </c>
      <c r="D527" s="19">
        <v>-28201815.297209363</v>
      </c>
      <c r="E527">
        <v>16.605799999999999</v>
      </c>
      <c r="F527" s="62">
        <v>-0.67476560137110608</v>
      </c>
    </row>
    <row r="528" spans="1:6" x14ac:dyDescent="0.25">
      <c r="A528" s="61" t="s">
        <v>883</v>
      </c>
      <c r="B528" s="45">
        <v>37954293.904093429</v>
      </c>
      <c r="C528" s="19">
        <v>13587336.391029483</v>
      </c>
      <c r="D528" s="19">
        <v>-24366957.513063945</v>
      </c>
      <c r="E528">
        <v>11.903700000000001</v>
      </c>
      <c r="F528" s="62">
        <v>-0.6420079260237781</v>
      </c>
    </row>
    <row r="529" spans="1:6" x14ac:dyDescent="0.25">
      <c r="A529" s="61" t="s">
        <v>2070</v>
      </c>
      <c r="B529" s="45">
        <v>28574154.959324922</v>
      </c>
      <c r="C529" s="19">
        <v>13449685.791908465</v>
      </c>
      <c r="D529" s="19">
        <v>-15124469.167416457</v>
      </c>
      <c r="E529">
        <v>0</v>
      </c>
      <c r="F529" s="62">
        <v>-0.52930591259640103</v>
      </c>
    </row>
    <row r="530" spans="1:6" x14ac:dyDescent="0.25">
      <c r="A530" s="61" t="s">
        <v>784</v>
      </c>
      <c r="B530" s="45">
        <v>17759034.128741808</v>
      </c>
      <c r="C530" s="19">
        <v>12692917.129213</v>
      </c>
      <c r="D530" s="19">
        <v>-5066116.9995288085</v>
      </c>
      <c r="E530">
        <v>0</v>
      </c>
      <c r="F530" s="62">
        <v>-0.28526984985797382</v>
      </c>
    </row>
    <row r="531" spans="1:6" x14ac:dyDescent="0.25">
      <c r="A531" s="61" t="s">
        <v>314</v>
      </c>
      <c r="B531" s="45">
        <v>29629288.698894016</v>
      </c>
      <c r="C531" s="19">
        <v>12649538.277693678</v>
      </c>
      <c r="D531" s="19">
        <v>-16979750.421200339</v>
      </c>
      <c r="E531">
        <v>12.737</v>
      </c>
      <c r="F531" s="62">
        <v>-0.57307317073170738</v>
      </c>
    </row>
    <row r="532" spans="1:6" x14ac:dyDescent="0.25">
      <c r="A532" s="61" t="s">
        <v>2886</v>
      </c>
      <c r="B532" s="45">
        <v>31180335.296060592</v>
      </c>
      <c r="C532" s="19">
        <v>12602070.723340033</v>
      </c>
      <c r="D532" s="19">
        <v>-18578264.572720557</v>
      </c>
      <c r="E532">
        <v>26.702999999999999</v>
      </c>
      <c r="F532" s="62">
        <v>-0.5958327386898814</v>
      </c>
    </row>
    <row r="533" spans="1:6" x14ac:dyDescent="0.25">
      <c r="A533" s="61" t="s">
        <v>783</v>
      </c>
      <c r="B533" s="45">
        <v>35601345.664854772</v>
      </c>
      <c r="C533" s="19">
        <v>12368752.13292253</v>
      </c>
      <c r="D533" s="19">
        <v>-23232593.531932242</v>
      </c>
      <c r="E533">
        <v>0</v>
      </c>
      <c r="F533" s="62">
        <v>-0.65257627480264557</v>
      </c>
    </row>
    <row r="534" spans="1:6" x14ac:dyDescent="0.25">
      <c r="A534" s="61" t="s">
        <v>214</v>
      </c>
      <c r="B534" s="45">
        <v>23847155.806055374</v>
      </c>
      <c r="C534" s="19">
        <v>12134589.099857027</v>
      </c>
      <c r="D534" s="19">
        <v>-11712566.706198348</v>
      </c>
      <c r="E534">
        <v>15.3965</v>
      </c>
      <c r="F534" s="62">
        <v>-0.49115151515151512</v>
      </c>
    </row>
    <row r="535" spans="1:6" x14ac:dyDescent="0.25">
      <c r="A535" s="61" t="s">
        <v>239</v>
      </c>
      <c r="B535" s="45">
        <v>39653059.224799365</v>
      </c>
      <c r="C535" s="19">
        <v>11658503.420202471</v>
      </c>
      <c r="D535" s="19">
        <v>-27994555.804596893</v>
      </c>
      <c r="E535">
        <v>14.795299999999999</v>
      </c>
      <c r="F535" s="62">
        <v>-0.70598728955290435</v>
      </c>
    </row>
    <row r="536" spans="1:6" x14ac:dyDescent="0.25">
      <c r="A536" s="61" t="s">
        <v>1870</v>
      </c>
      <c r="B536" s="45">
        <v>20977192.034427434</v>
      </c>
      <c r="C536" s="19">
        <v>11490474.85965669</v>
      </c>
      <c r="D536" s="19">
        <v>-9486717.1747707445</v>
      </c>
      <c r="E536">
        <v>22.102499999999999</v>
      </c>
      <c r="F536" s="62">
        <v>-0.45223961144090663</v>
      </c>
    </row>
    <row r="537" spans="1:6" x14ac:dyDescent="0.25">
      <c r="A537" s="61" t="s">
        <v>2030</v>
      </c>
      <c r="B537" s="45">
        <v>31802864.202406358</v>
      </c>
      <c r="C537" s="19">
        <v>11045979.347366946</v>
      </c>
      <c r="D537" s="19">
        <v>-20756884.85503941</v>
      </c>
      <c r="E537">
        <v>0</v>
      </c>
      <c r="F537" s="62">
        <v>-0.65267344233318592</v>
      </c>
    </row>
    <row r="538" spans="1:6" x14ac:dyDescent="0.25">
      <c r="A538" s="61" t="s">
        <v>70</v>
      </c>
      <c r="B538" s="45">
        <v>35443075.603919439</v>
      </c>
      <c r="C538" s="19">
        <v>10861300.657870544</v>
      </c>
      <c r="D538" s="19">
        <v>-24581774.946048893</v>
      </c>
      <c r="E538">
        <v>5.524</v>
      </c>
      <c r="F538" s="62">
        <v>-0.6935564853556484</v>
      </c>
    </row>
    <row r="539" spans="1:6" x14ac:dyDescent="0.25">
      <c r="A539" s="61" t="s">
        <v>1397</v>
      </c>
      <c r="B539" s="45">
        <v>40138420.74500107</v>
      </c>
      <c r="C539" s="19">
        <v>10618523.520827467</v>
      </c>
      <c r="D539" s="19">
        <v>-29519897.224173605</v>
      </c>
      <c r="E539">
        <v>0</v>
      </c>
      <c r="F539" s="62">
        <v>-0.73545238393192336</v>
      </c>
    </row>
    <row r="540" spans="1:6" x14ac:dyDescent="0.25">
      <c r="A540" s="61" t="s">
        <v>197</v>
      </c>
      <c r="B540" s="45">
        <v>39146595.029806301</v>
      </c>
      <c r="C540" s="19">
        <v>10484616.706096219</v>
      </c>
      <c r="D540" s="19">
        <v>-28661978.323710084</v>
      </c>
      <c r="E540">
        <v>14.051299999999999</v>
      </c>
      <c r="F540" s="62">
        <v>-0.73217040465171468</v>
      </c>
    </row>
    <row r="541" spans="1:6" x14ac:dyDescent="0.25">
      <c r="A541" s="61" t="s">
        <v>1406</v>
      </c>
      <c r="B541" s="45">
        <v>34194148.967516169</v>
      </c>
      <c r="C541" s="19">
        <v>10166578.815687181</v>
      </c>
      <c r="D541" s="19">
        <v>-24027570.151828989</v>
      </c>
      <c r="E541">
        <v>0</v>
      </c>
      <c r="F541" s="62">
        <v>-0.70268074735987007</v>
      </c>
    </row>
    <row r="542" spans="1:6" x14ac:dyDescent="0.25">
      <c r="A542" s="61" t="s">
        <v>295</v>
      </c>
      <c r="B542" s="45">
        <v>42565228.346009552</v>
      </c>
      <c r="C542" s="19">
        <v>10050609.29053401</v>
      </c>
      <c r="D542" s="19">
        <v>-32514619.05547554</v>
      </c>
      <c r="E542">
        <v>13.6561</v>
      </c>
      <c r="F542" s="62">
        <v>-0.76387747273823225</v>
      </c>
    </row>
    <row r="543" spans="1:6" x14ac:dyDescent="0.25">
      <c r="A543" s="61" t="s">
        <v>69</v>
      </c>
      <c r="B543" s="45">
        <v>34978816.758509114</v>
      </c>
      <c r="C543" s="19">
        <v>10011128.624048861</v>
      </c>
      <c r="D543" s="19">
        <v>-24967688.134460256</v>
      </c>
      <c r="E543">
        <v>0</v>
      </c>
      <c r="F543" s="62">
        <v>-0.71379453189726594</v>
      </c>
    </row>
    <row r="544" spans="1:6" x14ac:dyDescent="0.25">
      <c r="A544" s="61" t="s">
        <v>1872</v>
      </c>
      <c r="B544" s="45">
        <v>32889651.954162523</v>
      </c>
      <c r="C544" s="19">
        <v>9958178.8927657716</v>
      </c>
      <c r="D544" s="19">
        <v>-22931473.061396752</v>
      </c>
      <c r="E544">
        <v>0</v>
      </c>
      <c r="F544" s="62">
        <v>-0.69722455845248121</v>
      </c>
    </row>
    <row r="545" spans="1:6" x14ac:dyDescent="0.25">
      <c r="A545" s="61" t="s">
        <v>706</v>
      </c>
      <c r="B545" s="45">
        <v>20111982.367980808</v>
      </c>
      <c r="C545" s="19">
        <v>9922731.3619803376</v>
      </c>
      <c r="D545" s="19">
        <v>-10189251.00600047</v>
      </c>
      <c r="E545">
        <v>18.611799999999999</v>
      </c>
      <c r="F545" s="62">
        <v>-0.50662589194699281</v>
      </c>
    </row>
    <row r="546" spans="1:6" x14ac:dyDescent="0.25">
      <c r="A546" s="61" t="s">
        <v>2599</v>
      </c>
      <c r="B546" s="45">
        <v>19721582.88434026</v>
      </c>
      <c r="C546" s="19">
        <v>9824188.652852498</v>
      </c>
      <c r="D546" s="19">
        <v>-9897394.2314877622</v>
      </c>
      <c r="E546">
        <v>41.7714</v>
      </c>
      <c r="F546" s="62">
        <v>-0.50185597624350409</v>
      </c>
    </row>
    <row r="547" spans="1:6" x14ac:dyDescent="0.25">
      <c r="A547" s="61" t="s">
        <v>99</v>
      </c>
      <c r="B547" s="45">
        <v>29112273.166505162</v>
      </c>
      <c r="C547" s="19">
        <v>9800731.2627583575</v>
      </c>
      <c r="D547" s="19">
        <v>-19311541.903746806</v>
      </c>
      <c r="E547">
        <v>10.4724</v>
      </c>
      <c r="F547" s="62">
        <v>-0.66334709740102016</v>
      </c>
    </row>
    <row r="548" spans="1:6" x14ac:dyDescent="0.25">
      <c r="A548" s="61" t="s">
        <v>273</v>
      </c>
      <c r="B548" s="45">
        <v>51779711.293667354</v>
      </c>
      <c r="C548" s="19">
        <v>9525168.7999710348</v>
      </c>
      <c r="D548" s="19">
        <v>-42254542.493696317</v>
      </c>
      <c r="E548">
        <v>14.525600000000001</v>
      </c>
      <c r="F548" s="62">
        <v>-0.81604438182458616</v>
      </c>
    </row>
    <row r="549" spans="1:6" x14ac:dyDescent="0.25">
      <c r="A549" s="61" t="s">
        <v>2343</v>
      </c>
      <c r="B549" s="45">
        <v>30631665.751484659</v>
      </c>
      <c r="C549" s="19">
        <v>9415041.0999854393</v>
      </c>
      <c r="D549" s="19">
        <v>-21216624.651499219</v>
      </c>
      <c r="E549">
        <v>16.203900000000001</v>
      </c>
      <c r="F549" s="62">
        <v>-0.69263698630136983</v>
      </c>
    </row>
    <row r="550" spans="1:6" x14ac:dyDescent="0.25">
      <c r="A550" s="61" t="s">
        <v>933</v>
      </c>
      <c r="B550" s="45">
        <v>20291355.103707548</v>
      </c>
      <c r="C550" s="19">
        <v>9292072.5958149042</v>
      </c>
      <c r="D550" s="19">
        <v>-10999282.507892644</v>
      </c>
      <c r="E550">
        <v>0</v>
      </c>
      <c r="F550" s="62">
        <v>-0.54206741992716412</v>
      </c>
    </row>
    <row r="551" spans="1:6" x14ac:dyDescent="0.25">
      <c r="A551" s="61" t="s">
        <v>2778</v>
      </c>
      <c r="B551" s="45">
        <v>38587374.147834778</v>
      </c>
      <c r="C551" s="19">
        <v>9160625.7107715886</v>
      </c>
      <c r="D551" s="19">
        <v>-29426748.437063187</v>
      </c>
      <c r="E551">
        <v>65</v>
      </c>
      <c r="F551" s="62">
        <v>-0.7626004382761139</v>
      </c>
    </row>
    <row r="552" spans="1:6" x14ac:dyDescent="0.25">
      <c r="A552" s="61" t="s">
        <v>2868</v>
      </c>
      <c r="B552" s="45">
        <v>33870926.331961766</v>
      </c>
      <c r="C552" s="19">
        <v>9018543.6317227986</v>
      </c>
      <c r="D552" s="19">
        <v>-24852382.700238965</v>
      </c>
      <c r="E552">
        <v>0</v>
      </c>
      <c r="F552" s="62">
        <v>-0.73373791010809786</v>
      </c>
    </row>
    <row r="553" spans="1:6" x14ac:dyDescent="0.25">
      <c r="A553" s="61" t="s">
        <v>2156</v>
      </c>
      <c r="B553" s="45">
        <v>23003048.814400095</v>
      </c>
      <c r="C553" s="19">
        <v>8435404.9238544311</v>
      </c>
      <c r="D553" s="19">
        <v>-14567643.890545664</v>
      </c>
      <c r="E553">
        <v>32.277500000000003</v>
      </c>
      <c r="F553" s="62">
        <v>-0.63329187396351572</v>
      </c>
    </row>
    <row r="554" spans="1:6" x14ac:dyDescent="0.25">
      <c r="A554" s="61" t="s">
        <v>1042</v>
      </c>
      <c r="B554" s="45">
        <v>34461801.226120353</v>
      </c>
      <c r="C554" s="19">
        <v>8043820.9885177994</v>
      </c>
      <c r="D554" s="19">
        <v>-26417980.237602554</v>
      </c>
      <c r="E554">
        <v>0</v>
      </c>
      <c r="F554" s="62">
        <v>-0.76658733141258506</v>
      </c>
    </row>
    <row r="555" spans="1:6" x14ac:dyDescent="0.25">
      <c r="A555" s="61" t="s">
        <v>3873</v>
      </c>
      <c r="B555" s="45">
        <v>21357040.180672303</v>
      </c>
      <c r="C555" s="19">
        <v>7868610.8350173663</v>
      </c>
      <c r="D555" s="19">
        <v>-13488429.345654937</v>
      </c>
      <c r="E555">
        <v>14.9046</v>
      </c>
      <c r="F555" s="62">
        <v>-0.63156828996658898</v>
      </c>
    </row>
    <row r="556" spans="1:6" x14ac:dyDescent="0.25">
      <c r="A556" s="61" t="s">
        <v>275</v>
      </c>
      <c r="B556" s="45">
        <v>25113316.293538287</v>
      </c>
      <c r="C556" s="19">
        <v>7666602.1601545494</v>
      </c>
      <c r="D556" s="19">
        <v>-17446714.133383736</v>
      </c>
      <c r="E556">
        <v>14.946300000000001</v>
      </c>
      <c r="F556" s="62">
        <v>-0.69471964313501733</v>
      </c>
    </row>
    <row r="557" spans="1:6" x14ac:dyDescent="0.25">
      <c r="A557" s="61" t="s">
        <v>2165</v>
      </c>
      <c r="B557" s="45">
        <v>34957714.083717741</v>
      </c>
      <c r="C557" s="19">
        <v>7631076.0366733307</v>
      </c>
      <c r="D557" s="19">
        <v>-27326638.047044411</v>
      </c>
      <c r="E557">
        <v>79.860200000000006</v>
      </c>
      <c r="F557" s="62">
        <v>-0.7817055194627941</v>
      </c>
    </row>
    <row r="558" spans="1:6" x14ac:dyDescent="0.25">
      <c r="A558" s="61" t="s">
        <v>1978</v>
      </c>
      <c r="B558" s="45">
        <v>37046878.888064176</v>
      </c>
      <c r="C558" s="19">
        <v>7619785.7710638009</v>
      </c>
      <c r="D558" s="19">
        <v>-29427093.117000375</v>
      </c>
      <c r="E558">
        <v>21.625499999999999</v>
      </c>
      <c r="F558" s="62">
        <v>-0.79432043940633401</v>
      </c>
    </row>
    <row r="559" spans="1:6" x14ac:dyDescent="0.25">
      <c r="A559" s="61" t="s">
        <v>2440</v>
      </c>
      <c r="B559" s="45">
        <v>30072444.869513039</v>
      </c>
      <c r="C559" s="19">
        <v>7467193.8089951882</v>
      </c>
      <c r="D559" s="19">
        <v>-22605251.060517851</v>
      </c>
      <c r="E559">
        <v>20.518599999999999</v>
      </c>
      <c r="F559" s="62">
        <v>-0.75169315825846572</v>
      </c>
    </row>
    <row r="560" spans="1:6" x14ac:dyDescent="0.25">
      <c r="A560" s="61" t="s">
        <v>2426</v>
      </c>
      <c r="B560" s="45">
        <v>32857997.941975448</v>
      </c>
      <c r="C560" s="19">
        <v>7275227.1269486565</v>
      </c>
      <c r="D560" s="19">
        <v>-25582770.81502679</v>
      </c>
      <c r="E560">
        <v>0</v>
      </c>
      <c r="F560" s="62">
        <v>-0.77858580611648598</v>
      </c>
    </row>
    <row r="561" spans="1:6" x14ac:dyDescent="0.25">
      <c r="A561" s="61" t="s">
        <v>245</v>
      </c>
      <c r="B561" s="45">
        <v>43282719.288916409</v>
      </c>
      <c r="C561" s="19">
        <v>7163997.7872256665</v>
      </c>
      <c r="D561" s="19">
        <v>-36118721.501690745</v>
      </c>
      <c r="E561">
        <v>0</v>
      </c>
      <c r="F561" s="62">
        <v>-0.83448364832613053</v>
      </c>
    </row>
    <row r="562" spans="1:6" x14ac:dyDescent="0.25">
      <c r="A562" s="61" t="s">
        <v>664</v>
      </c>
      <c r="B562" s="45">
        <v>23182421.550126839</v>
      </c>
      <c r="C562" s="19">
        <v>7039446.2780119386</v>
      </c>
      <c r="D562" s="19">
        <v>-16142975.272114901</v>
      </c>
      <c r="E562">
        <v>0</v>
      </c>
      <c r="F562" s="62">
        <v>-0.69634551495016606</v>
      </c>
    </row>
    <row r="563" spans="1:6" x14ac:dyDescent="0.25">
      <c r="A563" s="61" t="s">
        <v>1186</v>
      </c>
      <c r="B563" s="45">
        <v>32235469.035629682</v>
      </c>
      <c r="C563" s="19">
        <v>6999160.8095888244</v>
      </c>
      <c r="D563" s="19">
        <v>-25236308.226040859</v>
      </c>
      <c r="E563">
        <v>13.2189</v>
      </c>
      <c r="F563" s="62">
        <v>-0.78287392679620416</v>
      </c>
    </row>
    <row r="564" spans="1:6" x14ac:dyDescent="0.25">
      <c r="A564" s="61" t="s">
        <v>2193</v>
      </c>
      <c r="B564" s="45">
        <v>34757238.673199646</v>
      </c>
      <c r="C564" s="19">
        <v>6202002.595502181</v>
      </c>
      <c r="D564" s="19">
        <v>-28555236.077697463</v>
      </c>
      <c r="E564">
        <v>21.3782</v>
      </c>
      <c r="F564" s="62">
        <v>-0.82156227501799861</v>
      </c>
    </row>
    <row r="565" spans="1:6" x14ac:dyDescent="0.25">
      <c r="A565" s="61" t="s">
        <v>240</v>
      </c>
      <c r="B565" s="45">
        <v>36540414.693071097</v>
      </c>
      <c r="C565" s="19">
        <v>5902496.5968186203</v>
      </c>
      <c r="D565" s="19">
        <v>-30637918.096252479</v>
      </c>
      <c r="E565">
        <v>31.531500000000001</v>
      </c>
      <c r="F565" s="62">
        <v>-0.83846662260409799</v>
      </c>
    </row>
    <row r="566" spans="1:6" x14ac:dyDescent="0.25">
      <c r="A566" s="61" t="s">
        <v>1334</v>
      </c>
      <c r="B566" s="45">
        <v>38313039.375546858</v>
      </c>
      <c r="C566" s="19">
        <v>5832823.7358653229</v>
      </c>
      <c r="D566" s="19">
        <v>-32480215.639681533</v>
      </c>
      <c r="E566">
        <v>0</v>
      </c>
      <c r="F566" s="62">
        <v>-0.84775878314712616</v>
      </c>
    </row>
    <row r="567" spans="1:6" x14ac:dyDescent="0.25">
      <c r="A567" s="61" t="s">
        <v>2757</v>
      </c>
      <c r="B567" s="45">
        <v>25092213.618746907</v>
      </c>
      <c r="C567" s="19">
        <v>5772230.8676881287</v>
      </c>
      <c r="D567" s="19">
        <v>-19319982.75105878</v>
      </c>
      <c r="E567">
        <v>45.191800000000001</v>
      </c>
      <c r="F567" s="62">
        <v>-0.76995928077961306</v>
      </c>
    </row>
    <row r="568" spans="1:6" x14ac:dyDescent="0.25">
      <c r="A568" s="61" t="s">
        <v>1758</v>
      </c>
      <c r="B568" s="45">
        <v>24775673.496876176</v>
      </c>
      <c r="C568" s="19">
        <v>5563574.6182572627</v>
      </c>
      <c r="D568" s="19">
        <v>-19212098.878618915</v>
      </c>
      <c r="E568">
        <v>3.2433999999999998</v>
      </c>
      <c r="F568" s="62">
        <v>-0.77544204322200394</v>
      </c>
    </row>
    <row r="569" spans="1:6" x14ac:dyDescent="0.25">
      <c r="A569" s="61" t="s">
        <v>2094</v>
      </c>
      <c r="B569" s="45">
        <v>34250774.478206575</v>
      </c>
      <c r="C569" s="19">
        <v>5556191.631418217</v>
      </c>
      <c r="D569" s="19">
        <v>-28694582.846788358</v>
      </c>
      <c r="E569">
        <v>29.367599999999999</v>
      </c>
      <c r="F569" s="62">
        <v>-0.83777909504050585</v>
      </c>
    </row>
    <row r="570" spans="1:6" x14ac:dyDescent="0.25">
      <c r="A570" s="61" t="s">
        <v>1188</v>
      </c>
      <c r="B570" s="45">
        <v>23636129.058141552</v>
      </c>
      <c r="C570" s="19">
        <v>5018324.3410183433</v>
      </c>
      <c r="D570" s="19">
        <v>-18617804.71712321</v>
      </c>
      <c r="E570">
        <v>9.1212999999999997</v>
      </c>
      <c r="F570" s="62">
        <v>-0.78768417075935027</v>
      </c>
    </row>
    <row r="571" spans="1:6" x14ac:dyDescent="0.25">
      <c r="A571" s="61" t="s">
        <v>517</v>
      </c>
      <c r="B571" s="45">
        <v>43683670.109952591</v>
      </c>
      <c r="C571" s="19">
        <v>4378792.7079188796</v>
      </c>
      <c r="D571" s="19">
        <v>-39304877.402033709</v>
      </c>
      <c r="E571">
        <v>0</v>
      </c>
      <c r="F571" s="62">
        <v>-0.89976133651551293</v>
      </c>
    </row>
    <row r="572" spans="1:6" x14ac:dyDescent="0.25">
      <c r="A572" s="61" t="s">
        <v>170</v>
      </c>
      <c r="B572" s="45">
        <v>30452293.015757915</v>
      </c>
      <c r="C572" s="19">
        <v>4375870.7428771174</v>
      </c>
      <c r="D572" s="19">
        <v>-26076422.272880796</v>
      </c>
      <c r="E572">
        <v>19.072399999999998</v>
      </c>
      <c r="F572" s="62">
        <v>-0.85630406417629146</v>
      </c>
    </row>
    <row r="573" spans="1:6" x14ac:dyDescent="0.25">
      <c r="A573" s="61" t="s">
        <v>694</v>
      </c>
      <c r="B573" s="45">
        <v>38956670.956683889</v>
      </c>
      <c r="C573" s="19">
        <v>4315928.7712336779</v>
      </c>
      <c r="D573" s="19">
        <v>-34640742.185450211</v>
      </c>
      <c r="E573">
        <v>13.765499999999999</v>
      </c>
      <c r="F573" s="62">
        <v>-0.88921207420334814</v>
      </c>
    </row>
    <row r="574" spans="1:6" x14ac:dyDescent="0.25">
      <c r="A574" s="61" t="s">
        <v>2169</v>
      </c>
      <c r="B574" s="45">
        <v>19943160.969649762</v>
      </c>
      <c r="C574" s="19">
        <v>3668750.3695580889</v>
      </c>
      <c r="D574" s="19">
        <v>-16274410.600091673</v>
      </c>
      <c r="E574">
        <v>26.3156</v>
      </c>
      <c r="F574" s="62">
        <v>-0.81603967519786214</v>
      </c>
    </row>
    <row r="575" spans="1:6" x14ac:dyDescent="0.25">
      <c r="A575" s="61" t="s">
        <v>1477</v>
      </c>
      <c r="B575" s="45">
        <v>33554386.210091051</v>
      </c>
      <c r="C575" s="19">
        <v>3660553.8699666928</v>
      </c>
      <c r="D575" s="19">
        <v>-29893832.340124357</v>
      </c>
      <c r="E575">
        <v>0</v>
      </c>
      <c r="F575" s="62">
        <v>-0.89090684457622926</v>
      </c>
    </row>
    <row r="576" spans="1:6" x14ac:dyDescent="0.25">
      <c r="A576" s="61" t="s">
        <v>2027</v>
      </c>
      <c r="B576" s="45">
        <v>34194148.967516169</v>
      </c>
      <c r="C576" s="19">
        <v>3484931.6110391519</v>
      </c>
      <c r="D576" s="19">
        <v>-30709217.356477018</v>
      </c>
      <c r="E576">
        <v>0</v>
      </c>
      <c r="F576" s="62">
        <v>-0.89808397880146762</v>
      </c>
    </row>
    <row r="577" spans="1:6" x14ac:dyDescent="0.25">
      <c r="A577" s="61" t="s">
        <v>2083</v>
      </c>
      <c r="B577" s="45">
        <v>40971976.399260499</v>
      </c>
      <c r="C577" s="19">
        <v>3472247.2243845635</v>
      </c>
      <c r="D577" s="19">
        <v>-37499729.174875937</v>
      </c>
      <c r="E577">
        <v>101.0642</v>
      </c>
      <c r="F577" s="62">
        <v>-0.91525311860603265</v>
      </c>
    </row>
    <row r="578" spans="1:6" x14ac:dyDescent="0.25">
      <c r="A578" s="61" t="s">
        <v>2470</v>
      </c>
      <c r="B578" s="45">
        <v>19985366.319232523</v>
      </c>
      <c r="C578" s="19">
        <v>3458605.6390413688</v>
      </c>
      <c r="D578" s="19">
        <v>-16526760.680191156</v>
      </c>
      <c r="E578">
        <v>3.2265999999999999</v>
      </c>
      <c r="F578" s="62">
        <v>-0.82694309507286601</v>
      </c>
    </row>
    <row r="579" spans="1:6" x14ac:dyDescent="0.25">
      <c r="A579" s="61" t="s">
        <v>164</v>
      </c>
      <c r="B579" s="45">
        <v>19056848.628411762</v>
      </c>
      <c r="C579" s="19">
        <v>3450240.4310175045</v>
      </c>
      <c r="D579" s="19">
        <v>-15606608.197394257</v>
      </c>
      <c r="E579">
        <v>0</v>
      </c>
      <c r="F579" s="62">
        <v>-0.81895010563952542</v>
      </c>
    </row>
    <row r="580" spans="1:6" x14ac:dyDescent="0.25">
      <c r="A580" s="61" t="s">
        <v>2092</v>
      </c>
      <c r="B580" s="45">
        <v>43799734.821305171</v>
      </c>
      <c r="C580" s="19">
        <v>3078746.0405058367</v>
      </c>
      <c r="D580" s="19">
        <v>-40720988.780799337</v>
      </c>
      <c r="E580">
        <v>0</v>
      </c>
      <c r="F580" s="62">
        <v>-0.92970856894301879</v>
      </c>
    </row>
    <row r="581" spans="1:6" x14ac:dyDescent="0.25">
      <c r="A581" s="61" t="s">
        <v>299</v>
      </c>
      <c r="B581" s="45">
        <v>20417971.152455833</v>
      </c>
      <c r="C581" s="19">
        <v>2903436.6293821917</v>
      </c>
      <c r="D581" s="19">
        <v>-17514534.52307364</v>
      </c>
      <c r="E581">
        <v>10.4664</v>
      </c>
      <c r="F581" s="62">
        <v>-0.85779994458298692</v>
      </c>
    </row>
    <row r="582" spans="1:6" x14ac:dyDescent="0.25">
      <c r="A582" s="61" t="s">
        <v>2854</v>
      </c>
      <c r="B582" s="45">
        <v>20154187.71756357</v>
      </c>
      <c r="C582" s="19">
        <v>2781642.4945651051</v>
      </c>
      <c r="D582" s="19">
        <v>-17372545.222998463</v>
      </c>
      <c r="E582">
        <v>14.9986</v>
      </c>
      <c r="F582" s="62">
        <v>-0.86198190998583302</v>
      </c>
    </row>
    <row r="583" spans="1:6" x14ac:dyDescent="0.25">
      <c r="A583" s="61" t="s">
        <v>2299</v>
      </c>
      <c r="B583" s="45">
        <v>20808370.636096381</v>
      </c>
      <c r="C583" s="19">
        <v>2759370.8886997378</v>
      </c>
      <c r="D583" s="19">
        <v>-18048999.747396644</v>
      </c>
      <c r="E583">
        <v>15.9091</v>
      </c>
      <c r="F583" s="62">
        <v>-0.86739130434782619</v>
      </c>
    </row>
    <row r="584" spans="1:6" x14ac:dyDescent="0.25">
      <c r="A584" s="61" t="s">
        <v>678</v>
      </c>
      <c r="B584" s="45">
        <v>20818921.973492071</v>
      </c>
      <c r="C584" s="19">
        <v>2744146.1300736484</v>
      </c>
      <c r="D584" s="19">
        <v>-18074775.843418423</v>
      </c>
      <c r="E584">
        <v>1.7702</v>
      </c>
      <c r="F584" s="62">
        <v>-0.86818980667838308</v>
      </c>
    </row>
    <row r="585" spans="1:6" x14ac:dyDescent="0.25">
      <c r="A585" s="61" t="s">
        <v>2855</v>
      </c>
      <c r="B585" s="45">
        <v>27909420.703396391</v>
      </c>
      <c r="C585" s="19">
        <v>2682924.155906559</v>
      </c>
      <c r="D585" s="19">
        <v>-25226496.547489833</v>
      </c>
      <c r="E585">
        <v>15.1906</v>
      </c>
      <c r="F585" s="62">
        <v>-0.90387030299127402</v>
      </c>
    </row>
    <row r="586" spans="1:6" x14ac:dyDescent="0.25">
      <c r="A586" s="61" t="s">
        <v>886</v>
      </c>
      <c r="B586" s="45">
        <v>25567023.801552996</v>
      </c>
      <c r="C586" s="19">
        <v>2535693.1846096269</v>
      </c>
      <c r="D586" s="19">
        <v>-23031330.616943371</v>
      </c>
      <c r="E586">
        <v>0</v>
      </c>
      <c r="F586" s="62">
        <v>-0.90082173019858491</v>
      </c>
    </row>
    <row r="587" spans="1:6" x14ac:dyDescent="0.25">
      <c r="A587" s="61" t="s">
        <v>2136</v>
      </c>
      <c r="B587" s="45">
        <v>35506383.628293566</v>
      </c>
      <c r="C587" s="19">
        <v>2499340.0335365986</v>
      </c>
      <c r="D587" s="19">
        <v>-33007043.594756968</v>
      </c>
      <c r="E587">
        <v>4.5172999999999996</v>
      </c>
      <c r="F587" s="62">
        <v>-0.92960871319080274</v>
      </c>
    </row>
    <row r="588" spans="1:6" x14ac:dyDescent="0.25">
      <c r="A588" s="61" t="s">
        <v>45</v>
      </c>
      <c r="B588" s="45">
        <v>41594505.305606164</v>
      </c>
      <c r="C588" s="19">
        <v>2445913.4504304715</v>
      </c>
      <c r="D588" s="19">
        <v>-39148591.855175689</v>
      </c>
      <c r="E588">
        <v>0</v>
      </c>
      <c r="F588" s="62">
        <v>-0.94119623655913964</v>
      </c>
    </row>
    <row r="589" spans="1:6" x14ac:dyDescent="0.25">
      <c r="A589" s="61" t="s">
        <v>879</v>
      </c>
      <c r="B589" s="45">
        <v>18814167.86831088</v>
      </c>
      <c r="C589" s="19">
        <v>2180446.2848838563</v>
      </c>
      <c r="D589" s="19">
        <v>-16633721.583427023</v>
      </c>
      <c r="E589">
        <v>0</v>
      </c>
      <c r="F589" s="62">
        <v>-0.88410615339749199</v>
      </c>
    </row>
    <row r="590" spans="1:6" x14ac:dyDescent="0.25">
      <c r="A590" s="61" t="s">
        <v>481</v>
      </c>
      <c r="B590" s="45">
        <v>21842401.700874086</v>
      </c>
      <c r="C590" s="19">
        <v>2144665.9764739019</v>
      </c>
      <c r="D590" s="19">
        <v>-19697735.724400185</v>
      </c>
      <c r="E590">
        <v>0</v>
      </c>
      <c r="F590" s="62">
        <v>-0.90181180596142607</v>
      </c>
    </row>
    <row r="591" spans="1:6" x14ac:dyDescent="0.25">
      <c r="A591" s="61" t="s">
        <v>1957</v>
      </c>
      <c r="B591" s="45">
        <v>23266832.24929237</v>
      </c>
      <c r="C591" s="19">
        <v>2046486.6836615573</v>
      </c>
      <c r="D591" s="19">
        <v>-21220345.565630812</v>
      </c>
      <c r="E591">
        <v>0</v>
      </c>
      <c r="F591" s="62">
        <v>-0.91204274558158649</v>
      </c>
    </row>
    <row r="592" spans="1:6" x14ac:dyDescent="0.25">
      <c r="A592" s="61" t="s">
        <v>2711</v>
      </c>
      <c r="B592" s="45">
        <v>41552299.956023395</v>
      </c>
      <c r="C592" s="19">
        <v>1743072.518922003</v>
      </c>
      <c r="D592" s="19">
        <v>-39809227.437101394</v>
      </c>
      <c r="E592">
        <v>144.40110000000001</v>
      </c>
      <c r="F592" s="62">
        <v>-0.95805111821086264</v>
      </c>
    </row>
    <row r="593" spans="1:6" x14ac:dyDescent="0.25">
      <c r="A593" s="61" t="s">
        <v>2473</v>
      </c>
      <c r="B593" s="45">
        <v>34377390.526954845</v>
      </c>
      <c r="C593" s="19">
        <v>1719764.1404967112</v>
      </c>
      <c r="D593" s="19">
        <v>-32657626.386458132</v>
      </c>
      <c r="E593">
        <v>6.5823</v>
      </c>
      <c r="F593" s="62">
        <v>-0.94997397667085093</v>
      </c>
    </row>
    <row r="594" spans="1:6" x14ac:dyDescent="0.25">
      <c r="A594" s="61" t="s">
        <v>1159</v>
      </c>
      <c r="B594" s="45">
        <v>24364171.338444225</v>
      </c>
      <c r="C594" s="19">
        <v>1697413.8198130201</v>
      </c>
      <c r="D594" s="19">
        <v>-22666757.518631205</v>
      </c>
      <c r="E594">
        <v>10.0754</v>
      </c>
      <c r="F594" s="62">
        <v>-0.93033155955792057</v>
      </c>
    </row>
    <row r="595" spans="1:6" x14ac:dyDescent="0.25">
      <c r="A595" s="61" t="s">
        <v>616</v>
      </c>
      <c r="B595" s="45">
        <v>19763788.233923022</v>
      </c>
      <c r="C595" s="19">
        <v>1308780.6303144647</v>
      </c>
      <c r="D595" s="19">
        <v>-18455007.603608556</v>
      </c>
      <c r="E595">
        <v>0</v>
      </c>
      <c r="F595" s="62">
        <v>-0.93377885783718106</v>
      </c>
    </row>
    <row r="596" spans="1:6" x14ac:dyDescent="0.25">
      <c r="A596" s="61" t="s">
        <v>533</v>
      </c>
      <c r="B596" s="45">
        <v>33670450.921443656</v>
      </c>
      <c r="C596" s="19">
        <v>1111350.6235030417</v>
      </c>
      <c r="D596" s="19">
        <v>-32559100.297940616</v>
      </c>
      <c r="E596">
        <v>0</v>
      </c>
      <c r="F596" s="62">
        <v>-0.96699329551315105</v>
      </c>
    </row>
    <row r="597" spans="1:6" x14ac:dyDescent="0.25">
      <c r="A597" s="61" t="s">
        <v>1100</v>
      </c>
      <c r="B597" s="45">
        <v>32066647.637298629</v>
      </c>
      <c r="C597" s="19">
        <v>925243.19269676064</v>
      </c>
      <c r="D597" s="19">
        <v>-31141404.444601867</v>
      </c>
      <c r="E597">
        <v>0</v>
      </c>
      <c r="F597" s="62">
        <v>-0.97114624505928848</v>
      </c>
    </row>
    <row r="598" spans="1:6" x14ac:dyDescent="0.25">
      <c r="A598" s="61" t="s">
        <v>2127</v>
      </c>
      <c r="B598" s="45">
        <v>17083748.535417605</v>
      </c>
      <c r="C598" s="19">
        <v>567133.96498529054</v>
      </c>
      <c r="D598" s="19">
        <v>-16516614.570432315</v>
      </c>
      <c r="E598">
        <v>0</v>
      </c>
      <c r="F598" s="62">
        <v>-0.96680272108843546</v>
      </c>
    </row>
    <row r="599" spans="1:6" x14ac:dyDescent="0.25">
      <c r="A599" s="61" t="s">
        <v>523</v>
      </c>
      <c r="B599" s="45">
        <v>24638506.11073219</v>
      </c>
      <c r="C599" s="19">
        <v>465929.74508132506</v>
      </c>
      <c r="D599" s="19">
        <v>-24172576.365650866</v>
      </c>
      <c r="E599">
        <v>76.781300000000002</v>
      </c>
      <c r="F599" s="62">
        <v>-0.98108936706684613</v>
      </c>
    </row>
    <row r="600" spans="1:6" x14ac:dyDescent="0.25">
      <c r="A600" s="61" t="s">
        <v>460</v>
      </c>
      <c r="B600" s="45">
        <v>30663319.763671733</v>
      </c>
      <c r="C600" s="19">
        <v>448993.80977932236</v>
      </c>
      <c r="D600" s="19">
        <v>-30214325.95389241</v>
      </c>
      <c r="E600">
        <v>0</v>
      </c>
      <c r="F600" s="62">
        <v>-0.98535729943007455</v>
      </c>
    </row>
    <row r="601" spans="1:6" x14ac:dyDescent="0.25">
      <c r="A601" s="61" t="s">
        <v>2881</v>
      </c>
      <c r="B601" s="45">
        <v>22686508.692529365</v>
      </c>
      <c r="C601" s="19">
        <v>389398.54792913346</v>
      </c>
      <c r="D601" s="19">
        <v>-22297110.144600231</v>
      </c>
      <c r="E601">
        <v>20.598099999999999</v>
      </c>
      <c r="F601" s="62">
        <v>-0.98283567766170377</v>
      </c>
    </row>
    <row r="602" spans="1:6" x14ac:dyDescent="0.25">
      <c r="A602" s="61" t="s">
        <v>107</v>
      </c>
      <c r="B602" s="45">
        <v>16672246.376985665</v>
      </c>
      <c r="C602" s="19">
        <v>386755.51304170967</v>
      </c>
      <c r="D602" s="19">
        <v>-16285490.863943955</v>
      </c>
      <c r="E602">
        <v>9.1803000000000008</v>
      </c>
      <c r="F602" s="62">
        <v>-0.97680243535894562</v>
      </c>
    </row>
    <row r="603" spans="1:6" x14ac:dyDescent="0.25">
      <c r="A603" s="61" t="s">
        <v>1765</v>
      </c>
      <c r="B603" s="45">
        <v>20861127.323074833</v>
      </c>
      <c r="C603" s="19">
        <v>377646.38632283406</v>
      </c>
      <c r="D603" s="19">
        <v>-20483480.936751999</v>
      </c>
      <c r="E603">
        <v>0</v>
      </c>
      <c r="F603" s="62">
        <v>-0.98189712471074786</v>
      </c>
    </row>
    <row r="604" spans="1:6" x14ac:dyDescent="0.25">
      <c r="A604" s="61" t="s">
        <v>1929</v>
      </c>
      <c r="B604" s="45">
        <v>17147056.559791747</v>
      </c>
      <c r="C604" s="19">
        <v>41444.706477098684</v>
      </c>
      <c r="D604" s="19">
        <v>-17105611.853314649</v>
      </c>
      <c r="E604">
        <v>0</v>
      </c>
      <c r="F604" s="62">
        <v>-0.99758298420883018</v>
      </c>
    </row>
    <row r="605" spans="1:6" x14ac:dyDescent="0.25">
      <c r="A605" s="61" t="s">
        <v>2425</v>
      </c>
      <c r="B605" s="45">
        <v>16999337.836252075</v>
      </c>
      <c r="C605" s="19">
        <v>17311.914062379175</v>
      </c>
      <c r="D605" s="19">
        <v>-16982025.922189694</v>
      </c>
      <c r="E605">
        <v>0</v>
      </c>
      <c r="F605" s="62">
        <v>-0.99898161244695882</v>
      </c>
    </row>
    <row r="606" spans="1:6" x14ac:dyDescent="0.25">
      <c r="A606" s="61" t="s">
        <v>2907</v>
      </c>
      <c r="B606" s="45">
        <v>41478440.594253577</v>
      </c>
      <c r="C606" s="19">
        <v>0</v>
      </c>
      <c r="D606" s="19">
        <v>-41478440.594253577</v>
      </c>
      <c r="E606">
        <v>0</v>
      </c>
      <c r="F606" s="62">
        <v>-1</v>
      </c>
    </row>
    <row r="607" spans="1:6" x14ac:dyDescent="0.25">
      <c r="A607" s="61" t="s">
        <v>5784</v>
      </c>
      <c r="B607" s="45">
        <v>9396604443.5515575</v>
      </c>
      <c r="C607" s="19">
        <v>43484455541.125885</v>
      </c>
      <c r="D607" s="19">
        <v>34087851097.574287</v>
      </c>
      <c r="E607">
        <v>24.971939464882958</v>
      </c>
      <c r="F607" s="62">
        <v>3.627677561863019</v>
      </c>
    </row>
  </sheetData>
  <mergeCells count="7">
    <mergeCell ref="A3:F3"/>
    <mergeCell ref="A306:F306"/>
    <mergeCell ref="H2:I2"/>
    <mergeCell ref="H4:I4"/>
    <mergeCell ref="H13:I13"/>
    <mergeCell ref="H22:I22"/>
    <mergeCell ref="H31:I31"/>
  </mergeCells>
  <pageMargins left="0.7" right="0.7" top="0.75" bottom="0.75" header="0.3" footer="0.3"/>
  <pageSetup scale="60" orientation="portrait" horizontalDpi="300" verticalDpi="300" r:id="rId3"/>
  <headerFooter differentFirst="1">
    <oddHeader>&amp;C&amp;"Calibri,Bold"&amp;28&amp;A&amp;R&amp;"Calibri,Bold"&amp;28&amp;P</oddHeader>
    <firstHeader>&amp;C&amp;"Calibri,Bold"&amp;28Top 5 Bottom 5 Stocks&amp;R&amp;"Calibri,Bold"&amp;28&amp;P</firstHeader>
  </headerFooter>
  <rowBreaks count="2" manualBreakCount="2">
    <brk id="216" max="5" man="1"/>
    <brk id="305"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FDD5-C086-4452-8D76-FDD721602EF1}">
  <sheetPr>
    <pageSetUpPr autoPageBreaks="0"/>
  </sheetPr>
  <dimension ref="A2:I214"/>
  <sheetViews>
    <sheetView zoomScale="70" zoomScaleNormal="70" workbookViewId="0">
      <selection activeCell="H126" sqref="H126"/>
    </sheetView>
  </sheetViews>
  <sheetFormatPr defaultRowHeight="13.2" x14ac:dyDescent="0.25"/>
  <cols>
    <col min="1" max="1" width="35.88671875" bestFit="1" customWidth="1"/>
    <col min="2" max="3" width="25" bestFit="1" customWidth="1"/>
    <col min="4" max="4" width="23.33203125" bestFit="1" customWidth="1"/>
    <col min="5" max="5" width="20.21875" bestFit="1" customWidth="1"/>
    <col min="6" max="7" width="15" style="29" bestFit="1" customWidth="1"/>
    <col min="8" max="8" width="23.44140625" bestFit="1" customWidth="1"/>
    <col min="9" max="9" width="20.21875" bestFit="1" customWidth="1"/>
  </cols>
  <sheetData>
    <row r="2" spans="1:9" x14ac:dyDescent="0.25">
      <c r="A2" s="104" t="s">
        <v>5801</v>
      </c>
      <c r="B2" s="105"/>
      <c r="C2" s="105"/>
      <c r="D2" s="105"/>
      <c r="E2" s="105"/>
      <c r="F2" s="105"/>
    </row>
    <row r="3" spans="1:9" x14ac:dyDescent="0.25">
      <c r="A3" s="60" t="s">
        <v>2944</v>
      </c>
      <c r="B3" t="s">
        <v>5789</v>
      </c>
      <c r="C3" t="s">
        <v>5785</v>
      </c>
      <c r="D3" t="s">
        <v>5787</v>
      </c>
      <c r="E3" t="s">
        <v>5786</v>
      </c>
      <c r="F3" s="62" t="s">
        <v>5790</v>
      </c>
      <c r="G3"/>
      <c r="H3" s="103" t="s">
        <v>5795</v>
      </c>
      <c r="I3" s="103"/>
    </row>
    <row r="4" spans="1:9" x14ac:dyDescent="0.25">
      <c r="A4" s="61" t="s">
        <v>909</v>
      </c>
      <c r="B4" s="45">
        <v>35949539.79891251</v>
      </c>
      <c r="C4" s="19">
        <v>1285256546.2887197</v>
      </c>
      <c r="D4" s="19">
        <v>1249307006.4898071</v>
      </c>
      <c r="E4">
        <v>12.2372</v>
      </c>
      <c r="F4" s="62">
        <v>34.751682872101725</v>
      </c>
      <c r="G4"/>
      <c r="H4" s="81" t="s">
        <v>2944</v>
      </c>
      <c r="I4" s="81" t="s">
        <v>5791</v>
      </c>
    </row>
    <row r="5" spans="1:9" x14ac:dyDescent="0.25">
      <c r="A5" s="61" t="s">
        <v>1464</v>
      </c>
      <c r="B5" s="45">
        <v>114684674.57929586</v>
      </c>
      <c r="C5" s="19">
        <v>3312096073.8402658</v>
      </c>
      <c r="D5" s="19">
        <v>3197411399.2609696</v>
      </c>
      <c r="E5">
        <v>45.461875000000006</v>
      </c>
      <c r="F5" s="62">
        <v>27.880023298581186</v>
      </c>
      <c r="G5"/>
      <c r="H5" s="81" t="str" cm="1">
        <f t="array" ref="H5:H9">A4:A8</f>
        <v>Department Stores</v>
      </c>
      <c r="I5" s="82" cm="1">
        <f t="array" ref="I5:I9">F4:F8</f>
        <v>34.751682872101725</v>
      </c>
    </row>
    <row r="6" spans="1:9" x14ac:dyDescent="0.25">
      <c r="A6" s="61" t="s">
        <v>2683</v>
      </c>
      <c r="B6" s="45">
        <v>139029697.19431776</v>
      </c>
      <c r="C6" s="19">
        <v>3994122865.2981176</v>
      </c>
      <c r="D6" s="19">
        <v>3855093168.1038003</v>
      </c>
      <c r="E6">
        <v>49.064620000000005</v>
      </c>
      <c r="F6" s="62">
        <v>27.728559048184131</v>
      </c>
      <c r="G6"/>
      <c r="H6" s="81" t="str">
        <v>Insurance Brokers</v>
      </c>
      <c r="I6" s="82">
        <v>27.880023298581186</v>
      </c>
    </row>
    <row r="7" spans="1:9" x14ac:dyDescent="0.25">
      <c r="A7" s="61" t="s">
        <v>1955</v>
      </c>
      <c r="B7" s="45">
        <v>62824929.437530547</v>
      </c>
      <c r="C7" s="19">
        <v>1049610108.682041</v>
      </c>
      <c r="D7" s="19">
        <v>986785179.24451053</v>
      </c>
      <c r="E7">
        <v>3.6667000000000001</v>
      </c>
      <c r="F7" s="62">
        <v>15.70690469657769</v>
      </c>
      <c r="G7"/>
      <c r="H7" s="81" t="str">
        <v>Specialty Retail</v>
      </c>
      <c r="I7" s="82">
        <v>27.728559048184131</v>
      </c>
    </row>
    <row r="8" spans="1:9" x14ac:dyDescent="0.25">
      <c r="A8" s="61" t="s">
        <v>2589</v>
      </c>
      <c r="B8" s="45">
        <v>164260289.64905784</v>
      </c>
      <c r="C8" s="19">
        <v>2441156026.044322</v>
      </c>
      <c r="D8" s="19">
        <v>2276895736.3952641</v>
      </c>
      <c r="E8">
        <v>39.507939999999998</v>
      </c>
      <c r="F8" s="62">
        <v>13.861510540739047</v>
      </c>
      <c r="G8"/>
      <c r="H8" s="81" t="str">
        <v>Publishing</v>
      </c>
      <c r="I8" s="82">
        <v>15.70690469657769</v>
      </c>
    </row>
    <row r="9" spans="1:9" x14ac:dyDescent="0.25">
      <c r="A9" s="61" t="s">
        <v>627</v>
      </c>
      <c r="B9" s="45">
        <v>50482736.993086308</v>
      </c>
      <c r="C9" s="19">
        <v>656746609.04790843</v>
      </c>
      <c r="D9" s="19">
        <v>606263872.05482209</v>
      </c>
      <c r="E9">
        <v>30.057950000000002</v>
      </c>
      <c r="F9" s="62">
        <v>12.009330479404294</v>
      </c>
      <c r="G9"/>
      <c r="H9" s="81" t="str">
        <v>Software - Infrastructure</v>
      </c>
      <c r="I9" s="82">
        <v>13.861510540739047</v>
      </c>
    </row>
    <row r="10" spans="1:9" x14ac:dyDescent="0.25">
      <c r="A10" s="61" t="s">
        <v>1631</v>
      </c>
      <c r="B10" s="45">
        <v>127496342.9193072</v>
      </c>
      <c r="C10" s="19">
        <v>1646072928.4698803</v>
      </c>
      <c r="D10" s="19">
        <v>1518576585.5505731</v>
      </c>
      <c r="E10">
        <v>36.661949999999997</v>
      </c>
      <c r="F10" s="62">
        <v>11.910746228318757</v>
      </c>
      <c r="G10"/>
    </row>
    <row r="11" spans="1:9" x14ac:dyDescent="0.25">
      <c r="A11" s="61" t="s">
        <v>116</v>
      </c>
      <c r="B11" s="45">
        <v>100156694.4352791</v>
      </c>
      <c r="C11" s="19">
        <v>1277302115.3381491</v>
      </c>
      <c r="D11" s="19">
        <v>1177145420.9028702</v>
      </c>
      <c r="E11">
        <v>25.602599999999999</v>
      </c>
      <c r="F11" s="62">
        <v>11.753037852737213</v>
      </c>
      <c r="G11"/>
      <c r="H11" s="106" t="s">
        <v>5796</v>
      </c>
      <c r="I11" s="106"/>
    </row>
    <row r="12" spans="1:9" x14ac:dyDescent="0.25">
      <c r="A12" s="61" t="s">
        <v>972</v>
      </c>
      <c r="B12" s="45">
        <v>306791467.69764793</v>
      </c>
      <c r="C12" s="19">
        <v>3888917723.732584</v>
      </c>
      <c r="D12" s="19">
        <v>3582126256.0349364</v>
      </c>
      <c r="E12">
        <v>24.637390000000003</v>
      </c>
      <c r="F12" s="62">
        <v>11.676094784895476</v>
      </c>
      <c r="G12"/>
      <c r="H12" s="82" t="s">
        <v>2944</v>
      </c>
      <c r="I12" s="82" t="s">
        <v>5791</v>
      </c>
    </row>
    <row r="13" spans="1:9" x14ac:dyDescent="0.25">
      <c r="A13" s="61" t="s">
        <v>2489</v>
      </c>
      <c r="B13" s="45">
        <v>206974799.8797026</v>
      </c>
      <c r="C13" s="19">
        <v>2583966796.8830824</v>
      </c>
      <c r="D13" s="19">
        <v>2376991997.0033798</v>
      </c>
      <c r="E13">
        <v>48.698999999999991</v>
      </c>
      <c r="F13" s="62">
        <v>11.48445123940175</v>
      </c>
      <c r="G13"/>
      <c r="H13" s="82" t="str" cm="1">
        <f t="array" ref="H13:H17">A102:A106</f>
        <v>Farm Products</v>
      </c>
      <c r="I13" s="82" cm="1">
        <f t="array" ref="I13:I17">F102:F106</f>
        <v>-0.78490887032732071</v>
      </c>
    </row>
    <row r="14" spans="1:9" x14ac:dyDescent="0.25">
      <c r="A14" s="61" t="s">
        <v>1375</v>
      </c>
      <c r="B14" s="45">
        <v>66138049.379778542</v>
      </c>
      <c r="C14" s="19">
        <v>808604560.16221786</v>
      </c>
      <c r="D14" s="19">
        <v>742466510.78243947</v>
      </c>
      <c r="E14">
        <v>12.552099999999999</v>
      </c>
      <c r="F14" s="62">
        <v>11.226011618804193</v>
      </c>
      <c r="G14"/>
      <c r="H14" s="82" t="str">
        <v>Real Estate - General</v>
      </c>
      <c r="I14" s="82">
        <v>-0.79432043940633401</v>
      </c>
    </row>
    <row r="15" spans="1:9" x14ac:dyDescent="0.25">
      <c r="A15" s="61" t="s">
        <v>874</v>
      </c>
      <c r="B15" s="45">
        <v>207394469.55485946</v>
      </c>
      <c r="C15" s="19">
        <v>2375166632.2982035</v>
      </c>
      <c r="D15" s="19">
        <v>2167772162.7433443</v>
      </c>
      <c r="E15">
        <v>9.8771428571428572</v>
      </c>
      <c r="F15" s="62">
        <v>10.452410652010807</v>
      </c>
      <c r="G15"/>
      <c r="H15" s="82" t="str">
        <v>Industrial Metals &amp; Minerals</v>
      </c>
      <c r="I15" s="82">
        <v>-0.84775878314712616</v>
      </c>
    </row>
    <row r="16" spans="1:9" x14ac:dyDescent="0.25">
      <c r="A16" s="61" t="s">
        <v>7</v>
      </c>
      <c r="B16" s="45">
        <v>105739485.20939395</v>
      </c>
      <c r="C16" s="19">
        <v>981877375.83481145</v>
      </c>
      <c r="D16" s="19">
        <v>876137890.62541747</v>
      </c>
      <c r="E16">
        <v>34.572225000000003</v>
      </c>
      <c r="F16" s="62">
        <v>8.2858157375214923</v>
      </c>
      <c r="G16"/>
      <c r="H16" s="82" t="str">
        <v>REIT - Hotel &amp; Motel</v>
      </c>
      <c r="I16" s="82">
        <v>-0.88936731163677274</v>
      </c>
    </row>
    <row r="17" spans="1:9" x14ac:dyDescent="0.25">
      <c r="A17" s="61" t="s">
        <v>1268</v>
      </c>
      <c r="B17" s="45">
        <v>35896783.111934066</v>
      </c>
      <c r="C17" s="19">
        <v>213304522.6156753</v>
      </c>
      <c r="D17" s="19">
        <v>177407739.50374123</v>
      </c>
      <c r="E17">
        <v>10.5707</v>
      </c>
      <c r="F17" s="62">
        <v>4.9421626152556586</v>
      </c>
      <c r="G17"/>
      <c r="H17" s="82" t="str">
        <v>REIT - Office</v>
      </c>
      <c r="I17" s="82">
        <v>-0.94169107639859007</v>
      </c>
    </row>
    <row r="18" spans="1:9" x14ac:dyDescent="0.25">
      <c r="A18" s="61" t="s">
        <v>1090</v>
      </c>
      <c r="B18" s="45">
        <v>71593090.813349724</v>
      </c>
      <c r="C18" s="19">
        <v>419396659.36997235</v>
      </c>
      <c r="D18" s="19">
        <v>347803568.55662262</v>
      </c>
      <c r="E18">
        <v>9.1030499999999996</v>
      </c>
      <c r="F18" s="62">
        <v>4.8580605279828042</v>
      </c>
      <c r="G18"/>
    </row>
    <row r="19" spans="1:9" x14ac:dyDescent="0.25">
      <c r="A19" s="61" t="s">
        <v>1220</v>
      </c>
      <c r="B19" s="45">
        <v>26442784.80539535</v>
      </c>
      <c r="C19" s="19">
        <v>150503624.18462962</v>
      </c>
      <c r="D19" s="19">
        <v>124060839.37923427</v>
      </c>
      <c r="E19">
        <v>20.584399999999999</v>
      </c>
      <c r="F19" s="62">
        <v>4.6916707257671693</v>
      </c>
      <c r="G19"/>
      <c r="H19" s="103" t="s">
        <v>5795</v>
      </c>
      <c r="I19" s="103"/>
    </row>
    <row r="20" spans="1:9" x14ac:dyDescent="0.25">
      <c r="A20" s="61" t="s">
        <v>2275</v>
      </c>
      <c r="B20" s="45">
        <v>92749655.58350417</v>
      </c>
      <c r="C20" s="19">
        <v>487542560.74517572</v>
      </c>
      <c r="D20" s="19">
        <v>394792905.16167158</v>
      </c>
      <c r="E20">
        <v>20.680900000000001</v>
      </c>
      <c r="F20" s="62">
        <v>4.2565430855560686</v>
      </c>
      <c r="G20"/>
      <c r="H20" s="81" t="s">
        <v>2944</v>
      </c>
      <c r="I20" s="81" t="s">
        <v>5794</v>
      </c>
    </row>
    <row r="21" spans="1:9" x14ac:dyDescent="0.25">
      <c r="A21" s="61" t="s">
        <v>961</v>
      </c>
      <c r="B21" s="45">
        <v>55154107.150864251</v>
      </c>
      <c r="C21" s="19">
        <v>280864300.25291383</v>
      </c>
      <c r="D21" s="19">
        <v>225710193.10204962</v>
      </c>
      <c r="E21">
        <v>36.717599999999997</v>
      </c>
      <c r="F21" s="62">
        <v>4.0923551256964323</v>
      </c>
      <c r="G21"/>
      <c r="H21" s="81" t="str" cm="1">
        <f t="array" ref="H21:H25">A111:A115</f>
        <v>Specialty Retail</v>
      </c>
      <c r="I21" s="85" cm="1">
        <f t="array" ref="I21:I25">C111:C115</f>
        <v>3994122865.2981176</v>
      </c>
    </row>
    <row r="22" spans="1:9" x14ac:dyDescent="0.25">
      <c r="A22" s="61" t="s">
        <v>1392</v>
      </c>
      <c r="B22" s="45">
        <v>154199042.33588353</v>
      </c>
      <c r="C22" s="19">
        <v>751851005.58829808</v>
      </c>
      <c r="D22" s="19">
        <v>597651963.2524147</v>
      </c>
      <c r="E22">
        <v>6.9422600000000001</v>
      </c>
      <c r="F22" s="62">
        <v>3.8758474384722912</v>
      </c>
      <c r="G22"/>
      <c r="H22" s="81" t="str">
        <v>Diversified Industrials</v>
      </c>
      <c r="I22" s="85">
        <v>3888917723.732584</v>
      </c>
    </row>
    <row r="23" spans="1:9" x14ac:dyDescent="0.25">
      <c r="A23" s="61" t="s">
        <v>1833</v>
      </c>
      <c r="B23" s="45">
        <v>18476525.071648777</v>
      </c>
      <c r="C23" s="19">
        <v>89825657.337492496</v>
      </c>
      <c r="D23" s="19">
        <v>71349132.265843719</v>
      </c>
      <c r="E23">
        <v>16.2376</v>
      </c>
      <c r="F23" s="62">
        <v>3.8616099071207435</v>
      </c>
      <c r="G23"/>
      <c r="H23" s="81" t="str">
        <v>Insurance Brokers</v>
      </c>
      <c r="I23" s="85">
        <v>3312096073.8402658</v>
      </c>
    </row>
    <row r="24" spans="1:9" x14ac:dyDescent="0.25">
      <c r="A24" s="61" t="s">
        <v>1239</v>
      </c>
      <c r="B24" s="45">
        <v>89499843.665631682</v>
      </c>
      <c r="C24" s="19">
        <v>427943590.49571556</v>
      </c>
      <c r="D24" s="19">
        <v>338443746.83008385</v>
      </c>
      <c r="E24">
        <v>18.095866666666666</v>
      </c>
      <c r="F24" s="62">
        <v>3.7815009833368869</v>
      </c>
      <c r="G24"/>
      <c r="H24" s="81" t="str">
        <v>Software - Application</v>
      </c>
      <c r="I24" s="85">
        <v>2583966796.8830824</v>
      </c>
    </row>
    <row r="25" spans="1:9" x14ac:dyDescent="0.25">
      <c r="A25" s="61" t="s">
        <v>916</v>
      </c>
      <c r="B25" s="45">
        <v>215730026.09745646</v>
      </c>
      <c r="C25" s="19">
        <v>967990933.53450775</v>
      </c>
      <c r="D25" s="19">
        <v>752260907.4370513</v>
      </c>
      <c r="E25">
        <v>27.603471428571432</v>
      </c>
      <c r="F25" s="62">
        <v>3.4870477746904642</v>
      </c>
      <c r="G25"/>
      <c r="H25" s="81" t="str">
        <v>Software - Infrastructure</v>
      </c>
      <c r="I25" s="85">
        <v>2441156026.044322</v>
      </c>
    </row>
    <row r="26" spans="1:9" x14ac:dyDescent="0.25">
      <c r="A26" s="61" t="s">
        <v>2320</v>
      </c>
      <c r="B26" s="45">
        <v>36941365.514107287</v>
      </c>
      <c r="C26" s="19">
        <v>165188964.76896524</v>
      </c>
      <c r="D26" s="19">
        <v>128247599.25485796</v>
      </c>
      <c r="E26">
        <v>18.262599999999999</v>
      </c>
      <c r="F26" s="62">
        <v>3.4716529145594888</v>
      </c>
      <c r="G26"/>
    </row>
    <row r="27" spans="1:9" x14ac:dyDescent="0.25">
      <c r="A27" s="61" t="s">
        <v>2932</v>
      </c>
      <c r="B27" s="45">
        <v>71763045.503475696</v>
      </c>
      <c r="C27" s="19">
        <v>315368426.37670845</v>
      </c>
      <c r="D27" s="19">
        <v>243605380.87323272</v>
      </c>
      <c r="E27">
        <v>10.776033333333332</v>
      </c>
      <c r="F27" s="62">
        <v>3.394579747335754</v>
      </c>
      <c r="G27"/>
      <c r="H27" s="103" t="s">
        <v>5796</v>
      </c>
      <c r="I27" s="103"/>
    </row>
    <row r="28" spans="1:9" x14ac:dyDescent="0.25">
      <c r="A28" s="61" t="s">
        <v>661</v>
      </c>
      <c r="B28" s="45">
        <v>54658194.293266773</v>
      </c>
      <c r="C28" s="19">
        <v>225277739.14381564</v>
      </c>
      <c r="D28" s="19">
        <v>170619544.85054886</v>
      </c>
      <c r="E28">
        <v>10.569000000000001</v>
      </c>
      <c r="F28" s="62">
        <v>3.1215730240756807</v>
      </c>
      <c r="G28"/>
      <c r="H28" s="81" t="s">
        <v>2944</v>
      </c>
      <c r="I28" s="81" t="s">
        <v>5794</v>
      </c>
    </row>
    <row r="29" spans="1:9" x14ac:dyDescent="0.25">
      <c r="A29" s="61" t="s">
        <v>1363</v>
      </c>
      <c r="B29" s="45">
        <v>35854577.762351304</v>
      </c>
      <c r="C29" s="19">
        <v>143677657.00066993</v>
      </c>
      <c r="D29" s="19">
        <v>107823079.23831862</v>
      </c>
      <c r="E29">
        <v>5.0087000000000002</v>
      </c>
      <c r="F29" s="62">
        <v>3.0072332730560567</v>
      </c>
      <c r="G29"/>
      <c r="H29" s="81" t="str" cm="1">
        <f t="array" ref="H29:H33">A209:A213</f>
        <v>REIT - Hotel &amp; Motel</v>
      </c>
      <c r="I29" s="86" cm="1">
        <f t="array" ref="I29:I33">C209:C213</f>
        <v>8634937.6719240546</v>
      </c>
    </row>
    <row r="30" spans="1:9" x14ac:dyDescent="0.25">
      <c r="A30" s="61" t="s">
        <v>2633</v>
      </c>
      <c r="B30" s="45">
        <v>131505851.12966979</v>
      </c>
      <c r="C30" s="19">
        <v>513616809.867746</v>
      </c>
      <c r="D30" s="19">
        <v>382110958.73807621</v>
      </c>
      <c r="E30">
        <v>25.098049999999997</v>
      </c>
      <c r="F30" s="62">
        <v>2.9056574704139986</v>
      </c>
      <c r="G30"/>
      <c r="H30" s="81" t="str">
        <v>Real Estate - General</v>
      </c>
      <c r="I30" s="86">
        <v>7619785.7710638009</v>
      </c>
    </row>
    <row r="31" spans="1:9" x14ac:dyDescent="0.25">
      <c r="A31" s="61" t="s">
        <v>1513</v>
      </c>
      <c r="B31" s="45">
        <v>48432905.22980921</v>
      </c>
      <c r="C31" s="19">
        <v>188826888.05989859</v>
      </c>
      <c r="D31" s="19">
        <v>140393982.83008939</v>
      </c>
      <c r="E31">
        <v>22.62575</v>
      </c>
      <c r="F31" s="62">
        <v>2.8987313927160514</v>
      </c>
      <c r="G31"/>
      <c r="H31" s="81" t="str">
        <v>Industrial Metals &amp; Minerals</v>
      </c>
      <c r="I31" s="86">
        <v>5832823.7358653229</v>
      </c>
    </row>
    <row r="32" spans="1:9" x14ac:dyDescent="0.25">
      <c r="A32" s="61" t="s">
        <v>1741</v>
      </c>
      <c r="B32" s="45">
        <v>225026887.63485399</v>
      </c>
      <c r="C32" s="19">
        <v>836745078.7371335</v>
      </c>
      <c r="D32" s="19">
        <v>611718191.10227942</v>
      </c>
      <c r="E32">
        <v>48.577212500000002</v>
      </c>
      <c r="F32" s="62">
        <v>2.7184226628726287</v>
      </c>
      <c r="G32"/>
      <c r="H32" s="81" t="str">
        <v>Steel</v>
      </c>
      <c r="I32" s="86">
        <v>5772230.8676881287</v>
      </c>
    </row>
    <row r="33" spans="1:9" x14ac:dyDescent="0.25">
      <c r="A33" s="61" t="s">
        <v>1472</v>
      </c>
      <c r="B33" s="45">
        <v>101264584.86182696</v>
      </c>
      <c r="C33" s="19">
        <v>372628214.1812337</v>
      </c>
      <c r="D33" s="19">
        <v>271363629.31940675</v>
      </c>
      <c r="E33">
        <v>5.3921333333333337</v>
      </c>
      <c r="F33" s="62">
        <v>2.679748598087631</v>
      </c>
      <c r="G33"/>
      <c r="H33" s="81" t="str">
        <v>REIT - Office</v>
      </c>
      <c r="I33" s="86">
        <v>3066473.9985218891</v>
      </c>
    </row>
    <row r="34" spans="1:9" x14ac:dyDescent="0.25">
      <c r="A34" s="61" t="s">
        <v>2015</v>
      </c>
      <c r="B34" s="45">
        <v>134224227.35404721</v>
      </c>
      <c r="C34" s="19">
        <v>488086189.22417152</v>
      </c>
      <c r="D34" s="19">
        <v>353861961.87012434</v>
      </c>
      <c r="E34">
        <v>52.219124999999998</v>
      </c>
      <c r="F34" s="62">
        <v>2.6363494046177833</v>
      </c>
      <c r="G34"/>
    </row>
    <row r="35" spans="1:9" x14ac:dyDescent="0.25">
      <c r="A35" s="61" t="s">
        <v>1173</v>
      </c>
      <c r="B35" s="45">
        <v>132202239.39778545</v>
      </c>
      <c r="C35" s="19">
        <v>476887217.09233052</v>
      </c>
      <c r="D35" s="19">
        <v>344684977.69454509</v>
      </c>
      <c r="E35">
        <v>24.152050000000003</v>
      </c>
      <c r="F35" s="62">
        <v>2.6072552118986185</v>
      </c>
      <c r="G35"/>
    </row>
    <row r="36" spans="1:9" x14ac:dyDescent="0.25">
      <c r="A36" s="61" t="s">
        <v>2669</v>
      </c>
      <c r="B36" s="45">
        <v>22042877.111392219</v>
      </c>
      <c r="C36" s="19">
        <v>79405258.407683566</v>
      </c>
      <c r="D36" s="19">
        <v>57362381.296291351</v>
      </c>
      <c r="E36">
        <v>8.2669999999999995</v>
      </c>
      <c r="F36" s="62">
        <v>2.6023091725465037</v>
      </c>
      <c r="G36"/>
    </row>
    <row r="37" spans="1:9" x14ac:dyDescent="0.25">
      <c r="A37" s="61" t="s">
        <v>1715</v>
      </c>
      <c r="B37" s="45">
        <v>50754199.456861235</v>
      </c>
      <c r="C37" s="19">
        <v>170185275.73079967</v>
      </c>
      <c r="D37" s="19">
        <v>119431076.27393845</v>
      </c>
      <c r="E37">
        <v>30.115699999999997</v>
      </c>
      <c r="F37" s="62">
        <v>2.3531269836193442</v>
      </c>
      <c r="G37"/>
    </row>
    <row r="38" spans="1:9" x14ac:dyDescent="0.25">
      <c r="A38" s="61" t="s">
        <v>42</v>
      </c>
      <c r="B38" s="45">
        <v>81954504.13591671</v>
      </c>
      <c r="C38" s="19">
        <v>274601856.18025285</v>
      </c>
      <c r="D38" s="19">
        <v>192647352.0443362</v>
      </c>
      <c r="E38">
        <v>23.040900000000001</v>
      </c>
      <c r="F38" s="62">
        <v>2.3506621640323986</v>
      </c>
      <c r="G38"/>
    </row>
    <row r="39" spans="1:9" x14ac:dyDescent="0.25">
      <c r="A39" s="61" t="s">
        <v>744</v>
      </c>
      <c r="B39" s="45">
        <v>32034993.625111554</v>
      </c>
      <c r="C39" s="19">
        <v>104549807.72886537</v>
      </c>
      <c r="D39" s="19">
        <v>72514814.10375382</v>
      </c>
      <c r="E39">
        <v>31.6782</v>
      </c>
      <c r="F39" s="62">
        <v>2.2636125654450261</v>
      </c>
      <c r="G39"/>
    </row>
    <row r="40" spans="1:9" x14ac:dyDescent="0.25">
      <c r="A40" s="61" t="s">
        <v>2421</v>
      </c>
      <c r="B40" s="45">
        <v>150003478.8761113</v>
      </c>
      <c r="C40" s="19">
        <v>469508939.47173744</v>
      </c>
      <c r="D40" s="19">
        <v>319505460.59562618</v>
      </c>
      <c r="E40">
        <v>50.118079999999999</v>
      </c>
      <c r="F40" s="62">
        <v>2.1299870042314648</v>
      </c>
      <c r="G40"/>
    </row>
    <row r="41" spans="1:9" x14ac:dyDescent="0.25">
      <c r="A41" s="61" t="s">
        <v>1606</v>
      </c>
      <c r="B41" s="45">
        <v>125101189.33048613</v>
      </c>
      <c r="C41" s="19">
        <v>389693577.996409</v>
      </c>
      <c r="D41" s="19">
        <v>264592388.66592285</v>
      </c>
      <c r="E41">
        <v>25.457750000000001</v>
      </c>
      <c r="F41" s="62">
        <v>2.1150269640277823</v>
      </c>
      <c r="G41"/>
    </row>
    <row r="42" spans="1:9" x14ac:dyDescent="0.25">
      <c r="A42" s="61" t="s">
        <v>1292</v>
      </c>
      <c r="B42" s="45">
        <v>204427277.16307926</v>
      </c>
      <c r="C42" s="19">
        <v>627702410.83524108</v>
      </c>
      <c r="D42" s="19">
        <v>423275133.67216188</v>
      </c>
      <c r="E42">
        <v>26.004539999999999</v>
      </c>
      <c r="F42" s="62">
        <v>2.0705413658398406</v>
      </c>
      <c r="G42"/>
    </row>
    <row r="43" spans="1:9" x14ac:dyDescent="0.25">
      <c r="A43" s="61" t="s">
        <v>2397</v>
      </c>
      <c r="B43" s="45">
        <v>64882440.229690582</v>
      </c>
      <c r="C43" s="19">
        <v>190891352.46637595</v>
      </c>
      <c r="D43" s="19">
        <v>126008912.23668537</v>
      </c>
      <c r="E43">
        <v>26.994299999999999</v>
      </c>
      <c r="F43" s="62">
        <v>1.942111175082206</v>
      </c>
      <c r="G43"/>
    </row>
    <row r="44" spans="1:9" x14ac:dyDescent="0.25">
      <c r="A44" s="61" t="s">
        <v>871</v>
      </c>
      <c r="B44" s="45">
        <v>34746687.335803963</v>
      </c>
      <c r="C44" s="19">
        <v>101483254.92106766</v>
      </c>
      <c r="D44" s="19">
        <v>66736567.585263692</v>
      </c>
      <c r="E44">
        <v>28.452400000000001</v>
      </c>
      <c r="F44" s="62">
        <v>1.9206598586017281</v>
      </c>
      <c r="G44"/>
    </row>
    <row r="45" spans="1:9" x14ac:dyDescent="0.25">
      <c r="A45" s="61" t="s">
        <v>1451</v>
      </c>
      <c r="B45" s="45">
        <v>16957132.486669313</v>
      </c>
      <c r="C45" s="19">
        <v>46166359.406834722</v>
      </c>
      <c r="D45" s="19">
        <v>29209226.920165408</v>
      </c>
      <c r="E45">
        <v>50.531799999999997</v>
      </c>
      <c r="F45" s="62">
        <v>1.7225333907798364</v>
      </c>
      <c r="G45"/>
    </row>
    <row r="46" spans="1:9" x14ac:dyDescent="0.25">
      <c r="A46" s="61" t="s">
        <v>859</v>
      </c>
      <c r="B46" s="45">
        <v>24248106.627091628</v>
      </c>
      <c r="C46" s="19">
        <v>64063599.901686244</v>
      </c>
      <c r="D46" s="19">
        <v>39815493.27459462</v>
      </c>
      <c r="E46">
        <v>25.037800000000001</v>
      </c>
      <c r="F46" s="62">
        <v>1.6420042144696796</v>
      </c>
      <c r="G46"/>
    </row>
    <row r="47" spans="1:9" x14ac:dyDescent="0.25">
      <c r="A47" s="61" t="s">
        <v>2740</v>
      </c>
      <c r="B47" s="45">
        <v>38038704.603258945</v>
      </c>
      <c r="C47" s="19">
        <v>96741291.970318332</v>
      </c>
      <c r="D47" s="19">
        <v>58702587.367059387</v>
      </c>
      <c r="E47">
        <v>17.465900000000001</v>
      </c>
      <c r="F47" s="62">
        <v>1.5432330827067668</v>
      </c>
      <c r="G47"/>
    </row>
    <row r="48" spans="1:9" x14ac:dyDescent="0.25">
      <c r="A48" s="61" t="s">
        <v>1949</v>
      </c>
      <c r="B48" s="45">
        <v>20903332.672657594</v>
      </c>
      <c r="C48" s="19">
        <v>52905580.80855719</v>
      </c>
      <c r="D48" s="19">
        <v>32002248.135899596</v>
      </c>
      <c r="E48">
        <v>26.5076</v>
      </c>
      <c r="F48" s="62">
        <v>1.5309639203015619</v>
      </c>
      <c r="G48"/>
    </row>
    <row r="49" spans="1:7" x14ac:dyDescent="0.25">
      <c r="A49" s="61" t="s">
        <v>151</v>
      </c>
      <c r="B49" s="45">
        <v>53275969.094431266</v>
      </c>
      <c r="C49" s="19">
        <v>130973377.83808181</v>
      </c>
      <c r="D49" s="19">
        <v>77697408.743650541</v>
      </c>
      <c r="E49">
        <v>24.342300000000002</v>
      </c>
      <c r="F49" s="62">
        <v>1.4583950337145899</v>
      </c>
      <c r="G49"/>
    </row>
    <row r="50" spans="1:7" x14ac:dyDescent="0.25">
      <c r="A50" s="61" t="s">
        <v>2874</v>
      </c>
      <c r="B50" s="45">
        <v>193825449.6640023</v>
      </c>
      <c r="C50" s="19">
        <v>462250723.75076109</v>
      </c>
      <c r="D50" s="19">
        <v>268425274.08675873</v>
      </c>
      <c r="E50">
        <v>18.761742857142856</v>
      </c>
      <c r="F50" s="62">
        <v>1.3848814722322367</v>
      </c>
      <c r="G50"/>
    </row>
    <row r="51" spans="1:7" x14ac:dyDescent="0.25">
      <c r="A51" s="61" t="s">
        <v>2919</v>
      </c>
      <c r="B51" s="45">
        <v>99470857.504557997</v>
      </c>
      <c r="C51" s="19">
        <v>207429780.02288356</v>
      </c>
      <c r="D51" s="19">
        <v>107958922.51832557</v>
      </c>
      <c r="E51">
        <v>21.736666666666665</v>
      </c>
      <c r="F51" s="62">
        <v>1.0853321789588335</v>
      </c>
      <c r="G51"/>
    </row>
    <row r="52" spans="1:7" x14ac:dyDescent="0.25">
      <c r="A52" s="61" t="s">
        <v>2182</v>
      </c>
      <c r="B52" s="45">
        <v>94311253.518065557</v>
      </c>
      <c r="C52" s="19">
        <v>191094111.98209879</v>
      </c>
      <c r="D52" s="19">
        <v>96782858.464033246</v>
      </c>
      <c r="E52">
        <v>62.315533333333327</v>
      </c>
      <c r="F52" s="62">
        <v>1.026206893173085</v>
      </c>
      <c r="G52"/>
    </row>
    <row r="53" spans="1:7" x14ac:dyDescent="0.25">
      <c r="A53" s="61" t="s">
        <v>2365</v>
      </c>
      <c r="B53" s="45">
        <v>82810295.756762862</v>
      </c>
      <c r="C53" s="19">
        <v>164794546.56215256</v>
      </c>
      <c r="D53" s="19">
        <v>81984250.805389717</v>
      </c>
      <c r="E53">
        <v>29.0746</v>
      </c>
      <c r="F53" s="62">
        <v>0.99002485205704993</v>
      </c>
      <c r="G53"/>
    </row>
    <row r="54" spans="1:7" x14ac:dyDescent="0.25">
      <c r="A54" s="61" t="s">
        <v>203</v>
      </c>
      <c r="B54" s="45">
        <v>893023968.79735434</v>
      </c>
      <c r="C54" s="19">
        <v>1759447311.4760053</v>
      </c>
      <c r="D54" s="19">
        <v>866423342.67865121</v>
      </c>
      <c r="E54">
        <v>13.063600000000001</v>
      </c>
      <c r="F54" s="62">
        <v>0.97021286432599707</v>
      </c>
      <c r="G54"/>
    </row>
    <row r="55" spans="1:7" x14ac:dyDescent="0.25">
      <c r="A55" s="61" t="s">
        <v>776</v>
      </c>
      <c r="B55" s="45">
        <v>160280481.49951315</v>
      </c>
      <c r="C55" s="19">
        <v>306806133.53032112</v>
      </c>
      <c r="D55" s="19">
        <v>146525652.030808</v>
      </c>
      <c r="E55">
        <v>16.322880000000001</v>
      </c>
      <c r="F55" s="62">
        <v>0.91418275425665629</v>
      </c>
      <c r="G55"/>
    </row>
    <row r="56" spans="1:7" x14ac:dyDescent="0.25">
      <c r="A56" s="61" t="s">
        <v>1966</v>
      </c>
      <c r="B56" s="45">
        <v>53001634.322143301</v>
      </c>
      <c r="C56" s="19">
        <v>100473030.379987</v>
      </c>
      <c r="D56" s="19">
        <v>47471396.0578437</v>
      </c>
      <c r="E56">
        <v>13.837</v>
      </c>
      <c r="F56" s="62">
        <v>0.89565909928952603</v>
      </c>
      <c r="G56"/>
    </row>
    <row r="57" spans="1:7" x14ac:dyDescent="0.25">
      <c r="A57" s="61" t="s">
        <v>675</v>
      </c>
      <c r="B57" s="45">
        <v>274196119.89876986</v>
      </c>
      <c r="C57" s="19">
        <v>517126195.30903304</v>
      </c>
      <c r="D57" s="19">
        <v>242930075.41026318</v>
      </c>
      <c r="E57">
        <v>28.801449999999999</v>
      </c>
      <c r="F57" s="62">
        <v>0.88597196597803884</v>
      </c>
      <c r="G57"/>
    </row>
    <row r="58" spans="1:7" x14ac:dyDescent="0.25">
      <c r="A58" s="61" t="s">
        <v>1580</v>
      </c>
      <c r="B58" s="45">
        <v>68955256.464426979</v>
      </c>
      <c r="C58" s="19">
        <v>128942112.090654</v>
      </c>
      <c r="D58" s="19">
        <v>59986855.626227014</v>
      </c>
      <c r="E58">
        <v>17.8583</v>
      </c>
      <c r="F58" s="62">
        <v>0.86993883718166398</v>
      </c>
      <c r="G58"/>
    </row>
    <row r="59" spans="1:7" x14ac:dyDescent="0.25">
      <c r="A59" s="61" t="s">
        <v>1338</v>
      </c>
      <c r="B59" s="45">
        <v>103480365.71492128</v>
      </c>
      <c r="C59" s="19">
        <v>184992780.63638344</v>
      </c>
      <c r="D59" s="19">
        <v>81512414.921462163</v>
      </c>
      <c r="E59">
        <v>33.266233333333332</v>
      </c>
      <c r="F59" s="62">
        <v>0.78770899540518857</v>
      </c>
      <c r="G59"/>
    </row>
    <row r="60" spans="1:7" x14ac:dyDescent="0.25">
      <c r="A60" s="61" t="s">
        <v>2839</v>
      </c>
      <c r="B60" s="45">
        <v>43472643.362038806</v>
      </c>
      <c r="C60" s="19">
        <v>76121162.191673711</v>
      </c>
      <c r="D60" s="19">
        <v>32648518.829634905</v>
      </c>
      <c r="E60">
        <v>11.667199999999999</v>
      </c>
      <c r="F60" s="62">
        <v>0.75101296596434375</v>
      </c>
      <c r="G60"/>
    </row>
    <row r="61" spans="1:7" x14ac:dyDescent="0.25">
      <c r="A61" s="61" t="s">
        <v>1106</v>
      </c>
      <c r="B61" s="45">
        <v>146509852.90634143</v>
      </c>
      <c r="C61" s="19">
        <v>252854486.37322938</v>
      </c>
      <c r="D61" s="19">
        <v>106344633.46688795</v>
      </c>
      <c r="E61">
        <v>40.110225</v>
      </c>
      <c r="F61" s="62">
        <v>0.72585311743415859</v>
      </c>
      <c r="G61"/>
    </row>
    <row r="62" spans="1:7" x14ac:dyDescent="0.25">
      <c r="A62" s="61" t="s">
        <v>1142</v>
      </c>
      <c r="B62" s="45">
        <v>20576241.213391189</v>
      </c>
      <c r="C62" s="19">
        <v>34390306.514413498</v>
      </c>
      <c r="D62" s="19">
        <v>13814065.30102231</v>
      </c>
      <c r="E62">
        <v>14.6967</v>
      </c>
      <c r="F62" s="62">
        <v>0.67136000000000007</v>
      </c>
      <c r="G62"/>
    </row>
    <row r="63" spans="1:7" x14ac:dyDescent="0.25">
      <c r="A63" s="61" t="s">
        <v>1840</v>
      </c>
      <c r="B63" s="45">
        <v>36033950.498078026</v>
      </c>
      <c r="C63" s="19">
        <v>59040399.752329782</v>
      </c>
      <c r="D63" s="19">
        <v>23006449.254251756</v>
      </c>
      <c r="E63">
        <v>42.685400000000001</v>
      </c>
      <c r="F63" s="62">
        <v>0.63846591717660461</v>
      </c>
      <c r="G63"/>
    </row>
    <row r="64" spans="1:7" x14ac:dyDescent="0.25">
      <c r="A64" s="61" t="s">
        <v>2852</v>
      </c>
      <c r="B64" s="45">
        <v>195948300.58995879</v>
      </c>
      <c r="C64" s="19">
        <v>313178490.75480866</v>
      </c>
      <c r="D64" s="19">
        <v>117230190.16484988</v>
      </c>
      <c r="E64">
        <v>19.480699999999999</v>
      </c>
      <c r="F64" s="62">
        <v>0.59827102257021181</v>
      </c>
      <c r="G64"/>
    </row>
    <row r="65" spans="1:7" x14ac:dyDescent="0.25">
      <c r="A65" s="61" t="s">
        <v>2214</v>
      </c>
      <c r="B65" s="45">
        <v>100926942.06516469</v>
      </c>
      <c r="C65" s="19">
        <v>158350202.41999841</v>
      </c>
      <c r="D65" s="19">
        <v>57423260.3548337</v>
      </c>
      <c r="E65">
        <v>29.837666666666667</v>
      </c>
      <c r="F65" s="62">
        <v>0.56895868615297696</v>
      </c>
      <c r="G65"/>
    </row>
    <row r="66" spans="1:7" x14ac:dyDescent="0.25">
      <c r="A66" s="61" t="s">
        <v>72</v>
      </c>
      <c r="B66" s="45">
        <v>55270171.86221686</v>
      </c>
      <c r="C66" s="19">
        <v>84460054.428553581</v>
      </c>
      <c r="D66" s="19">
        <v>29189882.566336717</v>
      </c>
      <c r="E66">
        <v>16.013349999999999</v>
      </c>
      <c r="F66" s="62">
        <v>0.52813084495384321</v>
      </c>
      <c r="G66"/>
    </row>
    <row r="67" spans="1:7" x14ac:dyDescent="0.25">
      <c r="A67" s="61" t="s">
        <v>800</v>
      </c>
      <c r="B67" s="45">
        <v>87537294.910033315</v>
      </c>
      <c r="C67" s="19">
        <v>132131541.26245534</v>
      </c>
      <c r="D67" s="19">
        <v>44594246.352422036</v>
      </c>
      <c r="E67">
        <v>48.446833333333331</v>
      </c>
      <c r="F67" s="62">
        <v>0.50943139604957954</v>
      </c>
      <c r="G67"/>
    </row>
    <row r="68" spans="1:7" x14ac:dyDescent="0.25">
      <c r="A68" s="61" t="s">
        <v>1147</v>
      </c>
      <c r="B68" s="45">
        <v>98626750.512903005</v>
      </c>
      <c r="C68" s="19">
        <v>148655264.65672457</v>
      </c>
      <c r="D68" s="19">
        <v>50028514.143821567</v>
      </c>
      <c r="E68">
        <v>11.8711</v>
      </c>
      <c r="F68" s="62">
        <v>0.50725096268153447</v>
      </c>
      <c r="G68"/>
    </row>
    <row r="69" spans="1:7" x14ac:dyDescent="0.25">
      <c r="A69" s="61" t="s">
        <v>2904</v>
      </c>
      <c r="B69" s="45">
        <v>74241476.499667808</v>
      </c>
      <c r="C69" s="19">
        <v>110286095.89744674</v>
      </c>
      <c r="D69" s="19">
        <v>36044619.397778921</v>
      </c>
      <c r="E69">
        <v>12.5892</v>
      </c>
      <c r="F69" s="62">
        <v>0.48550515287691254</v>
      </c>
      <c r="G69"/>
    </row>
    <row r="70" spans="1:7" x14ac:dyDescent="0.25">
      <c r="A70" s="61" t="s">
        <v>1208</v>
      </c>
      <c r="B70" s="45">
        <v>72289479.081465527</v>
      </c>
      <c r="C70" s="19">
        <v>107236979.77538617</v>
      </c>
      <c r="D70" s="19">
        <v>34947500.693920642</v>
      </c>
      <c r="E70">
        <v>15.174099999999999</v>
      </c>
      <c r="F70" s="62">
        <v>0.48343826982813209</v>
      </c>
      <c r="G70"/>
    </row>
    <row r="71" spans="1:7" x14ac:dyDescent="0.25">
      <c r="A71" s="61" t="s">
        <v>1573</v>
      </c>
      <c r="B71" s="45">
        <v>39906291.322295912</v>
      </c>
      <c r="C71" s="19">
        <v>57116736.548921801</v>
      </c>
      <c r="D71" s="19">
        <v>17210445.22662589</v>
      </c>
      <c r="E71">
        <v>8.2499000000000002</v>
      </c>
      <c r="F71" s="62">
        <v>0.43127147766322999</v>
      </c>
      <c r="G71"/>
    </row>
    <row r="72" spans="1:7" x14ac:dyDescent="0.25">
      <c r="A72" s="61" t="s">
        <v>1313</v>
      </c>
      <c r="B72" s="45">
        <v>28458090.247972321</v>
      </c>
      <c r="C72" s="19">
        <v>36716958.000996456</v>
      </c>
      <c r="D72" s="19">
        <v>8258867.7530241348</v>
      </c>
      <c r="E72">
        <v>37.3247</v>
      </c>
      <c r="F72" s="62">
        <v>0.29021159470153102</v>
      </c>
      <c r="G72"/>
    </row>
    <row r="73" spans="1:7" x14ac:dyDescent="0.25">
      <c r="A73" s="61" t="s">
        <v>2106</v>
      </c>
      <c r="B73" s="45">
        <v>28827387.056821506</v>
      </c>
      <c r="C73" s="19">
        <v>36797569.032167301</v>
      </c>
      <c r="D73" s="19">
        <v>7970181.9753457941</v>
      </c>
      <c r="E73">
        <v>23.409800000000001</v>
      </c>
      <c r="F73" s="62">
        <v>0.2764795144157815</v>
      </c>
      <c r="G73"/>
    </row>
    <row r="74" spans="1:7" x14ac:dyDescent="0.25">
      <c r="A74" s="61" t="s">
        <v>2257</v>
      </c>
      <c r="B74" s="45">
        <v>18571487.108209994</v>
      </c>
      <c r="C74" s="19">
        <v>23675948.959030867</v>
      </c>
      <c r="D74" s="19">
        <v>5104461.8508208729</v>
      </c>
      <c r="E74">
        <v>12.3527</v>
      </c>
      <c r="F74" s="62">
        <v>0.27485477178423245</v>
      </c>
      <c r="G74"/>
    </row>
    <row r="75" spans="1:7" x14ac:dyDescent="0.25">
      <c r="A75" s="61" t="s">
        <v>1919</v>
      </c>
      <c r="B75" s="45">
        <v>28563603.621929228</v>
      </c>
      <c r="C75" s="19">
        <v>35869968.383013353</v>
      </c>
      <c r="D75" s="19">
        <v>7306364.7610841244</v>
      </c>
      <c r="E75">
        <v>0</v>
      </c>
      <c r="F75" s="62">
        <v>0.25579282144479787</v>
      </c>
      <c r="G75"/>
    </row>
    <row r="76" spans="1:7" x14ac:dyDescent="0.25">
      <c r="A76" s="61" t="s">
        <v>1554</v>
      </c>
      <c r="B76" s="45">
        <v>19183464.677160047</v>
      </c>
      <c r="C76" s="19">
        <v>21769766.763780583</v>
      </c>
      <c r="D76" s="19">
        <v>2586302.0866205357</v>
      </c>
      <c r="E76">
        <v>30.531300000000002</v>
      </c>
      <c r="F76" s="62">
        <v>0.1348193420816107</v>
      </c>
      <c r="G76"/>
    </row>
    <row r="77" spans="1:7" x14ac:dyDescent="0.25">
      <c r="A77" s="61" t="s">
        <v>91</v>
      </c>
      <c r="B77" s="45">
        <v>69979869.483603999</v>
      </c>
      <c r="C77" s="19">
        <v>75504547.343745068</v>
      </c>
      <c r="D77" s="19">
        <v>5524677.8601410706</v>
      </c>
      <c r="E77">
        <v>6.5509000000000013</v>
      </c>
      <c r="F77" s="62">
        <v>7.8946672820467009E-2</v>
      </c>
      <c r="G77"/>
    </row>
    <row r="78" spans="1:7" x14ac:dyDescent="0.25">
      <c r="A78" s="61" t="s">
        <v>1681</v>
      </c>
      <c r="B78" s="45">
        <v>60471981.198291816</v>
      </c>
      <c r="C78" s="19">
        <v>56184235.907976352</v>
      </c>
      <c r="D78" s="19">
        <v>-4287745.290315466</v>
      </c>
      <c r="E78">
        <v>22.60605</v>
      </c>
      <c r="F78" s="62">
        <v>-7.0904660395624389E-2</v>
      </c>
      <c r="G78"/>
    </row>
    <row r="79" spans="1:7" x14ac:dyDescent="0.25">
      <c r="A79" s="61" t="s">
        <v>1901</v>
      </c>
      <c r="B79" s="45">
        <v>36573201.997052684</v>
      </c>
      <c r="C79" s="19">
        <v>33899316.675125167</v>
      </c>
      <c r="D79" s="19">
        <v>-2673885.3219275177</v>
      </c>
      <c r="E79">
        <v>19.334400000000002</v>
      </c>
      <c r="F79" s="62">
        <v>-7.3110506488958699E-2</v>
      </c>
      <c r="G79"/>
    </row>
    <row r="80" spans="1:7" x14ac:dyDescent="0.25">
      <c r="A80" s="61" t="s">
        <v>1562</v>
      </c>
      <c r="B80" s="45">
        <v>42396406.947678521</v>
      </c>
      <c r="C80" s="19">
        <v>38253651.821051791</v>
      </c>
      <c r="D80" s="19">
        <v>-4142755.12662673</v>
      </c>
      <c r="E80">
        <v>10.8873</v>
      </c>
      <c r="F80" s="62">
        <v>-9.7714769360981724E-2</v>
      </c>
      <c r="G80"/>
    </row>
    <row r="81" spans="1:7" x14ac:dyDescent="0.25">
      <c r="A81" s="61" t="s">
        <v>168</v>
      </c>
      <c r="B81" s="45">
        <v>100167245.77267393</v>
      </c>
      <c r="C81" s="19">
        <v>88223740.267613441</v>
      </c>
      <c r="D81" s="19">
        <v>-11943505.505060486</v>
      </c>
      <c r="E81">
        <v>6.3574666666666664</v>
      </c>
      <c r="F81" s="62">
        <v>-0.11923563848571681</v>
      </c>
      <c r="G81"/>
    </row>
    <row r="82" spans="1:7" x14ac:dyDescent="0.25">
      <c r="A82" s="61" t="s">
        <v>613</v>
      </c>
      <c r="B82" s="45">
        <v>58593843.141858652</v>
      </c>
      <c r="C82" s="19">
        <v>50384663.42985782</v>
      </c>
      <c r="D82" s="19">
        <v>-8209179.7120008245</v>
      </c>
      <c r="E82">
        <v>41.903950000000002</v>
      </c>
      <c r="F82" s="62">
        <v>-0.14010311104062578</v>
      </c>
      <c r="G82"/>
    </row>
    <row r="83" spans="1:7" x14ac:dyDescent="0.25">
      <c r="A83" s="61" t="s">
        <v>2767</v>
      </c>
      <c r="B83" s="45">
        <v>69841568.80566521</v>
      </c>
      <c r="C83" s="19">
        <v>59820481.275432117</v>
      </c>
      <c r="D83" s="19">
        <v>-10021087.530233089</v>
      </c>
      <c r="E83">
        <v>51.921399999999998</v>
      </c>
      <c r="F83" s="62">
        <v>-0.14348313907605453</v>
      </c>
      <c r="G83"/>
    </row>
    <row r="84" spans="1:7" x14ac:dyDescent="0.25">
      <c r="A84" s="61" t="s">
        <v>449</v>
      </c>
      <c r="B84" s="45">
        <v>294530813.64385641</v>
      </c>
      <c r="C84" s="19">
        <v>251180762.72126317</v>
      </c>
      <c r="D84" s="19">
        <v>-43350050.922593206</v>
      </c>
      <c r="E84">
        <v>15.527199999999999</v>
      </c>
      <c r="F84" s="62">
        <v>-0.14718341482263947</v>
      </c>
      <c r="G84"/>
    </row>
    <row r="85" spans="1:7" x14ac:dyDescent="0.25">
      <c r="A85" s="61" t="s">
        <v>1038</v>
      </c>
      <c r="B85" s="45">
        <v>75813625.771625668</v>
      </c>
      <c r="C85" s="19">
        <v>63681724.230088405</v>
      </c>
      <c r="D85" s="19">
        <v>-12131901.541537262</v>
      </c>
      <c r="E85">
        <v>42.422449999999998</v>
      </c>
      <c r="F85" s="62">
        <v>-0.1600227059194127</v>
      </c>
      <c r="G85"/>
    </row>
    <row r="86" spans="1:7" x14ac:dyDescent="0.25">
      <c r="A86" s="61" t="s">
        <v>50</v>
      </c>
      <c r="B86" s="45">
        <v>39220454.391576126</v>
      </c>
      <c r="C86" s="19">
        <v>32900985.149317712</v>
      </c>
      <c r="D86" s="19">
        <v>-6319469.2422584146</v>
      </c>
      <c r="E86">
        <v>0</v>
      </c>
      <c r="F86" s="62">
        <v>-0.16112687474665585</v>
      </c>
      <c r="G86"/>
    </row>
    <row r="87" spans="1:7" x14ac:dyDescent="0.25">
      <c r="A87" s="61" t="s">
        <v>2153</v>
      </c>
      <c r="B87" s="45">
        <v>110688062.44797322</v>
      </c>
      <c r="C87" s="19">
        <v>85340262.009084776</v>
      </c>
      <c r="D87" s="19">
        <v>-25347800.438888453</v>
      </c>
      <c r="E87">
        <v>34.613325000000003</v>
      </c>
      <c r="F87" s="62">
        <v>-0.22900211529859138</v>
      </c>
      <c r="G87"/>
    </row>
    <row r="88" spans="1:7" x14ac:dyDescent="0.25">
      <c r="A88" s="61" t="s">
        <v>1050</v>
      </c>
      <c r="B88" s="45">
        <v>32267123.047816757</v>
      </c>
      <c r="C88" s="19">
        <v>24334756.164774626</v>
      </c>
      <c r="D88" s="19">
        <v>-7932366.8830421306</v>
      </c>
      <c r="E88">
        <v>10.407999999999999</v>
      </c>
      <c r="F88" s="62">
        <v>-0.24583433953151415</v>
      </c>
      <c r="G88"/>
    </row>
    <row r="89" spans="1:7" x14ac:dyDescent="0.25">
      <c r="A89" s="61" t="s">
        <v>163</v>
      </c>
      <c r="B89" s="45">
        <v>45478530.759015724</v>
      </c>
      <c r="C89" s="19">
        <v>28113825.841904476</v>
      </c>
      <c r="D89" s="19">
        <v>-17364704.917111248</v>
      </c>
      <c r="E89">
        <v>3.79115</v>
      </c>
      <c r="F89" s="62">
        <v>-0.38182202958851846</v>
      </c>
      <c r="G89"/>
    </row>
    <row r="90" spans="1:7" x14ac:dyDescent="0.25">
      <c r="A90" s="61" t="s">
        <v>445</v>
      </c>
      <c r="B90" s="45">
        <v>41225208.496757045</v>
      </c>
      <c r="C90" s="19">
        <v>24044316.259394225</v>
      </c>
      <c r="D90" s="19">
        <v>-17180892.237362821</v>
      </c>
      <c r="E90">
        <v>0</v>
      </c>
      <c r="F90" s="62">
        <v>-0.41675695196821977</v>
      </c>
      <c r="G90"/>
    </row>
    <row r="91" spans="1:7" x14ac:dyDescent="0.25">
      <c r="A91" s="61" t="s">
        <v>1199</v>
      </c>
      <c r="B91" s="45">
        <v>40054010.045835555</v>
      </c>
      <c r="C91" s="19">
        <v>19383848.422817715</v>
      </c>
      <c r="D91" s="19">
        <v>-20670161.62301784</v>
      </c>
      <c r="E91">
        <v>13.710800000000001</v>
      </c>
      <c r="F91" s="62">
        <v>-0.51605723370429257</v>
      </c>
      <c r="G91"/>
    </row>
    <row r="92" spans="1:7" x14ac:dyDescent="0.25">
      <c r="A92" s="61" t="s">
        <v>1485</v>
      </c>
      <c r="B92" s="45">
        <v>43525400.049017258</v>
      </c>
      <c r="C92" s="19">
        <v>20013335.042674188</v>
      </c>
      <c r="D92" s="19">
        <v>-23512065.00634307</v>
      </c>
      <c r="E92">
        <v>26.848400000000002</v>
      </c>
      <c r="F92" s="62">
        <v>-0.54019181856718945</v>
      </c>
      <c r="G92"/>
    </row>
    <row r="93" spans="1:7" x14ac:dyDescent="0.25">
      <c r="A93" s="61" t="s">
        <v>2468</v>
      </c>
      <c r="B93" s="45">
        <v>94764961.026080668</v>
      </c>
      <c r="C93" s="19">
        <v>39320461.820759311</v>
      </c>
      <c r="D93" s="19">
        <v>-55444499.205321357</v>
      </c>
      <c r="E93">
        <v>102.68259999999999</v>
      </c>
      <c r="F93" s="62">
        <v>-0.58507383536054258</v>
      </c>
      <c r="G93"/>
    </row>
    <row r="94" spans="1:7" x14ac:dyDescent="0.25">
      <c r="A94" s="61" t="s">
        <v>195</v>
      </c>
      <c r="B94" s="45">
        <v>77955547.26295054</v>
      </c>
      <c r="C94" s="19">
        <v>31855654.670241848</v>
      </c>
      <c r="D94" s="19">
        <v>-46099892.592708707</v>
      </c>
      <c r="E94">
        <v>13.73545</v>
      </c>
      <c r="F94" s="62">
        <v>-0.59136128487700723</v>
      </c>
      <c r="G94"/>
    </row>
    <row r="95" spans="1:7" x14ac:dyDescent="0.25">
      <c r="A95" s="61" t="s">
        <v>1863</v>
      </c>
      <c r="B95" s="45">
        <v>53866843.988589957</v>
      </c>
      <c r="C95" s="19">
        <v>21448653.752422459</v>
      </c>
      <c r="D95" s="19">
        <v>-32418190.236167498</v>
      </c>
      <c r="E95">
        <v>11.05125</v>
      </c>
      <c r="F95" s="62">
        <v>-0.60182085742825953</v>
      </c>
      <c r="G95"/>
    </row>
    <row r="96" spans="1:7" x14ac:dyDescent="0.25">
      <c r="A96" s="61" t="s">
        <v>2328</v>
      </c>
      <c r="B96" s="45">
        <v>30631665.751484659</v>
      </c>
      <c r="C96" s="19">
        <v>9415041.0999854393</v>
      </c>
      <c r="D96" s="19">
        <v>-21216624.651499219</v>
      </c>
      <c r="E96">
        <v>16.203900000000001</v>
      </c>
      <c r="F96" s="62">
        <v>-0.69263698630136983</v>
      </c>
      <c r="G96"/>
    </row>
    <row r="97" spans="1:7" x14ac:dyDescent="0.25">
      <c r="A97" s="61" t="s">
        <v>68</v>
      </c>
      <c r="B97" s="45">
        <v>70421892.362428546</v>
      </c>
      <c r="C97" s="19">
        <v>20872429.281919405</v>
      </c>
      <c r="D97" s="19">
        <v>-49549463.080509149</v>
      </c>
      <c r="E97">
        <v>2.762</v>
      </c>
      <c r="F97" s="62">
        <v>-0.70360879860344039</v>
      </c>
      <c r="G97"/>
    </row>
    <row r="98" spans="1:7" x14ac:dyDescent="0.25">
      <c r="A98" s="61" t="s">
        <v>2866</v>
      </c>
      <c r="B98" s="45">
        <v>33870926.331961766</v>
      </c>
      <c r="C98" s="19">
        <v>9018543.6317227986</v>
      </c>
      <c r="D98" s="19">
        <v>-24852382.700238965</v>
      </c>
      <c r="E98">
        <v>0</v>
      </c>
      <c r="F98" s="62">
        <v>-0.73373791010809786</v>
      </c>
      <c r="G98"/>
    </row>
    <row r="99" spans="1:7" x14ac:dyDescent="0.25">
      <c r="A99" s="61" t="s">
        <v>2066</v>
      </c>
      <c r="B99" s="45">
        <v>69546131.358585417</v>
      </c>
      <c r="C99" s="19">
        <v>16921933.01629303</v>
      </c>
      <c r="D99" s="19">
        <v>-52624198.342292398</v>
      </c>
      <c r="E99">
        <v>50.5321</v>
      </c>
      <c r="F99" s="62">
        <v>-0.75668045532191874</v>
      </c>
      <c r="G99"/>
    </row>
    <row r="100" spans="1:7" x14ac:dyDescent="0.25">
      <c r="A100" s="61" t="s">
        <v>1926</v>
      </c>
      <c r="B100" s="45">
        <v>60545840.560060725</v>
      </c>
      <c r="C100" s="19">
        <v>14091632.47824638</v>
      </c>
      <c r="D100" s="19">
        <v>-46454208.081814349</v>
      </c>
      <c r="E100">
        <v>4.3808499999999997</v>
      </c>
      <c r="F100" s="62">
        <v>-0.76725680330975587</v>
      </c>
      <c r="G100"/>
    </row>
    <row r="101" spans="1:7" x14ac:dyDescent="0.25">
      <c r="A101" s="61" t="s">
        <v>2754</v>
      </c>
      <c r="B101" s="45">
        <v>25092213.618746907</v>
      </c>
      <c r="C101" s="19">
        <v>5772230.8676881287</v>
      </c>
      <c r="D101" s="19">
        <v>-19319982.75105878</v>
      </c>
      <c r="E101">
        <v>45.191800000000001</v>
      </c>
      <c r="F101" s="62">
        <v>-0.76995928077961306</v>
      </c>
      <c r="G101"/>
    </row>
    <row r="102" spans="1:7" x14ac:dyDescent="0.25">
      <c r="A102" s="61" t="s">
        <v>1185</v>
      </c>
      <c r="B102" s="45">
        <v>55871598.093771234</v>
      </c>
      <c r="C102" s="19">
        <v>12017485.150607169</v>
      </c>
      <c r="D102" s="19">
        <v>-43854112.943164065</v>
      </c>
      <c r="E102">
        <v>11.1701</v>
      </c>
      <c r="F102" s="62">
        <v>-0.78490887032732071</v>
      </c>
      <c r="G102"/>
    </row>
    <row r="103" spans="1:7" x14ac:dyDescent="0.25">
      <c r="A103" s="61" t="s">
        <v>1977</v>
      </c>
      <c r="B103" s="45">
        <v>37046878.888064176</v>
      </c>
      <c r="C103" s="19">
        <v>7619785.7710638009</v>
      </c>
      <c r="D103" s="19">
        <v>-29427093.117000375</v>
      </c>
      <c r="E103">
        <v>21.625499999999999</v>
      </c>
      <c r="F103" s="62">
        <v>-0.79432043940633401</v>
      </c>
      <c r="G103"/>
    </row>
    <row r="104" spans="1:7" x14ac:dyDescent="0.25">
      <c r="A104" s="61" t="s">
        <v>1331</v>
      </c>
      <c r="B104" s="45">
        <v>38313039.375546858</v>
      </c>
      <c r="C104" s="19">
        <v>5832823.7358653229</v>
      </c>
      <c r="D104" s="19">
        <v>-32480215.639681533</v>
      </c>
      <c r="E104">
        <v>0</v>
      </c>
      <c r="F104" s="62">
        <v>-0.84775878314712616</v>
      </c>
      <c r="G104"/>
    </row>
    <row r="105" spans="1:7" x14ac:dyDescent="0.25">
      <c r="A105" s="61" t="s">
        <v>2087</v>
      </c>
      <c r="B105" s="45">
        <v>78050509.299511746</v>
      </c>
      <c r="C105" s="19">
        <v>8634937.6719240546</v>
      </c>
      <c r="D105" s="19">
        <v>-69415571.627587691</v>
      </c>
      <c r="E105">
        <v>14.6838</v>
      </c>
      <c r="F105" s="62">
        <v>-0.88936731163677274</v>
      </c>
      <c r="G105"/>
    </row>
    <row r="106" spans="1:7" x14ac:dyDescent="0.25">
      <c r="A106" s="61" t="s">
        <v>2124</v>
      </c>
      <c r="B106" s="45">
        <v>52590132.163711175</v>
      </c>
      <c r="C106" s="19">
        <v>3066473.9985218891</v>
      </c>
      <c r="D106" s="19">
        <v>-49523658.165189281</v>
      </c>
      <c r="E106">
        <v>2.2586499999999998</v>
      </c>
      <c r="F106" s="62">
        <v>-0.94169107639859007</v>
      </c>
      <c r="G106"/>
    </row>
    <row r="107" spans="1:7" x14ac:dyDescent="0.25">
      <c r="A107" s="61" t="s">
        <v>5784</v>
      </c>
      <c r="B107" s="45">
        <v>9396604443.5515556</v>
      </c>
      <c r="C107" s="19">
        <v>43484455541.125885</v>
      </c>
      <c r="D107" s="19">
        <v>34087851097.574303</v>
      </c>
      <c r="E107">
        <v>24.971939464882954</v>
      </c>
      <c r="F107" s="62">
        <v>3.6276775618630204</v>
      </c>
      <c r="G107"/>
    </row>
    <row r="108" spans="1:7" x14ac:dyDescent="0.25">
      <c r="A108" s="61"/>
      <c r="B108" s="45"/>
      <c r="C108" s="19"/>
      <c r="D108" s="19"/>
      <c r="F108" s="62"/>
      <c r="G108"/>
    </row>
    <row r="109" spans="1:7" x14ac:dyDescent="0.25">
      <c r="A109" s="104" t="s">
        <v>5802</v>
      </c>
      <c r="B109" s="105"/>
      <c r="C109" s="105"/>
      <c r="D109" s="105"/>
      <c r="E109" s="105"/>
      <c r="F109" s="105"/>
    </row>
    <row r="110" spans="1:7" x14ac:dyDescent="0.25">
      <c r="A110" s="60" t="s">
        <v>2944</v>
      </c>
      <c r="B110" t="s">
        <v>5789</v>
      </c>
      <c r="C110" t="s">
        <v>5785</v>
      </c>
      <c r="D110" t="s">
        <v>5787</v>
      </c>
      <c r="E110" t="s">
        <v>5786</v>
      </c>
      <c r="F110" s="62" t="s">
        <v>5790</v>
      </c>
    </row>
    <row r="111" spans="1:7" x14ac:dyDescent="0.25">
      <c r="A111" s="61" t="s">
        <v>2683</v>
      </c>
      <c r="B111" s="45">
        <v>139029697.19431776</v>
      </c>
      <c r="C111" s="19">
        <v>3994122865.2981176</v>
      </c>
      <c r="D111" s="19">
        <v>3855093168.1038003</v>
      </c>
      <c r="E111">
        <v>49.064620000000005</v>
      </c>
      <c r="F111" s="62">
        <v>27.728559048184131</v>
      </c>
    </row>
    <row r="112" spans="1:7" x14ac:dyDescent="0.25">
      <c r="A112" s="61" t="s">
        <v>972</v>
      </c>
      <c r="B112" s="45">
        <v>306791467.69764793</v>
      </c>
      <c r="C112" s="19">
        <v>3888917723.732584</v>
      </c>
      <c r="D112" s="19">
        <v>3582126256.0349364</v>
      </c>
      <c r="E112">
        <v>24.637390000000003</v>
      </c>
      <c r="F112" s="62">
        <v>11.676094784895476</v>
      </c>
    </row>
    <row r="113" spans="1:6" x14ac:dyDescent="0.25">
      <c r="A113" s="61" t="s">
        <v>1464</v>
      </c>
      <c r="B113" s="45">
        <v>114684674.57929586</v>
      </c>
      <c r="C113" s="19">
        <v>3312096073.8402658</v>
      </c>
      <c r="D113" s="19">
        <v>3197411399.2609696</v>
      </c>
      <c r="E113">
        <v>45.461875000000006</v>
      </c>
      <c r="F113" s="62">
        <v>27.880023298581186</v>
      </c>
    </row>
    <row r="114" spans="1:6" x14ac:dyDescent="0.25">
      <c r="A114" s="61" t="s">
        <v>2489</v>
      </c>
      <c r="B114" s="45">
        <v>206974799.8797026</v>
      </c>
      <c r="C114" s="19">
        <v>2583966796.8830824</v>
      </c>
      <c r="D114" s="19">
        <v>2376991997.0033798</v>
      </c>
      <c r="E114">
        <v>48.698999999999991</v>
      </c>
      <c r="F114" s="62">
        <v>11.48445123940175</v>
      </c>
    </row>
    <row r="115" spans="1:6" x14ac:dyDescent="0.25">
      <c r="A115" s="61" t="s">
        <v>2589</v>
      </c>
      <c r="B115" s="45">
        <v>164260289.64905784</v>
      </c>
      <c r="C115" s="19">
        <v>2441156026.044322</v>
      </c>
      <c r="D115" s="19">
        <v>2276895736.3952641</v>
      </c>
      <c r="E115">
        <v>39.507939999999998</v>
      </c>
      <c r="F115" s="62">
        <v>13.861510540739047</v>
      </c>
    </row>
    <row r="116" spans="1:6" x14ac:dyDescent="0.25">
      <c r="A116" s="61" t="s">
        <v>874</v>
      </c>
      <c r="B116" s="45">
        <v>207394469.55485946</v>
      </c>
      <c r="C116" s="19">
        <v>2375166632.2982035</v>
      </c>
      <c r="D116" s="19">
        <v>2167772162.7433443</v>
      </c>
      <c r="E116">
        <v>9.8771428571428572</v>
      </c>
      <c r="F116" s="62">
        <v>10.452410652010807</v>
      </c>
    </row>
    <row r="117" spans="1:6" x14ac:dyDescent="0.25">
      <c r="A117" s="61" t="s">
        <v>203</v>
      </c>
      <c r="B117" s="45">
        <v>893023968.79735434</v>
      </c>
      <c r="C117" s="19">
        <v>1759447311.4760053</v>
      </c>
      <c r="D117" s="19">
        <v>866423342.67865121</v>
      </c>
      <c r="E117">
        <v>13.063600000000001</v>
      </c>
      <c r="F117" s="62">
        <v>0.97021286432599707</v>
      </c>
    </row>
    <row r="118" spans="1:6" x14ac:dyDescent="0.25">
      <c r="A118" s="61" t="s">
        <v>1631</v>
      </c>
      <c r="B118" s="45">
        <v>127496342.9193072</v>
      </c>
      <c r="C118" s="19">
        <v>1646072928.4698803</v>
      </c>
      <c r="D118" s="19">
        <v>1518576585.5505731</v>
      </c>
      <c r="E118">
        <v>36.661949999999997</v>
      </c>
      <c r="F118" s="62">
        <v>11.910746228318757</v>
      </c>
    </row>
    <row r="119" spans="1:6" x14ac:dyDescent="0.25">
      <c r="A119" s="61" t="s">
        <v>909</v>
      </c>
      <c r="B119" s="45">
        <v>35949539.79891251</v>
      </c>
      <c r="C119" s="19">
        <v>1285256546.2887197</v>
      </c>
      <c r="D119" s="19">
        <v>1249307006.4898071</v>
      </c>
      <c r="E119">
        <v>12.2372</v>
      </c>
      <c r="F119" s="62">
        <v>34.751682872101725</v>
      </c>
    </row>
    <row r="120" spans="1:6" x14ac:dyDescent="0.25">
      <c r="A120" s="61" t="s">
        <v>116</v>
      </c>
      <c r="B120" s="45">
        <v>100156694.4352791</v>
      </c>
      <c r="C120" s="19">
        <v>1277302115.3381491</v>
      </c>
      <c r="D120" s="19">
        <v>1177145420.9028702</v>
      </c>
      <c r="E120">
        <v>25.602599999999999</v>
      </c>
      <c r="F120" s="62">
        <v>11.753037852737213</v>
      </c>
    </row>
    <row r="121" spans="1:6" x14ac:dyDescent="0.25">
      <c r="A121" s="61" t="s">
        <v>1955</v>
      </c>
      <c r="B121" s="45">
        <v>62824929.437530547</v>
      </c>
      <c r="C121" s="19">
        <v>1049610108.682041</v>
      </c>
      <c r="D121" s="19">
        <v>986785179.24451053</v>
      </c>
      <c r="E121">
        <v>3.6667000000000001</v>
      </c>
      <c r="F121" s="62">
        <v>15.70690469657769</v>
      </c>
    </row>
    <row r="122" spans="1:6" x14ac:dyDescent="0.25">
      <c r="A122" s="61" t="s">
        <v>7</v>
      </c>
      <c r="B122" s="45">
        <v>105739485.20939395</v>
      </c>
      <c r="C122" s="19">
        <v>981877375.83481145</v>
      </c>
      <c r="D122" s="19">
        <v>876137890.62541747</v>
      </c>
      <c r="E122">
        <v>34.572225000000003</v>
      </c>
      <c r="F122" s="62">
        <v>8.2858157375214923</v>
      </c>
    </row>
    <row r="123" spans="1:6" x14ac:dyDescent="0.25">
      <c r="A123" s="61" t="s">
        <v>916</v>
      </c>
      <c r="B123" s="45">
        <v>215730026.09745646</v>
      </c>
      <c r="C123" s="19">
        <v>967990933.53450775</v>
      </c>
      <c r="D123" s="19">
        <v>752260907.4370513</v>
      </c>
      <c r="E123">
        <v>27.603471428571432</v>
      </c>
      <c r="F123" s="62">
        <v>3.4870477746904642</v>
      </c>
    </row>
    <row r="124" spans="1:6" x14ac:dyDescent="0.25">
      <c r="A124" s="61" t="s">
        <v>1741</v>
      </c>
      <c r="B124" s="45">
        <v>225026887.63485399</v>
      </c>
      <c r="C124" s="19">
        <v>836745078.7371335</v>
      </c>
      <c r="D124" s="19">
        <v>611718191.10227942</v>
      </c>
      <c r="E124">
        <v>48.577212500000002</v>
      </c>
      <c r="F124" s="62">
        <v>2.7184226628726287</v>
      </c>
    </row>
    <row r="125" spans="1:6" x14ac:dyDescent="0.25">
      <c r="A125" s="61" t="s">
        <v>1375</v>
      </c>
      <c r="B125" s="45">
        <v>66138049.379778542</v>
      </c>
      <c r="C125" s="19">
        <v>808604560.16221786</v>
      </c>
      <c r="D125" s="19">
        <v>742466510.78243947</v>
      </c>
      <c r="E125">
        <v>12.552099999999999</v>
      </c>
      <c r="F125" s="62">
        <v>11.226011618804193</v>
      </c>
    </row>
    <row r="126" spans="1:6" x14ac:dyDescent="0.25">
      <c r="A126" s="61" t="s">
        <v>1392</v>
      </c>
      <c r="B126" s="45">
        <v>154199042.33588353</v>
      </c>
      <c r="C126" s="19">
        <v>751851005.58829808</v>
      </c>
      <c r="D126" s="19">
        <v>597651963.2524147</v>
      </c>
      <c r="E126">
        <v>6.9422600000000001</v>
      </c>
      <c r="F126" s="62">
        <v>3.8758474384722912</v>
      </c>
    </row>
    <row r="127" spans="1:6" x14ac:dyDescent="0.25">
      <c r="A127" s="61" t="s">
        <v>627</v>
      </c>
      <c r="B127" s="45">
        <v>50482736.993086308</v>
      </c>
      <c r="C127" s="19">
        <v>656746609.04790843</v>
      </c>
      <c r="D127" s="19">
        <v>606263872.05482209</v>
      </c>
      <c r="E127">
        <v>30.057950000000002</v>
      </c>
      <c r="F127" s="62">
        <v>12.009330479404294</v>
      </c>
    </row>
    <row r="128" spans="1:6" x14ac:dyDescent="0.25">
      <c r="A128" s="61" t="s">
        <v>1292</v>
      </c>
      <c r="B128" s="45">
        <v>204427277.16307926</v>
      </c>
      <c r="C128" s="19">
        <v>627702410.83524108</v>
      </c>
      <c r="D128" s="19">
        <v>423275133.67216188</v>
      </c>
      <c r="E128">
        <v>26.004539999999999</v>
      </c>
      <c r="F128" s="62">
        <v>2.0705413658398406</v>
      </c>
    </row>
    <row r="129" spans="1:6" x14ac:dyDescent="0.25">
      <c r="A129" s="61" t="s">
        <v>675</v>
      </c>
      <c r="B129" s="45">
        <v>274196119.89876986</v>
      </c>
      <c r="C129" s="19">
        <v>517126195.30903304</v>
      </c>
      <c r="D129" s="19">
        <v>242930075.41026318</v>
      </c>
      <c r="E129">
        <v>28.801449999999999</v>
      </c>
      <c r="F129" s="62">
        <v>0.88597196597803884</v>
      </c>
    </row>
    <row r="130" spans="1:6" x14ac:dyDescent="0.25">
      <c r="A130" s="61" t="s">
        <v>2633</v>
      </c>
      <c r="B130" s="45">
        <v>131505851.12966979</v>
      </c>
      <c r="C130" s="19">
        <v>513616809.867746</v>
      </c>
      <c r="D130" s="19">
        <v>382110958.73807621</v>
      </c>
      <c r="E130">
        <v>25.098049999999997</v>
      </c>
      <c r="F130" s="62">
        <v>2.9056574704139986</v>
      </c>
    </row>
    <row r="131" spans="1:6" x14ac:dyDescent="0.25">
      <c r="A131" s="61" t="s">
        <v>2015</v>
      </c>
      <c r="B131" s="45">
        <v>134224227.35404721</v>
      </c>
      <c r="C131" s="19">
        <v>488086189.22417152</v>
      </c>
      <c r="D131" s="19">
        <v>353861961.87012434</v>
      </c>
      <c r="E131">
        <v>52.219124999999998</v>
      </c>
      <c r="F131" s="62">
        <v>2.6363494046177833</v>
      </c>
    </row>
    <row r="132" spans="1:6" x14ac:dyDescent="0.25">
      <c r="A132" s="61" t="s">
        <v>2275</v>
      </c>
      <c r="B132" s="45">
        <v>92749655.58350417</v>
      </c>
      <c r="C132" s="19">
        <v>487542560.74517572</v>
      </c>
      <c r="D132" s="19">
        <v>394792905.16167158</v>
      </c>
      <c r="E132">
        <v>20.680900000000001</v>
      </c>
      <c r="F132" s="62">
        <v>4.2565430855560686</v>
      </c>
    </row>
    <row r="133" spans="1:6" x14ac:dyDescent="0.25">
      <c r="A133" s="61" t="s">
        <v>1173</v>
      </c>
      <c r="B133" s="45">
        <v>132202239.39778545</v>
      </c>
      <c r="C133" s="19">
        <v>476887217.09233052</v>
      </c>
      <c r="D133" s="19">
        <v>344684977.69454509</v>
      </c>
      <c r="E133">
        <v>24.152050000000003</v>
      </c>
      <c r="F133" s="62">
        <v>2.6072552118986185</v>
      </c>
    </row>
    <row r="134" spans="1:6" x14ac:dyDescent="0.25">
      <c r="A134" s="61" t="s">
        <v>2421</v>
      </c>
      <c r="B134" s="45">
        <v>150003478.8761113</v>
      </c>
      <c r="C134" s="19">
        <v>469508939.47173744</v>
      </c>
      <c r="D134" s="19">
        <v>319505460.59562618</v>
      </c>
      <c r="E134">
        <v>50.118079999999999</v>
      </c>
      <c r="F134" s="62">
        <v>2.1299870042314648</v>
      </c>
    </row>
    <row r="135" spans="1:6" x14ac:dyDescent="0.25">
      <c r="A135" s="61" t="s">
        <v>2874</v>
      </c>
      <c r="B135" s="45">
        <v>193825449.6640023</v>
      </c>
      <c r="C135" s="19">
        <v>462250723.75076109</v>
      </c>
      <c r="D135" s="19">
        <v>268425274.08675873</v>
      </c>
      <c r="E135">
        <v>18.761742857142856</v>
      </c>
      <c r="F135" s="62">
        <v>1.3848814722322367</v>
      </c>
    </row>
    <row r="136" spans="1:6" x14ac:dyDescent="0.25">
      <c r="A136" s="61" t="s">
        <v>1239</v>
      </c>
      <c r="B136" s="45">
        <v>89499843.665631682</v>
      </c>
      <c r="C136" s="19">
        <v>427943590.49571556</v>
      </c>
      <c r="D136" s="19">
        <v>338443746.83008385</v>
      </c>
      <c r="E136">
        <v>18.095866666666666</v>
      </c>
      <c r="F136" s="62">
        <v>3.7815009833368869</v>
      </c>
    </row>
    <row r="137" spans="1:6" x14ac:dyDescent="0.25">
      <c r="A137" s="61" t="s">
        <v>1090</v>
      </c>
      <c r="B137" s="45">
        <v>71593090.813349724</v>
      </c>
      <c r="C137" s="19">
        <v>419396659.36997235</v>
      </c>
      <c r="D137" s="19">
        <v>347803568.55662262</v>
      </c>
      <c r="E137">
        <v>9.1030499999999996</v>
      </c>
      <c r="F137" s="62">
        <v>4.8580605279828042</v>
      </c>
    </row>
    <row r="138" spans="1:6" x14ac:dyDescent="0.25">
      <c r="A138" s="61" t="s">
        <v>1606</v>
      </c>
      <c r="B138" s="45">
        <v>125101189.33048613</v>
      </c>
      <c r="C138" s="19">
        <v>389693577.996409</v>
      </c>
      <c r="D138" s="19">
        <v>264592388.66592285</v>
      </c>
      <c r="E138">
        <v>25.457750000000001</v>
      </c>
      <c r="F138" s="62">
        <v>2.1150269640277823</v>
      </c>
    </row>
    <row r="139" spans="1:6" x14ac:dyDescent="0.25">
      <c r="A139" s="61" t="s">
        <v>1472</v>
      </c>
      <c r="B139" s="45">
        <v>101264584.86182696</v>
      </c>
      <c r="C139" s="19">
        <v>372628214.1812337</v>
      </c>
      <c r="D139" s="19">
        <v>271363629.31940675</v>
      </c>
      <c r="E139">
        <v>5.3921333333333337</v>
      </c>
      <c r="F139" s="62">
        <v>2.679748598087631</v>
      </c>
    </row>
    <row r="140" spans="1:6" x14ac:dyDescent="0.25">
      <c r="A140" s="61" t="s">
        <v>2932</v>
      </c>
      <c r="B140" s="45">
        <v>71763045.503475696</v>
      </c>
      <c r="C140" s="19">
        <v>315368426.37670845</v>
      </c>
      <c r="D140" s="19">
        <v>243605380.87323272</v>
      </c>
      <c r="E140">
        <v>10.776033333333332</v>
      </c>
      <c r="F140" s="62">
        <v>3.394579747335754</v>
      </c>
    </row>
    <row r="141" spans="1:6" x14ac:dyDescent="0.25">
      <c r="A141" s="61" t="s">
        <v>2852</v>
      </c>
      <c r="B141" s="45">
        <v>195948300.58995879</v>
      </c>
      <c r="C141" s="19">
        <v>313178490.75480866</v>
      </c>
      <c r="D141" s="19">
        <v>117230190.16484988</v>
      </c>
      <c r="E141">
        <v>19.480699999999999</v>
      </c>
      <c r="F141" s="62">
        <v>0.59827102257021181</v>
      </c>
    </row>
    <row r="142" spans="1:6" x14ac:dyDescent="0.25">
      <c r="A142" s="61" t="s">
        <v>776</v>
      </c>
      <c r="B142" s="45">
        <v>160280481.49951315</v>
      </c>
      <c r="C142" s="19">
        <v>306806133.53032112</v>
      </c>
      <c r="D142" s="19">
        <v>146525652.030808</v>
      </c>
      <c r="E142">
        <v>16.322880000000001</v>
      </c>
      <c r="F142" s="62">
        <v>0.91418275425665629</v>
      </c>
    </row>
    <row r="143" spans="1:6" x14ac:dyDescent="0.25">
      <c r="A143" s="61" t="s">
        <v>961</v>
      </c>
      <c r="B143" s="45">
        <v>55154107.150864251</v>
      </c>
      <c r="C143" s="19">
        <v>280864300.25291383</v>
      </c>
      <c r="D143" s="19">
        <v>225710193.10204962</v>
      </c>
      <c r="E143">
        <v>36.717599999999997</v>
      </c>
      <c r="F143" s="62">
        <v>4.0923551256964323</v>
      </c>
    </row>
    <row r="144" spans="1:6" x14ac:dyDescent="0.25">
      <c r="A144" s="61" t="s">
        <v>42</v>
      </c>
      <c r="B144" s="45">
        <v>81954504.13591671</v>
      </c>
      <c r="C144" s="19">
        <v>274601856.18025285</v>
      </c>
      <c r="D144" s="19">
        <v>192647352.0443362</v>
      </c>
      <c r="E144">
        <v>23.040900000000001</v>
      </c>
      <c r="F144" s="62">
        <v>2.3506621640323986</v>
      </c>
    </row>
    <row r="145" spans="1:6" x14ac:dyDescent="0.25">
      <c r="A145" s="61" t="s">
        <v>1106</v>
      </c>
      <c r="B145" s="45">
        <v>146509852.90634143</v>
      </c>
      <c r="C145" s="19">
        <v>252854486.37322938</v>
      </c>
      <c r="D145" s="19">
        <v>106344633.46688795</v>
      </c>
      <c r="E145">
        <v>40.110225</v>
      </c>
      <c r="F145" s="62">
        <v>0.72585311743415859</v>
      </c>
    </row>
    <row r="146" spans="1:6" x14ac:dyDescent="0.25">
      <c r="A146" s="61" t="s">
        <v>449</v>
      </c>
      <c r="B146" s="45">
        <v>294530813.64385641</v>
      </c>
      <c r="C146" s="19">
        <v>251180762.72126317</v>
      </c>
      <c r="D146" s="19">
        <v>-43350050.922593206</v>
      </c>
      <c r="E146">
        <v>15.527199999999999</v>
      </c>
      <c r="F146" s="62">
        <v>-0.14718341482263947</v>
      </c>
    </row>
    <row r="147" spans="1:6" x14ac:dyDescent="0.25">
      <c r="A147" s="61" t="s">
        <v>661</v>
      </c>
      <c r="B147" s="45">
        <v>54658194.293266773</v>
      </c>
      <c r="C147" s="19">
        <v>225277739.14381564</v>
      </c>
      <c r="D147" s="19">
        <v>170619544.85054886</v>
      </c>
      <c r="E147">
        <v>10.569000000000001</v>
      </c>
      <c r="F147" s="62">
        <v>3.1215730240756807</v>
      </c>
    </row>
    <row r="148" spans="1:6" x14ac:dyDescent="0.25">
      <c r="A148" s="61" t="s">
        <v>1268</v>
      </c>
      <c r="B148" s="45">
        <v>35896783.111934066</v>
      </c>
      <c r="C148" s="19">
        <v>213304522.6156753</v>
      </c>
      <c r="D148" s="19">
        <v>177407739.50374123</v>
      </c>
      <c r="E148">
        <v>10.5707</v>
      </c>
      <c r="F148" s="62">
        <v>4.9421626152556586</v>
      </c>
    </row>
    <row r="149" spans="1:6" x14ac:dyDescent="0.25">
      <c r="A149" s="61" t="s">
        <v>2919</v>
      </c>
      <c r="B149" s="45">
        <v>99470857.504557997</v>
      </c>
      <c r="C149" s="19">
        <v>207429780.02288356</v>
      </c>
      <c r="D149" s="19">
        <v>107958922.51832557</v>
      </c>
      <c r="E149">
        <v>21.736666666666665</v>
      </c>
      <c r="F149" s="62">
        <v>1.0853321789588335</v>
      </c>
    </row>
    <row r="150" spans="1:6" x14ac:dyDescent="0.25">
      <c r="A150" s="61" t="s">
        <v>2182</v>
      </c>
      <c r="B150" s="45">
        <v>94311253.518065557</v>
      </c>
      <c r="C150" s="19">
        <v>191094111.98209879</v>
      </c>
      <c r="D150" s="19">
        <v>96782858.464033246</v>
      </c>
      <c r="E150">
        <v>62.315533333333327</v>
      </c>
      <c r="F150" s="62">
        <v>1.026206893173085</v>
      </c>
    </row>
    <row r="151" spans="1:6" x14ac:dyDescent="0.25">
      <c r="A151" s="61" t="s">
        <v>2397</v>
      </c>
      <c r="B151" s="45">
        <v>64882440.229690582</v>
      </c>
      <c r="C151" s="19">
        <v>190891352.46637595</v>
      </c>
      <c r="D151" s="19">
        <v>126008912.23668537</v>
      </c>
      <c r="E151">
        <v>26.994299999999999</v>
      </c>
      <c r="F151" s="62">
        <v>1.942111175082206</v>
      </c>
    </row>
    <row r="152" spans="1:6" x14ac:dyDescent="0.25">
      <c r="A152" s="61" t="s">
        <v>1513</v>
      </c>
      <c r="B152" s="45">
        <v>48432905.22980921</v>
      </c>
      <c r="C152" s="19">
        <v>188826888.05989859</v>
      </c>
      <c r="D152" s="19">
        <v>140393982.83008939</v>
      </c>
      <c r="E152">
        <v>22.62575</v>
      </c>
      <c r="F152" s="62">
        <v>2.8987313927160514</v>
      </c>
    </row>
    <row r="153" spans="1:6" x14ac:dyDescent="0.25">
      <c r="A153" s="61" t="s">
        <v>1338</v>
      </c>
      <c r="B153" s="45">
        <v>103480365.71492128</v>
      </c>
      <c r="C153" s="19">
        <v>184992780.63638344</v>
      </c>
      <c r="D153" s="19">
        <v>81512414.921462163</v>
      </c>
      <c r="E153">
        <v>33.266233333333332</v>
      </c>
      <c r="F153" s="62">
        <v>0.78770899540518857</v>
      </c>
    </row>
    <row r="154" spans="1:6" x14ac:dyDescent="0.25">
      <c r="A154" s="61" t="s">
        <v>1715</v>
      </c>
      <c r="B154" s="45">
        <v>50754199.456861235</v>
      </c>
      <c r="C154" s="19">
        <v>170185275.73079967</v>
      </c>
      <c r="D154" s="19">
        <v>119431076.27393845</v>
      </c>
      <c r="E154">
        <v>30.115699999999997</v>
      </c>
      <c r="F154" s="62">
        <v>2.3531269836193442</v>
      </c>
    </row>
    <row r="155" spans="1:6" x14ac:dyDescent="0.25">
      <c r="A155" s="61" t="s">
        <v>2320</v>
      </c>
      <c r="B155" s="45">
        <v>36941365.514107287</v>
      </c>
      <c r="C155" s="19">
        <v>165188964.76896524</v>
      </c>
      <c r="D155" s="19">
        <v>128247599.25485796</v>
      </c>
      <c r="E155">
        <v>18.262599999999999</v>
      </c>
      <c r="F155" s="62">
        <v>3.4716529145594888</v>
      </c>
    </row>
    <row r="156" spans="1:6" x14ac:dyDescent="0.25">
      <c r="A156" s="61" t="s">
        <v>2365</v>
      </c>
      <c r="B156" s="45">
        <v>82810295.756762862</v>
      </c>
      <c r="C156" s="19">
        <v>164794546.56215256</v>
      </c>
      <c r="D156" s="19">
        <v>81984250.805389717</v>
      </c>
      <c r="E156">
        <v>29.0746</v>
      </c>
      <c r="F156" s="62">
        <v>0.99002485205704993</v>
      </c>
    </row>
    <row r="157" spans="1:6" x14ac:dyDescent="0.25">
      <c r="A157" s="61" t="s">
        <v>2214</v>
      </c>
      <c r="B157" s="45">
        <v>100926942.06516469</v>
      </c>
      <c r="C157" s="19">
        <v>158350202.41999841</v>
      </c>
      <c r="D157" s="19">
        <v>57423260.3548337</v>
      </c>
      <c r="E157">
        <v>29.837666666666667</v>
      </c>
      <c r="F157" s="62">
        <v>0.56895868615297696</v>
      </c>
    </row>
    <row r="158" spans="1:6" x14ac:dyDescent="0.25">
      <c r="A158" s="61" t="s">
        <v>1220</v>
      </c>
      <c r="B158" s="45">
        <v>26442784.80539535</v>
      </c>
      <c r="C158" s="19">
        <v>150503624.18462962</v>
      </c>
      <c r="D158" s="19">
        <v>124060839.37923427</v>
      </c>
      <c r="E158">
        <v>20.584399999999999</v>
      </c>
      <c r="F158" s="62">
        <v>4.6916707257671693</v>
      </c>
    </row>
    <row r="159" spans="1:6" x14ac:dyDescent="0.25">
      <c r="A159" s="61" t="s">
        <v>1147</v>
      </c>
      <c r="B159" s="45">
        <v>98626750.512903005</v>
      </c>
      <c r="C159" s="19">
        <v>148655264.65672457</v>
      </c>
      <c r="D159" s="19">
        <v>50028514.143821567</v>
      </c>
      <c r="E159">
        <v>11.8711</v>
      </c>
      <c r="F159" s="62">
        <v>0.50725096268153447</v>
      </c>
    </row>
    <row r="160" spans="1:6" x14ac:dyDescent="0.25">
      <c r="A160" s="61" t="s">
        <v>1363</v>
      </c>
      <c r="B160" s="45">
        <v>35854577.762351304</v>
      </c>
      <c r="C160" s="19">
        <v>143677657.00066993</v>
      </c>
      <c r="D160" s="19">
        <v>107823079.23831862</v>
      </c>
      <c r="E160">
        <v>5.0087000000000002</v>
      </c>
      <c r="F160" s="62">
        <v>3.0072332730560567</v>
      </c>
    </row>
    <row r="161" spans="1:6" x14ac:dyDescent="0.25">
      <c r="A161" s="61" t="s">
        <v>800</v>
      </c>
      <c r="B161" s="45">
        <v>87537294.910033315</v>
      </c>
      <c r="C161" s="19">
        <v>132131541.26245534</v>
      </c>
      <c r="D161" s="19">
        <v>44594246.352422036</v>
      </c>
      <c r="E161">
        <v>48.446833333333331</v>
      </c>
      <c r="F161" s="62">
        <v>0.50943139604957954</v>
      </c>
    </row>
    <row r="162" spans="1:6" x14ac:dyDescent="0.25">
      <c r="A162" s="61" t="s">
        <v>151</v>
      </c>
      <c r="B162" s="45">
        <v>53275969.094431266</v>
      </c>
      <c r="C162" s="19">
        <v>130973377.83808181</v>
      </c>
      <c r="D162" s="19">
        <v>77697408.743650541</v>
      </c>
      <c r="E162">
        <v>24.342300000000002</v>
      </c>
      <c r="F162" s="62">
        <v>1.4583950337145899</v>
      </c>
    </row>
    <row r="163" spans="1:6" x14ac:dyDescent="0.25">
      <c r="A163" s="61" t="s">
        <v>1580</v>
      </c>
      <c r="B163" s="45">
        <v>68955256.464426979</v>
      </c>
      <c r="C163" s="19">
        <v>128942112.090654</v>
      </c>
      <c r="D163" s="19">
        <v>59986855.626227014</v>
      </c>
      <c r="E163">
        <v>17.8583</v>
      </c>
      <c r="F163" s="62">
        <v>0.86993883718166398</v>
      </c>
    </row>
    <row r="164" spans="1:6" x14ac:dyDescent="0.25">
      <c r="A164" s="61" t="s">
        <v>2904</v>
      </c>
      <c r="B164" s="45">
        <v>74241476.499667808</v>
      </c>
      <c r="C164" s="19">
        <v>110286095.89744674</v>
      </c>
      <c r="D164" s="19">
        <v>36044619.397778921</v>
      </c>
      <c r="E164">
        <v>12.5892</v>
      </c>
      <c r="F164" s="62">
        <v>0.48550515287691254</v>
      </c>
    </row>
    <row r="165" spans="1:6" x14ac:dyDescent="0.25">
      <c r="A165" s="61" t="s">
        <v>1208</v>
      </c>
      <c r="B165" s="45">
        <v>72289479.081465527</v>
      </c>
      <c r="C165" s="19">
        <v>107236979.77538617</v>
      </c>
      <c r="D165" s="19">
        <v>34947500.693920642</v>
      </c>
      <c r="E165">
        <v>15.174099999999999</v>
      </c>
      <c r="F165" s="62">
        <v>0.48343826982813209</v>
      </c>
    </row>
    <row r="166" spans="1:6" x14ac:dyDescent="0.25">
      <c r="A166" s="61" t="s">
        <v>744</v>
      </c>
      <c r="B166" s="45">
        <v>32034993.625111554</v>
      </c>
      <c r="C166" s="19">
        <v>104549807.72886537</v>
      </c>
      <c r="D166" s="19">
        <v>72514814.10375382</v>
      </c>
      <c r="E166">
        <v>31.6782</v>
      </c>
      <c r="F166" s="62">
        <v>2.2636125654450261</v>
      </c>
    </row>
    <row r="167" spans="1:6" x14ac:dyDescent="0.25">
      <c r="A167" s="61" t="s">
        <v>871</v>
      </c>
      <c r="B167" s="45">
        <v>34746687.335803963</v>
      </c>
      <c r="C167" s="19">
        <v>101483254.92106766</v>
      </c>
      <c r="D167" s="19">
        <v>66736567.585263692</v>
      </c>
      <c r="E167">
        <v>28.452400000000001</v>
      </c>
      <c r="F167" s="62">
        <v>1.9206598586017281</v>
      </c>
    </row>
    <row r="168" spans="1:6" x14ac:dyDescent="0.25">
      <c r="A168" s="61" t="s">
        <v>1966</v>
      </c>
      <c r="B168" s="45">
        <v>53001634.322143301</v>
      </c>
      <c r="C168" s="19">
        <v>100473030.379987</v>
      </c>
      <c r="D168" s="19">
        <v>47471396.0578437</v>
      </c>
      <c r="E168">
        <v>13.837</v>
      </c>
      <c r="F168" s="62">
        <v>0.89565909928952603</v>
      </c>
    </row>
    <row r="169" spans="1:6" x14ac:dyDescent="0.25">
      <c r="A169" s="61" t="s">
        <v>2740</v>
      </c>
      <c r="B169" s="45">
        <v>38038704.603258945</v>
      </c>
      <c r="C169" s="19">
        <v>96741291.970318332</v>
      </c>
      <c r="D169" s="19">
        <v>58702587.367059387</v>
      </c>
      <c r="E169">
        <v>17.465900000000001</v>
      </c>
      <c r="F169" s="62">
        <v>1.5432330827067668</v>
      </c>
    </row>
    <row r="170" spans="1:6" x14ac:dyDescent="0.25">
      <c r="A170" s="61" t="s">
        <v>1833</v>
      </c>
      <c r="B170" s="45">
        <v>18476525.071648777</v>
      </c>
      <c r="C170" s="19">
        <v>89825657.337492496</v>
      </c>
      <c r="D170" s="19">
        <v>71349132.265843719</v>
      </c>
      <c r="E170">
        <v>16.2376</v>
      </c>
      <c r="F170" s="62">
        <v>3.8616099071207435</v>
      </c>
    </row>
    <row r="171" spans="1:6" x14ac:dyDescent="0.25">
      <c r="A171" s="61" t="s">
        <v>168</v>
      </c>
      <c r="B171" s="45">
        <v>100167245.77267393</v>
      </c>
      <c r="C171" s="19">
        <v>88223740.267613441</v>
      </c>
      <c r="D171" s="19">
        <v>-11943505.505060486</v>
      </c>
      <c r="E171">
        <v>6.3574666666666664</v>
      </c>
      <c r="F171" s="62">
        <v>-0.11923563848571681</v>
      </c>
    </row>
    <row r="172" spans="1:6" x14ac:dyDescent="0.25">
      <c r="A172" s="61" t="s">
        <v>2153</v>
      </c>
      <c r="B172" s="45">
        <v>110688062.44797322</v>
      </c>
      <c r="C172" s="19">
        <v>85340262.009084776</v>
      </c>
      <c r="D172" s="19">
        <v>-25347800.438888453</v>
      </c>
      <c r="E172">
        <v>34.613325000000003</v>
      </c>
      <c r="F172" s="62">
        <v>-0.22900211529859138</v>
      </c>
    </row>
    <row r="173" spans="1:6" x14ac:dyDescent="0.25">
      <c r="A173" s="61" t="s">
        <v>72</v>
      </c>
      <c r="B173" s="45">
        <v>55270171.86221686</v>
      </c>
      <c r="C173" s="19">
        <v>84460054.428553581</v>
      </c>
      <c r="D173" s="19">
        <v>29189882.566336717</v>
      </c>
      <c r="E173">
        <v>16.013349999999999</v>
      </c>
      <c r="F173" s="62">
        <v>0.52813084495384321</v>
      </c>
    </row>
    <row r="174" spans="1:6" x14ac:dyDescent="0.25">
      <c r="A174" s="61" t="s">
        <v>2669</v>
      </c>
      <c r="B174" s="45">
        <v>22042877.111392219</v>
      </c>
      <c r="C174" s="19">
        <v>79405258.407683566</v>
      </c>
      <c r="D174" s="19">
        <v>57362381.296291351</v>
      </c>
      <c r="E174">
        <v>8.2669999999999995</v>
      </c>
      <c r="F174" s="62">
        <v>2.6023091725465037</v>
      </c>
    </row>
    <row r="175" spans="1:6" x14ac:dyDescent="0.25">
      <c r="A175" s="61" t="s">
        <v>2839</v>
      </c>
      <c r="B175" s="45">
        <v>43472643.362038806</v>
      </c>
      <c r="C175" s="19">
        <v>76121162.191673711</v>
      </c>
      <c r="D175" s="19">
        <v>32648518.829634905</v>
      </c>
      <c r="E175">
        <v>11.667199999999999</v>
      </c>
      <c r="F175" s="62">
        <v>0.75101296596434375</v>
      </c>
    </row>
    <row r="176" spans="1:6" x14ac:dyDescent="0.25">
      <c r="A176" s="61" t="s">
        <v>91</v>
      </c>
      <c r="B176" s="45">
        <v>69979869.483603999</v>
      </c>
      <c r="C176" s="19">
        <v>75504547.343745068</v>
      </c>
      <c r="D176" s="19">
        <v>5524677.8601410706</v>
      </c>
      <c r="E176">
        <v>6.5509000000000013</v>
      </c>
      <c r="F176" s="62">
        <v>7.8946672820467009E-2</v>
      </c>
    </row>
    <row r="177" spans="1:6" x14ac:dyDescent="0.25">
      <c r="A177" s="61" t="s">
        <v>859</v>
      </c>
      <c r="B177" s="45">
        <v>24248106.627091628</v>
      </c>
      <c r="C177" s="19">
        <v>64063599.901686244</v>
      </c>
      <c r="D177" s="19">
        <v>39815493.27459462</v>
      </c>
      <c r="E177">
        <v>25.037800000000001</v>
      </c>
      <c r="F177" s="62">
        <v>1.6420042144696796</v>
      </c>
    </row>
    <row r="178" spans="1:6" x14ac:dyDescent="0.25">
      <c r="A178" s="61" t="s">
        <v>1038</v>
      </c>
      <c r="B178" s="45">
        <v>75813625.771625668</v>
      </c>
      <c r="C178" s="19">
        <v>63681724.230088405</v>
      </c>
      <c r="D178" s="19">
        <v>-12131901.541537262</v>
      </c>
      <c r="E178">
        <v>42.422449999999998</v>
      </c>
      <c r="F178" s="62">
        <v>-0.1600227059194127</v>
      </c>
    </row>
    <row r="179" spans="1:6" x14ac:dyDescent="0.25">
      <c r="A179" s="61" t="s">
        <v>2767</v>
      </c>
      <c r="B179" s="45">
        <v>69841568.80566521</v>
      </c>
      <c r="C179" s="19">
        <v>59820481.275432117</v>
      </c>
      <c r="D179" s="19">
        <v>-10021087.530233089</v>
      </c>
      <c r="E179">
        <v>51.921399999999998</v>
      </c>
      <c r="F179" s="62">
        <v>-0.14348313907605453</v>
      </c>
    </row>
    <row r="180" spans="1:6" x14ac:dyDescent="0.25">
      <c r="A180" s="61" t="s">
        <v>1840</v>
      </c>
      <c r="B180" s="45">
        <v>36033950.498078026</v>
      </c>
      <c r="C180" s="19">
        <v>59040399.752329782</v>
      </c>
      <c r="D180" s="19">
        <v>23006449.254251756</v>
      </c>
      <c r="E180">
        <v>42.685400000000001</v>
      </c>
      <c r="F180" s="62">
        <v>0.63846591717660461</v>
      </c>
    </row>
    <row r="181" spans="1:6" x14ac:dyDescent="0.25">
      <c r="A181" s="61" t="s">
        <v>1573</v>
      </c>
      <c r="B181" s="45">
        <v>39906291.322295912</v>
      </c>
      <c r="C181" s="19">
        <v>57116736.548921801</v>
      </c>
      <c r="D181" s="19">
        <v>17210445.22662589</v>
      </c>
      <c r="E181">
        <v>8.2499000000000002</v>
      </c>
      <c r="F181" s="62">
        <v>0.43127147766322999</v>
      </c>
    </row>
    <row r="182" spans="1:6" x14ac:dyDescent="0.25">
      <c r="A182" s="61" t="s">
        <v>1681</v>
      </c>
      <c r="B182" s="45">
        <v>60471981.198291816</v>
      </c>
      <c r="C182" s="19">
        <v>56184235.907976352</v>
      </c>
      <c r="D182" s="19">
        <v>-4287745.290315466</v>
      </c>
      <c r="E182">
        <v>22.60605</v>
      </c>
      <c r="F182" s="62">
        <v>-7.0904660395624389E-2</v>
      </c>
    </row>
    <row r="183" spans="1:6" x14ac:dyDescent="0.25">
      <c r="A183" s="61" t="s">
        <v>1949</v>
      </c>
      <c r="B183" s="45">
        <v>20903332.672657594</v>
      </c>
      <c r="C183" s="19">
        <v>52905580.80855719</v>
      </c>
      <c r="D183" s="19">
        <v>32002248.135899596</v>
      </c>
      <c r="E183">
        <v>26.5076</v>
      </c>
      <c r="F183" s="62">
        <v>1.5309639203015619</v>
      </c>
    </row>
    <row r="184" spans="1:6" x14ac:dyDescent="0.25">
      <c r="A184" s="61" t="s">
        <v>613</v>
      </c>
      <c r="B184" s="45">
        <v>58593843.141858652</v>
      </c>
      <c r="C184" s="19">
        <v>50384663.42985782</v>
      </c>
      <c r="D184" s="19">
        <v>-8209179.7120008245</v>
      </c>
      <c r="E184">
        <v>41.903950000000002</v>
      </c>
      <c r="F184" s="62">
        <v>-0.14010311104062578</v>
      </c>
    </row>
    <row r="185" spans="1:6" x14ac:dyDescent="0.25">
      <c r="A185" s="61" t="s">
        <v>1451</v>
      </c>
      <c r="B185" s="45">
        <v>16957132.486669313</v>
      </c>
      <c r="C185" s="19">
        <v>46166359.406834722</v>
      </c>
      <c r="D185" s="19">
        <v>29209226.920165408</v>
      </c>
      <c r="E185">
        <v>50.531799999999997</v>
      </c>
      <c r="F185" s="62">
        <v>1.7225333907798364</v>
      </c>
    </row>
    <row r="186" spans="1:6" x14ac:dyDescent="0.25">
      <c r="A186" s="61" t="s">
        <v>2468</v>
      </c>
      <c r="B186" s="45">
        <v>94764961.026080668</v>
      </c>
      <c r="C186" s="19">
        <v>39320461.820759311</v>
      </c>
      <c r="D186" s="19">
        <v>-55444499.205321357</v>
      </c>
      <c r="E186">
        <v>102.68259999999999</v>
      </c>
      <c r="F186" s="62">
        <v>-0.58507383536054258</v>
      </c>
    </row>
    <row r="187" spans="1:6" x14ac:dyDescent="0.25">
      <c r="A187" s="61" t="s">
        <v>1562</v>
      </c>
      <c r="B187" s="45">
        <v>42396406.947678521</v>
      </c>
      <c r="C187" s="19">
        <v>38253651.821051791</v>
      </c>
      <c r="D187" s="19">
        <v>-4142755.12662673</v>
      </c>
      <c r="E187">
        <v>10.8873</v>
      </c>
      <c r="F187" s="62">
        <v>-9.7714769360981724E-2</v>
      </c>
    </row>
    <row r="188" spans="1:6" x14ac:dyDescent="0.25">
      <c r="A188" s="61" t="s">
        <v>2106</v>
      </c>
      <c r="B188" s="45">
        <v>28827387.056821506</v>
      </c>
      <c r="C188" s="19">
        <v>36797569.032167301</v>
      </c>
      <c r="D188" s="19">
        <v>7970181.9753457941</v>
      </c>
      <c r="E188">
        <v>23.409800000000001</v>
      </c>
      <c r="F188" s="62">
        <v>0.2764795144157815</v>
      </c>
    </row>
    <row r="189" spans="1:6" x14ac:dyDescent="0.25">
      <c r="A189" s="61" t="s">
        <v>1313</v>
      </c>
      <c r="B189" s="45">
        <v>28458090.247972321</v>
      </c>
      <c r="C189" s="19">
        <v>36716958.000996456</v>
      </c>
      <c r="D189" s="19">
        <v>8258867.7530241348</v>
      </c>
      <c r="E189">
        <v>37.3247</v>
      </c>
      <c r="F189" s="62">
        <v>0.29021159470153102</v>
      </c>
    </row>
    <row r="190" spans="1:6" x14ac:dyDescent="0.25">
      <c r="A190" s="61" t="s">
        <v>1919</v>
      </c>
      <c r="B190" s="45">
        <v>28563603.621929228</v>
      </c>
      <c r="C190" s="19">
        <v>35869968.383013353</v>
      </c>
      <c r="D190" s="19">
        <v>7306364.7610841244</v>
      </c>
      <c r="E190">
        <v>0</v>
      </c>
      <c r="F190" s="62">
        <v>0.25579282144479787</v>
      </c>
    </row>
    <row r="191" spans="1:6" x14ac:dyDescent="0.25">
      <c r="A191" s="61" t="s">
        <v>1142</v>
      </c>
      <c r="B191" s="45">
        <v>20576241.213391189</v>
      </c>
      <c r="C191" s="19">
        <v>34390306.514413498</v>
      </c>
      <c r="D191" s="19">
        <v>13814065.30102231</v>
      </c>
      <c r="E191">
        <v>14.6967</v>
      </c>
      <c r="F191" s="62">
        <v>0.67136000000000007</v>
      </c>
    </row>
    <row r="192" spans="1:6" x14ac:dyDescent="0.25">
      <c r="A192" s="61" t="s">
        <v>1901</v>
      </c>
      <c r="B192" s="45">
        <v>36573201.997052684</v>
      </c>
      <c r="C192" s="19">
        <v>33899316.675125167</v>
      </c>
      <c r="D192" s="19">
        <v>-2673885.3219275177</v>
      </c>
      <c r="E192">
        <v>19.334400000000002</v>
      </c>
      <c r="F192" s="62">
        <v>-7.3110506488958699E-2</v>
      </c>
    </row>
    <row r="193" spans="1:6" x14ac:dyDescent="0.25">
      <c r="A193" s="61" t="s">
        <v>50</v>
      </c>
      <c r="B193" s="45">
        <v>39220454.391576126</v>
      </c>
      <c r="C193" s="19">
        <v>32900985.149317712</v>
      </c>
      <c r="D193" s="19">
        <v>-6319469.2422584146</v>
      </c>
      <c r="E193">
        <v>0</v>
      </c>
      <c r="F193" s="62">
        <v>-0.16112687474665585</v>
      </c>
    </row>
    <row r="194" spans="1:6" x14ac:dyDescent="0.25">
      <c r="A194" s="61" t="s">
        <v>195</v>
      </c>
      <c r="B194" s="45">
        <v>77955547.26295054</v>
      </c>
      <c r="C194" s="19">
        <v>31855654.670241848</v>
      </c>
      <c r="D194" s="19">
        <v>-46099892.592708707</v>
      </c>
      <c r="E194">
        <v>13.73545</v>
      </c>
      <c r="F194" s="62">
        <v>-0.59136128487700723</v>
      </c>
    </row>
    <row r="195" spans="1:6" x14ac:dyDescent="0.25">
      <c r="A195" s="61" t="s">
        <v>163</v>
      </c>
      <c r="B195" s="45">
        <v>45478530.759015724</v>
      </c>
      <c r="C195" s="19">
        <v>28113825.841904476</v>
      </c>
      <c r="D195" s="19">
        <v>-17364704.917111248</v>
      </c>
      <c r="E195">
        <v>3.79115</v>
      </c>
      <c r="F195" s="62">
        <v>-0.38182202958851846</v>
      </c>
    </row>
    <row r="196" spans="1:6" x14ac:dyDescent="0.25">
      <c r="A196" s="61" t="s">
        <v>1050</v>
      </c>
      <c r="B196" s="45">
        <v>32267123.047816757</v>
      </c>
      <c r="C196" s="19">
        <v>24334756.164774626</v>
      </c>
      <c r="D196" s="19">
        <v>-7932366.8830421306</v>
      </c>
      <c r="E196">
        <v>10.407999999999999</v>
      </c>
      <c r="F196" s="62">
        <v>-0.24583433953151415</v>
      </c>
    </row>
    <row r="197" spans="1:6" x14ac:dyDescent="0.25">
      <c r="A197" s="61" t="s">
        <v>445</v>
      </c>
      <c r="B197" s="45">
        <v>41225208.496757045</v>
      </c>
      <c r="C197" s="19">
        <v>24044316.259394225</v>
      </c>
      <c r="D197" s="19">
        <v>-17180892.237362821</v>
      </c>
      <c r="E197">
        <v>0</v>
      </c>
      <c r="F197" s="62">
        <v>-0.41675695196821977</v>
      </c>
    </row>
    <row r="198" spans="1:6" x14ac:dyDescent="0.25">
      <c r="A198" s="61" t="s">
        <v>2257</v>
      </c>
      <c r="B198" s="45">
        <v>18571487.108209994</v>
      </c>
      <c r="C198" s="19">
        <v>23675948.959030867</v>
      </c>
      <c r="D198" s="19">
        <v>5104461.8508208729</v>
      </c>
      <c r="E198">
        <v>12.3527</v>
      </c>
      <c r="F198" s="62">
        <v>0.27485477178423245</v>
      </c>
    </row>
    <row r="199" spans="1:6" x14ac:dyDescent="0.25">
      <c r="A199" s="61" t="s">
        <v>1554</v>
      </c>
      <c r="B199" s="45">
        <v>19183464.677160047</v>
      </c>
      <c r="C199" s="19">
        <v>21769766.763780583</v>
      </c>
      <c r="D199" s="19">
        <v>2586302.0866205357</v>
      </c>
      <c r="E199">
        <v>30.531300000000002</v>
      </c>
      <c r="F199" s="62">
        <v>0.1348193420816107</v>
      </c>
    </row>
    <row r="200" spans="1:6" x14ac:dyDescent="0.25">
      <c r="A200" s="61" t="s">
        <v>1863</v>
      </c>
      <c r="B200" s="45">
        <v>53866843.988589957</v>
      </c>
      <c r="C200" s="19">
        <v>21448653.752422459</v>
      </c>
      <c r="D200" s="19">
        <v>-32418190.236167498</v>
      </c>
      <c r="E200">
        <v>11.05125</v>
      </c>
      <c r="F200" s="62">
        <v>-0.60182085742825953</v>
      </c>
    </row>
    <row r="201" spans="1:6" x14ac:dyDescent="0.25">
      <c r="A201" s="61" t="s">
        <v>68</v>
      </c>
      <c r="B201" s="45">
        <v>70421892.362428546</v>
      </c>
      <c r="C201" s="19">
        <v>20872429.281919405</v>
      </c>
      <c r="D201" s="19">
        <v>-49549463.080509149</v>
      </c>
      <c r="E201">
        <v>2.762</v>
      </c>
      <c r="F201" s="62">
        <v>-0.70360879860344039</v>
      </c>
    </row>
    <row r="202" spans="1:6" x14ac:dyDescent="0.25">
      <c r="A202" s="61" t="s">
        <v>1485</v>
      </c>
      <c r="B202" s="45">
        <v>43525400.049017258</v>
      </c>
      <c r="C202" s="19">
        <v>20013335.042674188</v>
      </c>
      <c r="D202" s="19">
        <v>-23512065.00634307</v>
      </c>
      <c r="E202">
        <v>26.848400000000002</v>
      </c>
      <c r="F202" s="62">
        <v>-0.54019181856718945</v>
      </c>
    </row>
    <row r="203" spans="1:6" x14ac:dyDescent="0.25">
      <c r="A203" s="61" t="s">
        <v>1199</v>
      </c>
      <c r="B203" s="45">
        <v>40054010.045835555</v>
      </c>
      <c r="C203" s="19">
        <v>19383848.422817715</v>
      </c>
      <c r="D203" s="19">
        <v>-20670161.62301784</v>
      </c>
      <c r="E203">
        <v>13.710800000000001</v>
      </c>
      <c r="F203" s="62">
        <v>-0.51605723370429257</v>
      </c>
    </row>
    <row r="204" spans="1:6" x14ac:dyDescent="0.25">
      <c r="A204" s="61" t="s">
        <v>2066</v>
      </c>
      <c r="B204" s="45">
        <v>69546131.358585417</v>
      </c>
      <c r="C204" s="19">
        <v>16921933.01629303</v>
      </c>
      <c r="D204" s="19">
        <v>-52624198.342292398</v>
      </c>
      <c r="E204">
        <v>50.5321</v>
      </c>
      <c r="F204" s="62">
        <v>-0.75668045532191874</v>
      </c>
    </row>
    <row r="205" spans="1:6" x14ac:dyDescent="0.25">
      <c r="A205" s="61" t="s">
        <v>1926</v>
      </c>
      <c r="B205" s="45">
        <v>60545840.560060725</v>
      </c>
      <c r="C205" s="19">
        <v>14091632.47824638</v>
      </c>
      <c r="D205" s="19">
        <v>-46454208.081814349</v>
      </c>
      <c r="E205">
        <v>4.3808499999999997</v>
      </c>
      <c r="F205" s="62">
        <v>-0.76725680330975587</v>
      </c>
    </row>
    <row r="206" spans="1:6" x14ac:dyDescent="0.25">
      <c r="A206" s="61" t="s">
        <v>1185</v>
      </c>
      <c r="B206" s="45">
        <v>55871598.093771234</v>
      </c>
      <c r="C206" s="19">
        <v>12017485.150607169</v>
      </c>
      <c r="D206" s="19">
        <v>-43854112.943164065</v>
      </c>
      <c r="E206">
        <v>11.1701</v>
      </c>
      <c r="F206" s="62">
        <v>-0.78490887032732071</v>
      </c>
    </row>
    <row r="207" spans="1:6" x14ac:dyDescent="0.25">
      <c r="A207" s="61" t="s">
        <v>2328</v>
      </c>
      <c r="B207" s="45">
        <v>30631665.751484659</v>
      </c>
      <c r="C207" s="19">
        <v>9415041.0999854393</v>
      </c>
      <c r="D207" s="19">
        <v>-21216624.651499219</v>
      </c>
      <c r="E207">
        <v>16.203900000000001</v>
      </c>
      <c r="F207" s="62">
        <v>-0.69263698630136983</v>
      </c>
    </row>
    <row r="208" spans="1:6" x14ac:dyDescent="0.25">
      <c r="A208" s="61" t="s">
        <v>2866</v>
      </c>
      <c r="B208" s="45">
        <v>33870926.331961766</v>
      </c>
      <c r="C208" s="19">
        <v>9018543.6317227986</v>
      </c>
      <c r="D208" s="19">
        <v>-24852382.700238965</v>
      </c>
      <c r="E208">
        <v>0</v>
      </c>
      <c r="F208" s="62">
        <v>-0.73373791010809786</v>
      </c>
    </row>
    <row r="209" spans="1:6" x14ac:dyDescent="0.25">
      <c r="A209" s="61" t="s">
        <v>2087</v>
      </c>
      <c r="B209" s="45">
        <v>78050509.299511746</v>
      </c>
      <c r="C209" s="19">
        <v>8634937.6719240546</v>
      </c>
      <c r="D209" s="19">
        <v>-69415571.627587691</v>
      </c>
      <c r="E209">
        <v>14.6838</v>
      </c>
      <c r="F209" s="62">
        <v>-0.88936731163677274</v>
      </c>
    </row>
    <row r="210" spans="1:6" x14ac:dyDescent="0.25">
      <c r="A210" s="61" t="s">
        <v>1977</v>
      </c>
      <c r="B210" s="45">
        <v>37046878.888064176</v>
      </c>
      <c r="C210" s="19">
        <v>7619785.7710638009</v>
      </c>
      <c r="D210" s="19">
        <v>-29427093.117000375</v>
      </c>
      <c r="E210">
        <v>21.625499999999999</v>
      </c>
      <c r="F210" s="62">
        <v>-0.79432043940633401</v>
      </c>
    </row>
    <row r="211" spans="1:6" x14ac:dyDescent="0.25">
      <c r="A211" s="61" t="s">
        <v>1331</v>
      </c>
      <c r="B211" s="45">
        <v>38313039.375546858</v>
      </c>
      <c r="C211" s="19">
        <v>5832823.7358653229</v>
      </c>
      <c r="D211" s="19">
        <v>-32480215.639681533</v>
      </c>
      <c r="E211">
        <v>0</v>
      </c>
      <c r="F211" s="62">
        <v>-0.84775878314712616</v>
      </c>
    </row>
    <row r="212" spans="1:6" x14ac:dyDescent="0.25">
      <c r="A212" s="61" t="s">
        <v>2754</v>
      </c>
      <c r="B212" s="45">
        <v>25092213.618746907</v>
      </c>
      <c r="C212" s="19">
        <v>5772230.8676881287</v>
      </c>
      <c r="D212" s="19">
        <v>-19319982.75105878</v>
      </c>
      <c r="E212">
        <v>45.191800000000001</v>
      </c>
      <c r="F212" s="62">
        <v>-0.76995928077961306</v>
      </c>
    </row>
    <row r="213" spans="1:6" x14ac:dyDescent="0.25">
      <c r="A213" s="61" t="s">
        <v>2124</v>
      </c>
      <c r="B213" s="45">
        <v>52590132.163711175</v>
      </c>
      <c r="C213" s="19">
        <v>3066473.9985218891</v>
      </c>
      <c r="D213" s="19">
        <v>-49523658.165189281</v>
      </c>
      <c r="E213">
        <v>2.2586499999999998</v>
      </c>
      <c r="F213" s="62">
        <v>-0.94169107639859007</v>
      </c>
    </row>
    <row r="214" spans="1:6" x14ac:dyDescent="0.25">
      <c r="A214" s="61" t="s">
        <v>5784</v>
      </c>
      <c r="B214" s="45">
        <v>9396604443.5515556</v>
      </c>
      <c r="C214" s="19">
        <v>43484455541.125885</v>
      </c>
      <c r="D214" s="19">
        <v>34087851097.574303</v>
      </c>
      <c r="E214">
        <v>24.971939464882954</v>
      </c>
      <c r="F214" s="62">
        <v>3.6276775618630204</v>
      </c>
    </row>
  </sheetData>
  <mergeCells count="6">
    <mergeCell ref="A2:F2"/>
    <mergeCell ref="A109:F109"/>
    <mergeCell ref="H3:I3"/>
    <mergeCell ref="H11:I11"/>
    <mergeCell ref="H19:I19"/>
    <mergeCell ref="H27:I27"/>
  </mergeCells>
  <pageMargins left="0.7" right="0.7" top="0.75" bottom="0.75" header="0.3" footer="0.3"/>
  <pageSetup scale="63" orientation="portrait" horizontalDpi="300" verticalDpi="300" r:id="rId3"/>
  <headerFooter differentFirst="1">
    <oddHeader>&amp;C&amp;"Calibri,Bold"&amp;28&amp;A&amp;R&amp;"Calibri,Bold"&amp;28&amp;P</oddHeader>
    <firstHeader>&amp;C&amp;"Calibri,Bold"&amp;28Top 5 Bottom 5 Sectors&amp;R&amp;"Calibri,Bold"&amp;28&amp;P</first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autoPageBreaks="0" fitToPage="1"/>
  </sheetPr>
  <dimension ref="A1:M2585"/>
  <sheetViews>
    <sheetView zoomScale="70" zoomScaleNormal="70" zoomScaleSheetLayoutView="55" zoomScalePageLayoutView="110" workbookViewId="0">
      <pane ySplit="8" topLeftCell="A9" activePane="bottomLeft" state="frozen"/>
      <selection pane="bottomLeft" activeCell="O18" sqref="O18"/>
    </sheetView>
  </sheetViews>
  <sheetFormatPr defaultColWidth="16" defaultRowHeight="13.2" x14ac:dyDescent="0.25"/>
  <cols>
    <col min="1" max="1" width="52" customWidth="1"/>
    <col min="2" max="2" width="39.109375" bestFit="1" customWidth="1"/>
    <col min="3" max="3" width="8.88671875" bestFit="1" customWidth="1"/>
    <col min="4" max="4" width="13" bestFit="1" customWidth="1"/>
    <col min="5" max="5" width="15.33203125" bestFit="1" customWidth="1"/>
    <col min="6" max="6" width="25.5546875" style="19" bestFit="1" customWidth="1"/>
    <col min="7" max="7" width="15.33203125" bestFit="1" customWidth="1"/>
    <col min="8" max="8" width="9.77734375" bestFit="1" customWidth="1"/>
    <col min="9" max="9" width="26.77734375" bestFit="1" customWidth="1"/>
    <col min="10" max="10" width="23.44140625" style="19" bestFit="1" customWidth="1"/>
    <col min="11" max="11" width="13.88671875" bestFit="1" customWidth="1"/>
    <col min="12" max="12" width="14.44140625" bestFit="1" customWidth="1"/>
    <col min="13" max="13" width="16.109375" bestFit="1" customWidth="1"/>
  </cols>
  <sheetData>
    <row r="1" spans="1:13" ht="24" customHeight="1" thickBot="1" x14ac:dyDescent="0.45">
      <c r="A1" s="27" t="s">
        <v>5757</v>
      </c>
      <c r="B1" s="28"/>
      <c r="C1" s="35"/>
      <c r="D1" s="35"/>
      <c r="E1" s="35"/>
      <c r="F1" s="50"/>
      <c r="G1" s="35"/>
      <c r="H1" s="35"/>
      <c r="I1" s="35"/>
      <c r="J1" s="57"/>
      <c r="K1" s="43"/>
      <c r="L1" s="23"/>
      <c r="M1" s="23"/>
    </row>
    <row r="2" spans="1:13" x14ac:dyDescent="0.25">
      <c r="A2" s="23"/>
      <c r="B2" s="20" t="s">
        <v>5763</v>
      </c>
      <c r="C2" s="23"/>
      <c r="D2" s="23"/>
      <c r="E2" s="23"/>
      <c r="F2" s="51"/>
      <c r="G2" s="23"/>
      <c r="H2" s="23"/>
      <c r="I2" s="33" t="s">
        <v>3</v>
      </c>
      <c r="J2" s="59">
        <f>SUM($D$9:$D$2565)</f>
        <v>0.96180535399999501</v>
      </c>
      <c r="K2" s="44"/>
      <c r="L2" s="23"/>
      <c r="M2" s="23"/>
    </row>
    <row r="3" spans="1:13" ht="13.8" thickBot="1" x14ac:dyDescent="0.3">
      <c r="A3" s="23"/>
      <c r="B3" s="38" t="s">
        <v>5797</v>
      </c>
      <c r="C3" s="23"/>
      <c r="D3" s="23"/>
      <c r="E3" s="24"/>
      <c r="F3" s="52"/>
      <c r="G3" s="23"/>
      <c r="H3" s="23"/>
      <c r="I3" s="34" t="s">
        <v>5774</v>
      </c>
      <c r="J3" s="72">
        <v>9769756847.861763</v>
      </c>
      <c r="K3" s="45"/>
      <c r="L3" s="23"/>
      <c r="M3" s="23"/>
    </row>
    <row r="4" spans="1:13" ht="13.8" thickBot="1" x14ac:dyDescent="0.3">
      <c r="A4" s="23"/>
      <c r="B4" s="21" t="s">
        <v>0</v>
      </c>
      <c r="C4" s="23"/>
      <c r="D4" s="23"/>
      <c r="E4" s="23"/>
      <c r="F4" s="51"/>
      <c r="G4" s="23"/>
      <c r="H4" s="23"/>
      <c r="I4" s="31" t="s">
        <v>5777</v>
      </c>
      <c r="J4" s="73">
        <f>SUM(F9:F307)</f>
        <v>43484455541.125862</v>
      </c>
      <c r="K4" s="46"/>
      <c r="L4" s="23"/>
      <c r="M4" s="23"/>
    </row>
    <row r="5" spans="1:13" ht="26.4" thickBot="1" x14ac:dyDescent="0.3">
      <c r="A5" s="23"/>
      <c r="B5" s="38" t="s">
        <v>5773</v>
      </c>
      <c r="C5" s="77">
        <f>(RUA!E2-RUA!E252)/RUA!E252</f>
        <v>1.1606400848731324</v>
      </c>
      <c r="D5" s="23"/>
      <c r="E5" s="23"/>
      <c r="F5" s="51"/>
      <c r="G5" s="23"/>
      <c r="H5" s="23"/>
      <c r="I5" s="31" t="s">
        <v>5770</v>
      </c>
      <c r="J5" s="74">
        <f>J4-J3</f>
        <v>33714698693.264099</v>
      </c>
      <c r="K5" s="46"/>
      <c r="L5" s="23"/>
      <c r="M5" s="23"/>
    </row>
    <row r="6" spans="1:13" ht="13.8" thickBot="1" x14ac:dyDescent="0.3">
      <c r="A6" s="23"/>
      <c r="B6" s="36" t="s">
        <v>5771</v>
      </c>
      <c r="C6" s="64">
        <f>((RUA!E2/RUA!E252)^(1/7))-1</f>
        <v>0.11634257938317027</v>
      </c>
      <c r="D6" s="23"/>
      <c r="E6" s="23"/>
      <c r="F6" s="51"/>
      <c r="G6" s="23"/>
      <c r="H6" s="23"/>
      <c r="I6" s="37" t="s">
        <v>5772</v>
      </c>
      <c r="J6" s="63">
        <f>((J4/J3)^(1/7))-1</f>
        <v>0.23775803574990162</v>
      </c>
      <c r="K6" s="46"/>
      <c r="L6" s="23"/>
      <c r="M6" s="23"/>
    </row>
    <row r="7" spans="1:13" ht="13.8" thickBot="1" x14ac:dyDescent="0.3">
      <c r="A7" s="23"/>
      <c r="B7" s="22" t="s">
        <v>5760</v>
      </c>
      <c r="C7" s="25"/>
      <c r="D7" s="26"/>
      <c r="E7" s="26"/>
      <c r="F7" s="53"/>
      <c r="G7" s="23"/>
      <c r="H7" s="23"/>
      <c r="I7" s="32" t="s">
        <v>5778</v>
      </c>
      <c r="J7" s="63">
        <f>(J4-J3)/J3</f>
        <v>3.4509250555854925</v>
      </c>
      <c r="K7" s="46"/>
      <c r="L7" s="23"/>
      <c r="M7" s="23"/>
    </row>
    <row r="8" spans="1:13" ht="44.55" customHeight="1" thickBot="1" x14ac:dyDescent="0.3">
      <c r="A8" s="6" t="s">
        <v>2944</v>
      </c>
      <c r="B8" s="6" t="s">
        <v>5761</v>
      </c>
      <c r="C8" s="12" t="s">
        <v>5759</v>
      </c>
      <c r="D8" s="12" t="s">
        <v>1</v>
      </c>
      <c r="E8" s="12" t="s">
        <v>5775</v>
      </c>
      <c r="F8" s="54" t="s">
        <v>5779</v>
      </c>
      <c r="G8" s="12" t="s">
        <v>5762</v>
      </c>
      <c r="H8" s="12" t="s">
        <v>5772</v>
      </c>
      <c r="I8" s="12" t="s">
        <v>5776</v>
      </c>
      <c r="J8" s="58" t="s">
        <v>5783</v>
      </c>
      <c r="K8" s="30" t="s">
        <v>5782</v>
      </c>
      <c r="L8" s="6" t="s">
        <v>5769</v>
      </c>
      <c r="M8" s="6" t="s">
        <v>5768</v>
      </c>
    </row>
    <row r="9" spans="1:13" ht="15" customHeight="1" x14ac:dyDescent="0.25">
      <c r="A9" s="65" t="str">
        <f>_xlfn.XLOOKUP(C9,'Sectors &amp; Company Names'!$B$2:$B$2814,'Sectors &amp; Company Names'!$C$2:$C$2814)</f>
        <v>Media - Diversified</v>
      </c>
      <c r="B9" s="65" t="str">
        <f>_xlfn.XLOOKUP(C9,'Sectors &amp; Company Names'!$B$2:$B$2814,'Sectors &amp; Company Names'!$A$2:$A$2814)</f>
        <v>21ST CENTURY FOX CL B FOX</v>
      </c>
      <c r="C9" s="65" t="s">
        <v>1602</v>
      </c>
      <c r="D9" s="66">
        <v>4.0501159999999353E-3</v>
      </c>
      <c r="E9" s="67">
        <f t="shared" ref="E9:E72" si="0">+$J$3*D9</f>
        <v>39568648.525633857</v>
      </c>
      <c r="F9" s="67">
        <f t="shared" ref="F9:F72" si="1">(L9+1)*E9</f>
        <v>112931979.69762453</v>
      </c>
      <c r="G9" s="71">
        <f t="shared" ref="G9:G72" si="2">F9-E9</f>
        <v>73363331.171990678</v>
      </c>
      <c r="H9" s="78">
        <f t="shared" ref="H9:H72" si="3">((F9/E9)^(1/7))-1</f>
        <v>0.1616265563831556</v>
      </c>
      <c r="I9" s="68">
        <v>18.64</v>
      </c>
      <c r="J9" s="68">
        <v>53.2</v>
      </c>
      <c r="K9" s="69">
        <v>0</v>
      </c>
      <c r="L9" s="70">
        <f t="shared" ref="L9:L72" si="4">+(J9-I9)/I9</f>
        <v>1.8540772532188843</v>
      </c>
      <c r="M9" s="95">
        <f t="shared" ref="M9:M72" si="5">F9/J9</f>
        <v>2122781.5732636191</v>
      </c>
    </row>
    <row r="10" spans="1:13" ht="15" customHeight="1" x14ac:dyDescent="0.25">
      <c r="A10" s="65" t="str">
        <f>_xlfn.XLOOKUP(C10,'Sectors &amp; Company Names'!$B$2:$B$2814,'Sectors &amp; Company Names'!$C$2:$C$2814)</f>
        <v>Building Materials</v>
      </c>
      <c r="B10" s="65" t="str">
        <f>_xlfn.XLOOKUP(C10,'Sectors &amp; Company Names'!$B$2:$B$2814,'Sectors &amp; Company Names'!$A$2:$A$2814)</f>
        <v>AAON INC</v>
      </c>
      <c r="C10" s="65" t="s">
        <v>632</v>
      </c>
      <c r="D10" s="66">
        <v>2.9075699999999999E-3</v>
      </c>
      <c r="E10" s="67">
        <f t="shared" si="0"/>
        <v>28406251.918137427</v>
      </c>
      <c r="F10" s="67">
        <f t="shared" si="1"/>
        <v>181152301.49856472</v>
      </c>
      <c r="G10" s="71">
        <f t="shared" si="2"/>
        <v>152746049.58042729</v>
      </c>
      <c r="H10" s="78">
        <f t="shared" si="3"/>
        <v>0.30300814866940207</v>
      </c>
      <c r="I10" s="68">
        <v>16.489999999999998</v>
      </c>
      <c r="J10" s="68">
        <v>105.16</v>
      </c>
      <c r="K10" s="69">
        <v>45.348300000000002</v>
      </c>
      <c r="L10" s="70">
        <f t="shared" si="4"/>
        <v>5.3771983020012133</v>
      </c>
      <c r="M10" s="95">
        <f t="shared" si="5"/>
        <v>1722635.0465820152</v>
      </c>
    </row>
    <row r="11" spans="1:13" ht="15" customHeight="1" x14ac:dyDescent="0.25">
      <c r="A11" s="65" t="str">
        <f>_xlfn.XLOOKUP(C11,'Sectors &amp; Company Names'!$B$2:$B$2814,'Sectors &amp; Company Names'!$C$2:$C$2814)</f>
        <v>Medical Devices</v>
      </c>
      <c r="B11" s="65" t="str">
        <f>_xlfn.XLOOKUP(C11,'Sectors &amp; Company Names'!$B$2:$B$2814,'Sectors &amp; Company Names'!$A$2:$A$2814)</f>
        <v>ABBOTT LABORATORIES</v>
      </c>
      <c r="C11" s="65" t="s">
        <v>1635</v>
      </c>
      <c r="D11" s="66">
        <v>4.4399959999998741E-3</v>
      </c>
      <c r="E11" s="67">
        <f t="shared" si="0"/>
        <v>43377681.325477608</v>
      </c>
      <c r="F11" s="67">
        <f t="shared" si="1"/>
        <v>1578054184.5886488</v>
      </c>
      <c r="G11" s="71">
        <f t="shared" si="2"/>
        <v>1534676503.2631712</v>
      </c>
      <c r="H11" s="78">
        <f t="shared" si="3"/>
        <v>0.67101122853078166</v>
      </c>
      <c r="I11" s="68">
        <v>3.69</v>
      </c>
      <c r="J11" s="68">
        <v>134.24</v>
      </c>
      <c r="K11" s="69">
        <v>17.549299999999999</v>
      </c>
      <c r="L11" s="70">
        <f t="shared" si="4"/>
        <v>35.379403794037941</v>
      </c>
      <c r="M11" s="95">
        <f t="shared" si="5"/>
        <v>11755469.19389637</v>
      </c>
    </row>
    <row r="12" spans="1:13" ht="15" customHeight="1" x14ac:dyDescent="0.25">
      <c r="A12" s="65" t="str">
        <f>_xlfn.XLOOKUP(C12,'Sectors &amp; Company Names'!$B$2:$B$2814,'Sectors &amp; Company Names'!$C$2:$C$2814)</f>
        <v>Drug Manufacturers - Major</v>
      </c>
      <c r="B12" s="65" t="str">
        <f>_xlfn.XLOOKUP(C12,'Sectors &amp; Company Names'!$B$2:$B$2814,'Sectors &amp; Company Names'!$A$2:$A$2814)</f>
        <v>ABBVIE INC</v>
      </c>
      <c r="C12" s="65" t="s">
        <v>1040</v>
      </c>
      <c r="D12" s="66">
        <v>4.2326359999999069E-3</v>
      </c>
      <c r="E12" s="67">
        <f t="shared" si="0"/>
        <v>41351824.545505315</v>
      </c>
      <c r="F12" s="67">
        <f t="shared" si="1"/>
        <v>55637903.241570607</v>
      </c>
      <c r="G12" s="71">
        <f t="shared" si="2"/>
        <v>14286078.696065292</v>
      </c>
      <c r="H12" s="78">
        <f t="shared" si="3"/>
        <v>4.330399012294861E-2</v>
      </c>
      <c r="I12" s="68">
        <v>149.88</v>
      </c>
      <c r="J12" s="68">
        <v>201.66</v>
      </c>
      <c r="K12" s="69">
        <v>84.844899999999996</v>
      </c>
      <c r="L12" s="70">
        <f t="shared" si="4"/>
        <v>0.34547638110488393</v>
      </c>
      <c r="M12" s="95">
        <f t="shared" si="5"/>
        <v>275899.54994332348</v>
      </c>
    </row>
    <row r="13" spans="1:13" ht="15" customHeight="1" x14ac:dyDescent="0.25">
      <c r="A13" s="65" t="str">
        <f>_xlfn.XLOOKUP(C13,'Sectors &amp; Company Names'!$B$2:$B$2814,'Sectors &amp; Company Names'!$C$2:$C$2814)</f>
        <v>Business Services</v>
      </c>
      <c r="B13" s="65" t="str">
        <f>_xlfn.XLOOKUP(C13,'Sectors &amp; Company Names'!$B$2:$B$2814,'Sectors &amp; Company Names'!$A$2:$A$2814)</f>
        <v>ABM INDUSTRIES INC</v>
      </c>
      <c r="C13" s="65" t="s">
        <v>676</v>
      </c>
      <c r="D13" s="66">
        <v>4.1559559999999182E-3</v>
      </c>
      <c r="E13" s="67">
        <f t="shared" si="0"/>
        <v>40602679.59041138</v>
      </c>
      <c r="F13" s="67">
        <f t="shared" si="1"/>
        <v>129496265.45713781</v>
      </c>
      <c r="G13" s="71">
        <f t="shared" si="2"/>
        <v>88893585.866726428</v>
      </c>
      <c r="H13" s="78">
        <f t="shared" si="3"/>
        <v>0.18020515392354475</v>
      </c>
      <c r="I13" s="68">
        <v>16.53</v>
      </c>
      <c r="J13" s="68">
        <v>52.72</v>
      </c>
      <c r="K13" s="69">
        <v>41.237499999999997</v>
      </c>
      <c r="L13" s="70">
        <f t="shared" si="4"/>
        <v>2.189352692075015</v>
      </c>
      <c r="M13" s="95">
        <f t="shared" si="5"/>
        <v>2456302.4555602772</v>
      </c>
    </row>
    <row r="14" spans="1:13" ht="15" customHeight="1" x14ac:dyDescent="0.25">
      <c r="A14" s="65" t="str">
        <f>_xlfn.XLOOKUP(C14,'Sectors &amp; Company Names'!$B$2:$B$2814,'Sectors &amp; Company Names'!$C$2:$C$2814)</f>
        <v>REIT - Retail</v>
      </c>
      <c r="B14" s="65" t="str">
        <f>_xlfn.XLOOKUP(C14,'Sectors &amp; Company Names'!$B$2:$B$2814,'Sectors &amp; Company Names'!$A$2:$A$2814)</f>
        <v>ACADIA REALTY TRUST</v>
      </c>
      <c r="C14" s="65" t="s">
        <v>2186</v>
      </c>
      <c r="D14" s="66">
        <v>4.3697959999998851E-3</v>
      </c>
      <c r="E14" s="67">
        <f t="shared" si="0"/>
        <v>42691844.394757815</v>
      </c>
      <c r="F14" s="67">
        <f t="shared" si="1"/>
        <v>33879239.709798262</v>
      </c>
      <c r="G14" s="71">
        <f t="shared" si="2"/>
        <v>-8812604.6849595532</v>
      </c>
      <c r="H14" s="78">
        <f t="shared" si="3"/>
        <v>-3.2489840755867583E-2</v>
      </c>
      <c r="I14" s="68">
        <v>28.8</v>
      </c>
      <c r="J14" s="68">
        <v>22.855</v>
      </c>
      <c r="K14" s="69">
        <v>124.93219999999999</v>
      </c>
      <c r="L14" s="70">
        <f t="shared" si="4"/>
        <v>-0.20642361111111113</v>
      </c>
      <c r="M14" s="95">
        <f t="shared" si="5"/>
        <v>1482355.708151313</v>
      </c>
    </row>
    <row r="15" spans="1:13" ht="15" customHeight="1" x14ac:dyDescent="0.25">
      <c r="A15" s="65" t="str">
        <f>_xlfn.XLOOKUP(C15,'Sectors &amp; Company Names'!$B$2:$B$2814,'Sectors &amp; Company Names'!$C$2:$C$2814)</f>
        <v>Business Equipment</v>
      </c>
      <c r="B15" s="65" t="str">
        <f>_xlfn.XLOOKUP(C15,'Sectors &amp; Company Names'!$B$2:$B$2814,'Sectors &amp; Company Names'!$A$2:$A$2814)</f>
        <v>ACCO BRANDS CORP</v>
      </c>
      <c r="C15" s="65" t="s">
        <v>664</v>
      </c>
      <c r="D15" s="66">
        <v>2.3728760000000012E-3</v>
      </c>
      <c r="E15" s="67">
        <f t="shared" si="0"/>
        <v>23182421.550126839</v>
      </c>
      <c r="F15" s="67">
        <f t="shared" si="1"/>
        <v>7039446.2780119386</v>
      </c>
      <c r="G15" s="71">
        <f t="shared" si="2"/>
        <v>-16142975.272114901</v>
      </c>
      <c r="H15" s="78">
        <f t="shared" si="3"/>
        <v>-0.15655990412432275</v>
      </c>
      <c r="I15" s="68">
        <v>15.05</v>
      </c>
      <c r="J15" s="68">
        <v>4.57</v>
      </c>
      <c r="K15" s="65">
        <v>0</v>
      </c>
      <c r="L15" s="70">
        <f t="shared" si="4"/>
        <v>-0.69634551495016606</v>
      </c>
      <c r="M15" s="95">
        <f t="shared" si="5"/>
        <v>1540360.2358888267</v>
      </c>
    </row>
    <row r="16" spans="1:13" ht="15" customHeight="1" x14ac:dyDescent="0.25">
      <c r="A16" s="65" t="str">
        <f>_xlfn.XLOOKUP(C16,'Sectors &amp; Company Names'!$B$2:$B$2814,'Sectors &amp; Company Names'!$C$2:$C$2814)</f>
        <v>Medical Care</v>
      </c>
      <c r="B16" s="65" t="str">
        <f>_xlfn.XLOOKUP(C16,'Sectors &amp; Company Names'!$B$2:$B$2814,'Sectors &amp; Company Names'!$A$2:$A$2814)</f>
        <v>ADDUS HOMECARE CORP</v>
      </c>
      <c r="C16" s="65" t="s">
        <v>1610</v>
      </c>
      <c r="D16" s="66">
        <v>2.275675999999999E-3</v>
      </c>
      <c r="E16" s="67">
        <f t="shared" si="0"/>
        <v>22232801.184514657</v>
      </c>
      <c r="F16" s="67">
        <f t="shared" si="1"/>
        <v>105442544.15347636</v>
      </c>
      <c r="G16" s="71">
        <f t="shared" si="2"/>
        <v>83209742.968961701</v>
      </c>
      <c r="H16" s="78">
        <f t="shared" si="3"/>
        <v>0.24903476767339194</v>
      </c>
      <c r="I16" s="68">
        <v>22.81</v>
      </c>
      <c r="J16" s="68">
        <v>108.18</v>
      </c>
      <c r="K16" s="69">
        <v>25.014900000000001</v>
      </c>
      <c r="L16" s="70">
        <f t="shared" si="4"/>
        <v>3.7426567295046036</v>
      </c>
      <c r="M16" s="95">
        <f t="shared" si="5"/>
        <v>974695.36100458819</v>
      </c>
    </row>
    <row r="17" spans="1:13" ht="15" customHeight="1" x14ac:dyDescent="0.25">
      <c r="A17" s="65" t="str">
        <f>_xlfn.XLOOKUP(C17,'Sectors &amp; Company Names'!$B$2:$B$2814,'Sectors &amp; Company Names'!$C$2:$C$2814)</f>
        <v>Auto Parts</v>
      </c>
      <c r="B17" s="65" t="str">
        <f>_xlfn.XLOOKUP(C17,'Sectors &amp; Company Names'!$B$2:$B$2814,'Sectors &amp; Company Names'!$A$2:$A$2814)</f>
        <v>ADIENT PLC</v>
      </c>
      <c r="C17" s="65" t="s">
        <v>169</v>
      </c>
      <c r="D17" s="66">
        <v>2.6731160000000088E-3</v>
      </c>
      <c r="E17" s="67">
        <f t="shared" si="0"/>
        <v>26115693.346128929</v>
      </c>
      <c r="F17" s="67">
        <f t="shared" si="1"/>
        <v>14080273.146346917</v>
      </c>
      <c r="G17" s="71">
        <f t="shared" si="2"/>
        <v>-12035420.199782012</v>
      </c>
      <c r="H17" s="78">
        <f t="shared" si="3"/>
        <v>-8.4469560040981606E-2</v>
      </c>
      <c r="I17" s="68">
        <v>31.29</v>
      </c>
      <c r="J17" s="68">
        <v>16.87</v>
      </c>
      <c r="K17" s="65">
        <v>0</v>
      </c>
      <c r="L17" s="70">
        <f t="shared" si="4"/>
        <v>-0.46085011185682323</v>
      </c>
      <c r="M17" s="95">
        <f t="shared" si="5"/>
        <v>834633.85574077745</v>
      </c>
    </row>
    <row r="18" spans="1:13" ht="15" customHeight="1" x14ac:dyDescent="0.25">
      <c r="A18" s="65" t="str">
        <f>_xlfn.XLOOKUP(C18,'Sectors &amp; Company Names'!$B$2:$B$2814,'Sectors &amp; Company Names'!$C$2:$C$2814)</f>
        <v>Software - Application</v>
      </c>
      <c r="B18" s="65" t="str">
        <f>_xlfn.XLOOKUP(C18,'Sectors &amp; Company Names'!$B$2:$B$2814,'Sectors &amp; Company Names'!$A$2:$A$2814)</f>
        <v>ADOBE SYSTEMS INC</v>
      </c>
      <c r="C18" s="65" t="s">
        <v>2502</v>
      </c>
      <c r="D18" s="66">
        <v>3.0251960000000169E-3</v>
      </c>
      <c r="E18" s="67">
        <f t="shared" si="0"/>
        <v>29555429.33712418</v>
      </c>
      <c r="F18" s="67">
        <f t="shared" si="1"/>
        <v>465678483.26539272</v>
      </c>
      <c r="G18" s="71">
        <f t="shared" si="2"/>
        <v>436123053.92826855</v>
      </c>
      <c r="H18" s="78">
        <f t="shared" si="3"/>
        <v>0.48273701177724271</v>
      </c>
      <c r="I18" s="68">
        <v>28.25</v>
      </c>
      <c r="J18" s="68">
        <v>445.11</v>
      </c>
      <c r="K18" s="69">
        <v>35.841200000000001</v>
      </c>
      <c r="L18" s="70">
        <f t="shared" si="4"/>
        <v>14.756106194690267</v>
      </c>
      <c r="M18" s="95">
        <f t="shared" si="5"/>
        <v>1046209.8880397941</v>
      </c>
    </row>
    <row r="19" spans="1:13" ht="15" customHeight="1" x14ac:dyDescent="0.25">
      <c r="A19" s="65" t="str">
        <f>_xlfn.XLOOKUP(C19,'Sectors &amp; Company Names'!$B$2:$B$2814,'Sectors &amp; Company Names'!$C$2:$C$2814)</f>
        <v>Semiconductors</v>
      </c>
      <c r="B19" s="65" t="str">
        <f>_xlfn.XLOOKUP(C19,'Sectors &amp; Company Names'!$B$2:$B$2814,'Sectors &amp; Company Names'!$A$2:$A$2814)</f>
        <v>ADVANCED MICRO DEVICES</v>
      </c>
      <c r="C19" s="65" t="s">
        <v>2425</v>
      </c>
      <c r="D19" s="66">
        <v>1.7399959999999999E-3</v>
      </c>
      <c r="E19" s="67">
        <f t="shared" si="0"/>
        <v>16999337.836252075</v>
      </c>
      <c r="F19" s="67">
        <f t="shared" si="1"/>
        <v>17311.914062379175</v>
      </c>
      <c r="G19" s="71">
        <f t="shared" si="2"/>
        <v>-16982025.922189694</v>
      </c>
      <c r="H19" s="78">
        <f t="shared" si="3"/>
        <v>-0.62626909562385158</v>
      </c>
      <c r="I19" s="68">
        <v>35.35</v>
      </c>
      <c r="J19" s="68">
        <v>3.5999999999999997E-2</v>
      </c>
      <c r="K19" s="65">
        <v>0</v>
      </c>
      <c r="L19" s="70">
        <f t="shared" si="4"/>
        <v>-0.99898161244695893</v>
      </c>
      <c r="M19" s="95">
        <f t="shared" si="5"/>
        <v>480886.50173275493</v>
      </c>
    </row>
    <row r="20" spans="1:13" ht="15" customHeight="1" x14ac:dyDescent="0.25">
      <c r="A20" s="65" t="str">
        <f>_xlfn.XLOOKUP(C20,'Sectors &amp; Company Names'!$B$2:$B$2814,'Sectors &amp; Company Names'!$C$2:$C$2814)</f>
        <v>Engineering &amp; Construction</v>
      </c>
      <c r="B20" s="65" t="str">
        <f>_xlfn.XLOOKUP(C20,'Sectors &amp; Company Names'!$B$2:$B$2814,'Sectors &amp; Company Names'!$A$2:$A$2814)</f>
        <v>AECOM</v>
      </c>
      <c r="C20" s="65" t="s">
        <v>1150</v>
      </c>
      <c r="D20" s="66">
        <v>3.1148360000000192E-3</v>
      </c>
      <c r="E20" s="67">
        <f t="shared" si="0"/>
        <v>30431190.34096653</v>
      </c>
      <c r="F20" s="67">
        <f t="shared" si="1"/>
        <v>38562854.769179583</v>
      </c>
      <c r="G20" s="71">
        <f t="shared" si="2"/>
        <v>8131664.4282130525</v>
      </c>
      <c r="H20" s="78">
        <f t="shared" si="3"/>
        <v>3.4410430003799952E-2</v>
      </c>
      <c r="I20" s="68">
        <v>77.84</v>
      </c>
      <c r="J20" s="68">
        <v>98.64</v>
      </c>
      <c r="K20" s="69">
        <v>22.460899999999999</v>
      </c>
      <c r="L20" s="70">
        <f t="shared" si="4"/>
        <v>0.26721479958890026</v>
      </c>
      <c r="M20" s="95">
        <f t="shared" si="5"/>
        <v>390945.40520255052</v>
      </c>
    </row>
    <row r="21" spans="1:13" ht="15" customHeight="1" x14ac:dyDescent="0.25">
      <c r="A21" s="65" t="str">
        <f>_xlfn.XLOOKUP(C21,'Sectors &amp; Company Names'!$B$2:$B$2814,'Sectors &amp; Company Names'!$C$2:$C$2814)</f>
        <v>Aerospace &amp; Defense</v>
      </c>
      <c r="B21" s="65" t="str">
        <f>_xlfn.XLOOKUP(C21,'Sectors &amp; Company Names'!$B$2:$B$2814,'Sectors &amp; Company Names'!$A$2:$A$2814)</f>
        <v>AEROVIRONMENT INC</v>
      </c>
      <c r="C21" s="65" t="s">
        <v>18</v>
      </c>
      <c r="D21" s="66">
        <v>2.4646760000000037E-3</v>
      </c>
      <c r="E21" s="67">
        <f t="shared" si="0"/>
        <v>24079285.228760574</v>
      </c>
      <c r="F21" s="67">
        <f t="shared" si="1"/>
        <v>696678983.28221488</v>
      </c>
      <c r="G21" s="71">
        <f t="shared" si="2"/>
        <v>672599698.05345428</v>
      </c>
      <c r="H21" s="78">
        <f t="shared" si="3"/>
        <v>0.6172228690299868</v>
      </c>
      <c r="I21" s="68">
        <v>5.35</v>
      </c>
      <c r="J21" s="68">
        <v>154.79</v>
      </c>
      <c r="K21" s="69">
        <v>89.6554</v>
      </c>
      <c r="L21" s="70">
        <f t="shared" si="4"/>
        <v>27.932710280373833</v>
      </c>
      <c r="M21" s="95">
        <f t="shared" si="5"/>
        <v>4500800.9773384258</v>
      </c>
    </row>
    <row r="22" spans="1:13" ht="15" customHeight="1" x14ac:dyDescent="0.25">
      <c r="A22" s="65" t="str">
        <f>_xlfn.XLOOKUP(C22,'Sectors &amp; Company Names'!$B$2:$B$2814,'Sectors &amp; Company Names'!$C$2:$C$2814)</f>
        <v>Utilities - Diversified</v>
      </c>
      <c r="B22" s="65" t="str">
        <f>_xlfn.XLOOKUP(C22,'Sectors &amp; Company Names'!$B$2:$B$2814,'Sectors &amp; Company Names'!$A$2:$A$2814)</f>
        <v>AES CORP</v>
      </c>
      <c r="C22" s="65" t="s">
        <v>2864</v>
      </c>
      <c r="D22" s="66">
        <v>4.3892359999998824E-3</v>
      </c>
      <c r="E22" s="67">
        <f t="shared" si="0"/>
        <v>42881768.467880227</v>
      </c>
      <c r="F22" s="67">
        <f t="shared" si="1"/>
        <v>14531773.69839525</v>
      </c>
      <c r="G22" s="71">
        <f t="shared" si="2"/>
        <v>-28349994.769484974</v>
      </c>
      <c r="H22" s="78">
        <f t="shared" si="3"/>
        <v>-0.14323107650618572</v>
      </c>
      <c r="I22" s="68">
        <v>31.25</v>
      </c>
      <c r="J22" s="68">
        <v>10.59</v>
      </c>
      <c r="K22" s="69">
        <v>7.1605999999999996</v>
      </c>
      <c r="L22" s="70">
        <f t="shared" si="4"/>
        <v>-0.66112000000000004</v>
      </c>
      <c r="M22" s="95">
        <f t="shared" si="5"/>
        <v>1372216.5909721672</v>
      </c>
    </row>
    <row r="23" spans="1:13" ht="15" customHeight="1" x14ac:dyDescent="0.25">
      <c r="A23" s="65" t="str">
        <f>_xlfn.XLOOKUP(C23,'Sectors &amp; Company Names'!$B$2:$B$2814,'Sectors &amp; Company Names'!$C$2:$C$2814)</f>
        <v>Asset Management</v>
      </c>
      <c r="B23" s="65" t="str">
        <f>_xlfn.XLOOKUP(C23,'Sectors &amp; Company Names'!$B$2:$B$2814,'Sectors &amp; Company Names'!$A$2:$A$2814)</f>
        <v>AFFILIATED MANAGERS GRP</v>
      </c>
      <c r="C23" s="65" t="s">
        <v>122</v>
      </c>
      <c r="D23" s="66">
        <v>3.9313159999999538E-3</v>
      </c>
      <c r="E23" s="67">
        <f t="shared" si="0"/>
        <v>38408001.412108064</v>
      </c>
      <c r="F23" s="67">
        <f t="shared" si="1"/>
        <v>183701427.8065958</v>
      </c>
      <c r="G23" s="71">
        <f t="shared" si="2"/>
        <v>145293426.39448774</v>
      </c>
      <c r="H23" s="78">
        <f t="shared" si="3"/>
        <v>0.25054317110257918</v>
      </c>
      <c r="I23" s="68">
        <v>60.8</v>
      </c>
      <c r="J23" s="68">
        <v>290.8</v>
      </c>
      <c r="K23" s="69">
        <v>38.42</v>
      </c>
      <c r="L23" s="70">
        <f t="shared" si="4"/>
        <v>3.7828947368421053</v>
      </c>
      <c r="M23" s="95">
        <f t="shared" si="5"/>
        <v>631710.54954125104</v>
      </c>
    </row>
    <row r="24" spans="1:13" ht="15" customHeight="1" x14ac:dyDescent="0.25">
      <c r="A24" s="65" t="str">
        <f>_xlfn.XLOOKUP(C24,'Sectors &amp; Company Names'!$B$2:$B$2814,'Sectors &amp; Company Names'!$C$2:$C$2814)</f>
        <v>Insurance - Life</v>
      </c>
      <c r="B24" s="65" t="str">
        <f>_xlfn.XLOOKUP(C24,'Sectors &amp; Company Names'!$B$2:$B$2814,'Sectors &amp; Company Names'!$A$2:$A$2814)</f>
        <v>AFLAC INC</v>
      </c>
      <c r="C24" s="65" t="s">
        <v>1378</v>
      </c>
      <c r="D24" s="66">
        <v>3.4085960000000263E-3</v>
      </c>
      <c r="E24" s="67">
        <f t="shared" si="0"/>
        <v>33301154.11259447</v>
      </c>
      <c r="F24" s="67">
        <f t="shared" si="1"/>
        <v>204913235.13781074</v>
      </c>
      <c r="G24" s="71">
        <f t="shared" si="2"/>
        <v>171612081.02521628</v>
      </c>
      <c r="H24" s="78">
        <f t="shared" si="3"/>
        <v>0.29637337701350175</v>
      </c>
      <c r="I24" s="68">
        <v>16.63</v>
      </c>
      <c r="J24" s="68">
        <v>102.33</v>
      </c>
      <c r="K24" s="69">
        <v>10.7342</v>
      </c>
      <c r="L24" s="70">
        <f t="shared" si="4"/>
        <v>5.1533373421527369</v>
      </c>
      <c r="M24" s="95">
        <f t="shared" si="5"/>
        <v>2002474.6910760358</v>
      </c>
    </row>
    <row r="25" spans="1:13" ht="15" customHeight="1" x14ac:dyDescent="0.25">
      <c r="A25" s="65" t="str">
        <f>_xlfn.XLOOKUP(C25,'Sectors &amp; Company Names'!$B$2:$B$2814,'Sectors &amp; Company Names'!$C$2:$C$2814)</f>
        <v>Farm &amp; Construction Equipment</v>
      </c>
      <c r="B25" s="65" t="str">
        <f>_xlfn.XLOOKUP(C25,'Sectors &amp; Company Names'!$B$2:$B$2814,'Sectors &amp; Company Names'!$A$2:$A$2814)</f>
        <v>AGCO CORP</v>
      </c>
      <c r="C25" s="65" t="s">
        <v>1175</v>
      </c>
      <c r="D25" s="66">
        <v>2.4268760000000027E-3</v>
      </c>
      <c r="E25" s="67">
        <f t="shared" si="0"/>
        <v>23709988.419911392</v>
      </c>
      <c r="F25" s="67">
        <f t="shared" si="1"/>
        <v>46916418.680634126</v>
      </c>
      <c r="G25" s="71">
        <f t="shared" si="2"/>
        <v>23206430.260722734</v>
      </c>
      <c r="H25" s="78">
        <f t="shared" si="3"/>
        <v>0.10240691869271923</v>
      </c>
      <c r="I25" s="68">
        <v>49.91</v>
      </c>
      <c r="J25" s="68">
        <v>98.76</v>
      </c>
      <c r="K25" s="65">
        <v>0</v>
      </c>
      <c r="L25" s="70">
        <f t="shared" si="4"/>
        <v>0.9787617711881389</v>
      </c>
      <c r="M25" s="95">
        <f t="shared" si="5"/>
        <v>475054.86715911428</v>
      </c>
    </row>
    <row r="26" spans="1:13" ht="15" customHeight="1" x14ac:dyDescent="0.25">
      <c r="A26" s="65" t="str">
        <f>_xlfn.XLOOKUP(C26,'Sectors &amp; Company Names'!$B$2:$B$2814,'Sectors &amp; Company Names'!$C$2:$C$2814)</f>
        <v>Biotechnology</v>
      </c>
      <c r="B26" s="65" t="str">
        <f>_xlfn.XLOOKUP(C26,'Sectors &amp; Company Names'!$B$2:$B$2814,'Sectors &amp; Company Names'!$A$2:$A$2814)</f>
        <v>AGENUS INC</v>
      </c>
      <c r="C26" s="65" t="s">
        <v>481</v>
      </c>
      <c r="D26" s="66">
        <v>2.2357159999999978E-3</v>
      </c>
      <c r="E26" s="67">
        <f t="shared" si="0"/>
        <v>21842401.700874086</v>
      </c>
      <c r="F26" s="67">
        <f t="shared" si="1"/>
        <v>2144665.9764739019</v>
      </c>
      <c r="G26" s="71">
        <f t="shared" si="2"/>
        <v>-19697735.724400185</v>
      </c>
      <c r="H26" s="78">
        <f t="shared" si="3"/>
        <v>-0.28219171373137186</v>
      </c>
      <c r="I26" s="68">
        <v>34.22</v>
      </c>
      <c r="J26" s="68">
        <v>3.36</v>
      </c>
      <c r="K26" s="69">
        <v>0</v>
      </c>
      <c r="L26" s="70">
        <f t="shared" si="4"/>
        <v>-0.90181180596142607</v>
      </c>
      <c r="M26" s="95">
        <f t="shared" si="5"/>
        <v>638293.44537913753</v>
      </c>
    </row>
    <row r="27" spans="1:13" ht="15" customHeight="1" x14ac:dyDescent="0.25">
      <c r="A27" s="65" t="str">
        <f>_xlfn.XLOOKUP(C27,'Sectors &amp; Company Names'!$B$2:$B$2814,'Sectors &amp; Company Names'!$C$2:$C$2814)</f>
        <v>Software - Application</v>
      </c>
      <c r="B27" s="65" t="str">
        <f>_xlfn.XLOOKUP(C27,'Sectors &amp; Company Names'!$B$2:$B$2814,'Sectors &amp; Company Names'!$A$2:$A$2814)</f>
        <v>AGILYSYS INC</v>
      </c>
      <c r="C27" s="65" t="s">
        <v>2503</v>
      </c>
      <c r="D27" s="66">
        <v>3.2843960000000232E-3</v>
      </c>
      <c r="E27" s="67">
        <f t="shared" si="0"/>
        <v>32087750.312090009</v>
      </c>
      <c r="F27" s="67">
        <f t="shared" si="1"/>
        <v>123397435.07432057</v>
      </c>
      <c r="G27" s="71">
        <f t="shared" si="2"/>
        <v>91309684.76223056</v>
      </c>
      <c r="H27" s="78">
        <f t="shared" si="3"/>
        <v>0.21217882910522934</v>
      </c>
      <c r="I27" s="68">
        <v>20.34</v>
      </c>
      <c r="J27" s="68">
        <v>78.22</v>
      </c>
      <c r="K27" s="69">
        <v>98.040199999999999</v>
      </c>
      <c r="L27" s="70">
        <f t="shared" si="4"/>
        <v>2.8456243854473939</v>
      </c>
      <c r="M27" s="95">
        <f t="shared" si="5"/>
        <v>1577568.845235497</v>
      </c>
    </row>
    <row r="28" spans="1:13" ht="15" customHeight="1" x14ac:dyDescent="0.25">
      <c r="A28" s="65" t="str">
        <f>_xlfn.XLOOKUP(C28,'Sectors &amp; Company Names'!$B$2:$B$2814,'Sectors &amp; Company Names'!$C$2:$C$2814)</f>
        <v>REIT - Retail</v>
      </c>
      <c r="B28" s="65" t="str">
        <f>_xlfn.XLOOKUP(C28,'Sectors &amp; Company Names'!$B$2:$B$2814,'Sectors &amp; Company Names'!$A$2:$A$2814)</f>
        <v xml:space="preserve">AGREE REALTY CORP </v>
      </c>
      <c r="C28" s="65" t="s">
        <v>2187</v>
      </c>
      <c r="D28" s="66">
        <v>1.7259560000000001E-3</v>
      </c>
      <c r="E28" s="67">
        <f t="shared" si="0"/>
        <v>16862170.450108096</v>
      </c>
      <c r="F28" s="67">
        <f t="shared" si="1"/>
        <v>151012869.67679834</v>
      </c>
      <c r="G28" s="71">
        <f t="shared" si="2"/>
        <v>134150699.22669025</v>
      </c>
      <c r="H28" s="78">
        <f t="shared" si="3"/>
        <v>0.3677740349226899</v>
      </c>
      <c r="I28" s="68">
        <v>8.1300000000000008</v>
      </c>
      <c r="J28" s="68">
        <v>72.81</v>
      </c>
      <c r="K28" s="69">
        <v>40.636200000000002</v>
      </c>
      <c r="L28" s="70">
        <f t="shared" si="4"/>
        <v>7.9557195571955717</v>
      </c>
      <c r="M28" s="95">
        <f t="shared" si="5"/>
        <v>2074067.7060403563</v>
      </c>
    </row>
    <row r="29" spans="1:13" ht="15" customHeight="1" x14ac:dyDescent="0.25">
      <c r="A29" s="65" t="str">
        <f>_xlfn.XLOOKUP(C29,'Sectors &amp; Company Names'!$B$2:$B$2814,'Sectors &amp; Company Names'!$C$2:$C$2814)</f>
        <v>Rental &amp; Leasing Services</v>
      </c>
      <c r="B29" s="65" t="str">
        <f>_xlfn.XLOOKUP(C29,'Sectors &amp; Company Names'!$B$2:$B$2814,'Sectors &amp; Company Names'!$A$2:$A$2814)</f>
        <v>AIR LEASE CORP</v>
      </c>
      <c r="C29" s="65" t="s">
        <v>2217</v>
      </c>
      <c r="D29" s="66">
        <v>2.9938760000000164E-3</v>
      </c>
      <c r="E29" s="67">
        <f t="shared" si="0"/>
        <v>29249440.552649144</v>
      </c>
      <c r="F29" s="67">
        <f t="shared" si="1"/>
        <v>30114920.759066623</v>
      </c>
      <c r="G29" s="71">
        <f t="shared" si="2"/>
        <v>865480.20641747862</v>
      </c>
      <c r="H29" s="78">
        <f t="shared" si="3"/>
        <v>4.1744471356301993E-3</v>
      </c>
      <c r="I29" s="68">
        <v>46.3</v>
      </c>
      <c r="J29" s="68">
        <v>47.67</v>
      </c>
      <c r="K29" s="69">
        <v>14.331799999999999</v>
      </c>
      <c r="L29" s="70">
        <f t="shared" si="4"/>
        <v>2.9589632829373751E-2</v>
      </c>
      <c r="M29" s="95">
        <f t="shared" si="5"/>
        <v>631737.3769470657</v>
      </c>
    </row>
    <row r="30" spans="1:13" ht="15" customHeight="1" x14ac:dyDescent="0.25">
      <c r="A30" s="65" t="str">
        <f>_xlfn.XLOOKUP(C30,'Sectors &amp; Company Names'!$B$2:$B$2814,'Sectors &amp; Company Names'!$C$2:$C$2814)</f>
        <v>Aluminum</v>
      </c>
      <c r="B30" s="65" t="str">
        <f>_xlfn.XLOOKUP(C30,'Sectors &amp; Company Names'!$B$2:$B$2814,'Sectors &amp; Company Names'!$A$2:$A$2814)</f>
        <v>ALCOA CORPORATION</v>
      </c>
      <c r="C30" s="65" t="s">
        <v>69</v>
      </c>
      <c r="D30" s="66">
        <v>3.5803160000000083E-3</v>
      </c>
      <c r="E30" s="67">
        <f t="shared" si="0"/>
        <v>34978816.758509114</v>
      </c>
      <c r="F30" s="67">
        <f t="shared" si="1"/>
        <v>10011128.624048861</v>
      </c>
      <c r="G30" s="71">
        <f t="shared" si="2"/>
        <v>-24967688.134460256</v>
      </c>
      <c r="H30" s="78">
        <f t="shared" si="3"/>
        <v>-0.16366059213767647</v>
      </c>
      <c r="I30" s="68">
        <v>120.7</v>
      </c>
      <c r="J30" s="68">
        <v>34.545000000000002</v>
      </c>
      <c r="K30" s="65">
        <v>0</v>
      </c>
      <c r="L30" s="70">
        <f t="shared" si="4"/>
        <v>-0.71379453189726594</v>
      </c>
      <c r="M30" s="95">
        <f t="shared" si="5"/>
        <v>289799.64174406888</v>
      </c>
    </row>
    <row r="31" spans="1:13" ht="15" customHeight="1" x14ac:dyDescent="0.25">
      <c r="A31" s="65" t="str">
        <f>_xlfn.XLOOKUP(C31,'Sectors &amp; Company Names'!$B$2:$B$2814,'Sectors &amp; Company Names'!$C$2:$C$2814)</f>
        <v>Real Estate - General</v>
      </c>
      <c r="B31" s="65" t="str">
        <f>_xlfn.XLOOKUP(C31,'Sectors &amp; Company Names'!$B$2:$B$2814,'Sectors &amp; Company Names'!$A$2:$A$2814)</f>
        <v>ALEXANDER &amp; BALDWIN INC</v>
      </c>
      <c r="C31" s="65" t="s">
        <v>1978</v>
      </c>
      <c r="D31" s="66">
        <v>3.7919959999999754E-3</v>
      </c>
      <c r="E31" s="67">
        <f t="shared" si="0"/>
        <v>37046878.888064176</v>
      </c>
      <c r="F31" s="67">
        <f t="shared" si="1"/>
        <v>7619785.7710638009</v>
      </c>
      <c r="G31" s="71">
        <f t="shared" si="2"/>
        <v>-29427093.117000375</v>
      </c>
      <c r="H31" s="78">
        <f t="shared" si="3"/>
        <v>-0.20221760563448909</v>
      </c>
      <c r="I31" s="68">
        <v>85.57</v>
      </c>
      <c r="J31" s="68">
        <v>17.600000000000001</v>
      </c>
      <c r="K31" s="69">
        <v>21.625499999999999</v>
      </c>
      <c r="L31" s="70">
        <f t="shared" si="4"/>
        <v>-0.79432043940633401</v>
      </c>
      <c r="M31" s="95">
        <f t="shared" si="5"/>
        <v>432942.37335589773</v>
      </c>
    </row>
    <row r="32" spans="1:13" ht="15" customHeight="1" x14ac:dyDescent="0.25">
      <c r="A32" s="65" t="str">
        <f>_xlfn.XLOOKUP(C32,'Sectors &amp; Company Names'!$B$2:$B$2814,'Sectors &amp; Company Names'!$C$2:$C$2814)</f>
        <v>Biotechnology</v>
      </c>
      <c r="B32" s="65" t="str">
        <f>_xlfn.XLOOKUP(C32,'Sectors &amp; Company Names'!$B$2:$B$2814,'Sectors &amp; Company Names'!$A$2:$A$2814)</f>
        <v>ALKERMES PLC</v>
      </c>
      <c r="C32" s="65" t="s">
        <v>486</v>
      </c>
      <c r="D32" s="66">
        <v>2.3242760000000001E-3</v>
      </c>
      <c r="E32" s="67">
        <f t="shared" si="0"/>
        <v>22707611.36732075</v>
      </c>
      <c r="F32" s="67">
        <f t="shared" si="1"/>
        <v>14740689.458764078</v>
      </c>
      <c r="G32" s="71">
        <f t="shared" si="2"/>
        <v>-7966921.9085566718</v>
      </c>
      <c r="H32" s="78">
        <f t="shared" si="3"/>
        <v>-5.9860424406071977E-2</v>
      </c>
      <c r="I32" s="68">
        <v>54.24</v>
      </c>
      <c r="J32" s="68">
        <v>35.21</v>
      </c>
      <c r="K32" s="69">
        <v>15.9732</v>
      </c>
      <c r="L32" s="70">
        <f t="shared" si="4"/>
        <v>-0.35084808259587019</v>
      </c>
      <c r="M32" s="95">
        <f t="shared" si="5"/>
        <v>418650.65205237368</v>
      </c>
    </row>
    <row r="33" spans="1:13" ht="15" customHeight="1" x14ac:dyDescent="0.25">
      <c r="A33" s="65" t="str">
        <f>_xlfn.XLOOKUP(C33,'Sectors &amp; Company Names'!$B$2:$B$2814,'Sectors &amp; Company Names'!$C$2:$C$2814)</f>
        <v>Metal Fabrication</v>
      </c>
      <c r="B33" s="65" t="str">
        <f>_xlfn.XLOOKUP(C33,'Sectors &amp; Company Names'!$B$2:$B$2814,'Sectors &amp; Company Names'!$A$2:$A$2814)</f>
        <v>ALLEGHENY TECHNOLOGIES</v>
      </c>
      <c r="C33" s="65" t="s">
        <v>1716</v>
      </c>
      <c r="D33" s="66">
        <v>3.3373160000000246E-3</v>
      </c>
      <c r="E33" s="67">
        <f t="shared" si="0"/>
        <v>32604765.844478868</v>
      </c>
      <c r="F33" s="67">
        <f t="shared" si="1"/>
        <v>41954449.584204324</v>
      </c>
      <c r="G33" s="71">
        <f t="shared" si="2"/>
        <v>9349683.7397254556</v>
      </c>
      <c r="H33" s="78">
        <f t="shared" si="3"/>
        <v>3.6674510433904572E-2</v>
      </c>
      <c r="I33" s="68">
        <v>45.16</v>
      </c>
      <c r="J33" s="68">
        <v>58.11</v>
      </c>
      <c r="K33" s="69">
        <v>22.7683</v>
      </c>
      <c r="L33" s="70">
        <f t="shared" si="4"/>
        <v>0.28675819309123124</v>
      </c>
      <c r="M33" s="95">
        <f t="shared" si="5"/>
        <v>721983.3003648998</v>
      </c>
    </row>
    <row r="34" spans="1:13" ht="15" customHeight="1" x14ac:dyDescent="0.25">
      <c r="A34" s="65" t="str">
        <f>_xlfn.XLOOKUP(C34,'Sectors &amp; Company Names'!$B$2:$B$2814,'Sectors &amp; Company Names'!$C$2:$C$2814)</f>
        <v>Airlines</v>
      </c>
      <c r="B34" s="65" t="str">
        <f>_xlfn.XLOOKUP(C34,'Sectors &amp; Company Names'!$B$2:$B$2814,'Sectors &amp; Company Names'!$A$2:$A$2814)</f>
        <v>ALLEGIANT TRAVEL CO</v>
      </c>
      <c r="C34" s="65" t="s">
        <v>51</v>
      </c>
      <c r="D34" s="66">
        <v>4.0144759999999413E-3</v>
      </c>
      <c r="E34" s="67">
        <f t="shared" si="0"/>
        <v>39220454.391576126</v>
      </c>
      <c r="F34" s="67">
        <f t="shared" si="1"/>
        <v>32900985.149317712</v>
      </c>
      <c r="G34" s="71">
        <f t="shared" si="2"/>
        <v>-6319469.2422584146</v>
      </c>
      <c r="H34" s="78">
        <f t="shared" si="3"/>
        <v>-2.4787029702903585E-2</v>
      </c>
      <c r="I34" s="68">
        <v>98.68</v>
      </c>
      <c r="J34" s="68">
        <v>82.78</v>
      </c>
      <c r="K34" s="69">
        <v>0</v>
      </c>
      <c r="L34" s="70">
        <f t="shared" si="4"/>
        <v>-0.16112687474665591</v>
      </c>
      <c r="M34" s="95">
        <f t="shared" si="5"/>
        <v>397450.89573952294</v>
      </c>
    </row>
    <row r="35" spans="1:13" ht="15" customHeight="1" x14ac:dyDescent="0.25">
      <c r="A35" s="65" t="str">
        <f>_xlfn.XLOOKUP(C35,'Sectors &amp; Company Names'!$B$2:$B$2814,'Sectors &amp; Company Names'!$C$2:$C$2814)</f>
        <v>Insurance - Property &amp; Casualty</v>
      </c>
      <c r="B35" s="65" t="str">
        <f>_xlfn.XLOOKUP(C35,'Sectors &amp; Company Names'!$B$2:$B$2814,'Sectors &amp; Company Names'!$A$2:$A$2814)</f>
        <v>ALLSTATE CORP</v>
      </c>
      <c r="C35" s="65" t="s">
        <v>1406</v>
      </c>
      <c r="D35" s="66">
        <v>3.5000000000000001E-3</v>
      </c>
      <c r="E35" s="67">
        <f t="shared" si="0"/>
        <v>34194148.967516169</v>
      </c>
      <c r="F35" s="67">
        <f t="shared" si="1"/>
        <v>10166578.815687181</v>
      </c>
      <c r="G35" s="71">
        <f t="shared" si="2"/>
        <v>-24027570.151828989</v>
      </c>
      <c r="H35" s="78">
        <f t="shared" si="3"/>
        <v>-0.15909652440657174</v>
      </c>
      <c r="I35" s="68">
        <v>73.86</v>
      </c>
      <c r="J35" s="68">
        <v>21.96</v>
      </c>
      <c r="K35" s="65">
        <v>0</v>
      </c>
      <c r="L35" s="70">
        <f t="shared" si="4"/>
        <v>-0.70268074735986996</v>
      </c>
      <c r="M35" s="95">
        <f t="shared" si="5"/>
        <v>462958.96246298641</v>
      </c>
    </row>
    <row r="36" spans="1:13" ht="15" customHeight="1" x14ac:dyDescent="0.25">
      <c r="A36" s="65" t="str">
        <f>_xlfn.XLOOKUP(C36,'Sectors &amp; Company Names'!$B$2:$B$2814,'Sectors &amp; Company Names'!$C$2:$C$2814)</f>
        <v>Semiconductors</v>
      </c>
      <c r="B36" s="65" t="str">
        <f>_xlfn.XLOOKUP(C36,'Sectors &amp; Company Names'!$B$2:$B$2814,'Sectors &amp; Company Names'!$A$2:$A$2814)</f>
        <v>ALPHA &amp; OMEGA SEMICON</v>
      </c>
      <c r="C36" s="65" t="s">
        <v>2426</v>
      </c>
      <c r="D36" s="66">
        <v>3.3632360000000251E-3</v>
      </c>
      <c r="E36" s="67">
        <f t="shared" si="0"/>
        <v>32857997.941975448</v>
      </c>
      <c r="F36" s="67">
        <f t="shared" si="1"/>
        <v>7275227.1269486565</v>
      </c>
      <c r="G36" s="71">
        <f t="shared" si="2"/>
        <v>-25582770.81502679</v>
      </c>
      <c r="H36" s="78">
        <f t="shared" si="3"/>
        <v>-0.19377191530203974</v>
      </c>
      <c r="I36" s="68">
        <v>154.01</v>
      </c>
      <c r="J36" s="68">
        <v>34.1</v>
      </c>
      <c r="K36" s="69">
        <v>0</v>
      </c>
      <c r="L36" s="70">
        <f t="shared" si="4"/>
        <v>-0.77858580611648598</v>
      </c>
      <c r="M36" s="95">
        <f t="shared" si="5"/>
        <v>213349.76911872893</v>
      </c>
    </row>
    <row r="37" spans="1:13" ht="15" customHeight="1" x14ac:dyDescent="0.25">
      <c r="A37" s="65" t="str">
        <f>_xlfn.XLOOKUP(C37,'Sectors &amp; Company Names'!$B$2:$B$2814,'Sectors &amp; Company Names'!$C$2:$C$2814)</f>
        <v>Specialty Retail</v>
      </c>
      <c r="B37" s="65" t="str">
        <f>_xlfn.XLOOKUP(C37,'Sectors &amp; Company Names'!$B$2:$B$2814,'Sectors &amp; Company Names'!$A$2:$A$2814)</f>
        <v>AMAZON COM INC</v>
      </c>
      <c r="C37" s="65" t="s">
        <v>2695</v>
      </c>
      <c r="D37" s="66">
        <v>2.5283960000000052E-3</v>
      </c>
      <c r="E37" s="67">
        <f t="shared" si="0"/>
        <v>24701814.13510634</v>
      </c>
      <c r="F37" s="67">
        <f t="shared" si="1"/>
        <v>81416041.436363533</v>
      </c>
      <c r="G37" s="71">
        <f t="shared" si="2"/>
        <v>56714227.301257193</v>
      </c>
      <c r="H37" s="78">
        <f t="shared" si="3"/>
        <v>0.18576138913339557</v>
      </c>
      <c r="I37" s="68">
        <v>65.989999999999995</v>
      </c>
      <c r="J37" s="68">
        <v>217.5</v>
      </c>
      <c r="K37" s="69">
        <v>39.219200000000001</v>
      </c>
      <c r="L37" s="70">
        <f t="shared" si="4"/>
        <v>2.2959539324140024</v>
      </c>
      <c r="M37" s="95">
        <f t="shared" si="5"/>
        <v>374326.62729362544</v>
      </c>
    </row>
    <row r="38" spans="1:13" ht="15" customHeight="1" x14ac:dyDescent="0.25">
      <c r="A38" s="65" t="str">
        <f>_xlfn.XLOOKUP(C38,'Sectors &amp; Company Names'!$B$2:$B$2814,'Sectors &amp; Company Names'!$C$2:$C$2814)</f>
        <v>Semiconductor Equipment &amp; Materials</v>
      </c>
      <c r="B38" s="65" t="str">
        <f>_xlfn.XLOOKUP(C38,'Sectors &amp; Company Names'!$B$2:$B$2814,'Sectors &amp; Company Names'!$A$2:$A$2814)</f>
        <v>AMBARELLA INC</v>
      </c>
      <c r="C38" s="65" t="s">
        <v>2398</v>
      </c>
      <c r="D38" s="66">
        <v>3.8762359999999622E-3</v>
      </c>
      <c r="E38" s="67">
        <f t="shared" si="0"/>
        <v>37869883.204927921</v>
      </c>
      <c r="F38" s="67">
        <f t="shared" si="1"/>
        <v>48278135.15703366</v>
      </c>
      <c r="G38" s="71">
        <f t="shared" si="2"/>
        <v>10408251.952105738</v>
      </c>
      <c r="H38" s="78">
        <f t="shared" si="3"/>
        <v>3.529762377788459E-2</v>
      </c>
      <c r="I38" s="68">
        <v>61.89</v>
      </c>
      <c r="J38" s="68">
        <v>78.900000000000006</v>
      </c>
      <c r="K38" s="69">
        <v>0</v>
      </c>
      <c r="L38" s="70">
        <f t="shared" si="4"/>
        <v>0.27484246243334959</v>
      </c>
      <c r="M38" s="95">
        <f t="shared" si="5"/>
        <v>611890.1794300843</v>
      </c>
    </row>
    <row r="39" spans="1:13" ht="15" customHeight="1" x14ac:dyDescent="0.25">
      <c r="A39" s="65" t="str">
        <f>_xlfn.XLOOKUP(C39,'Sectors &amp; Company Names'!$B$2:$B$2814,'Sectors &amp; Company Names'!$C$2:$C$2814)</f>
        <v>Software - Infrastructure</v>
      </c>
      <c r="B39" s="65" t="str">
        <f>_xlfn.XLOOKUP(C39,'Sectors &amp; Company Names'!$B$2:$B$2814,'Sectors &amp; Company Names'!$A$2:$A$2814)</f>
        <v>AMDOCS LTD DOX</v>
      </c>
      <c r="C39" s="65" t="s">
        <v>2595</v>
      </c>
      <c r="D39" s="66">
        <v>3.1699160000000204E-3</v>
      </c>
      <c r="E39" s="67">
        <f t="shared" si="0"/>
        <v>30969308.548146769</v>
      </c>
      <c r="F39" s="67">
        <f t="shared" si="1"/>
        <v>95495920.309827387</v>
      </c>
      <c r="G39" s="71">
        <f t="shared" si="2"/>
        <v>64526611.761680618</v>
      </c>
      <c r="H39" s="78">
        <f t="shared" si="3"/>
        <v>0.17453174284454764</v>
      </c>
      <c r="I39" s="68">
        <v>28.6</v>
      </c>
      <c r="J39" s="68">
        <v>88.19</v>
      </c>
      <c r="K39" s="69">
        <v>20.7332</v>
      </c>
      <c r="L39" s="70">
        <f t="shared" si="4"/>
        <v>2.0835664335664332</v>
      </c>
      <c r="M39" s="95">
        <f t="shared" si="5"/>
        <v>1082842.9562289079</v>
      </c>
    </row>
    <row r="40" spans="1:13" ht="15" customHeight="1" x14ac:dyDescent="0.25">
      <c r="A40" s="65" t="str">
        <f>_xlfn.XLOOKUP(C40,'Sectors &amp; Company Names'!$B$2:$B$2814,'Sectors &amp; Company Names'!$C$2:$C$2814)</f>
        <v>Medical Care</v>
      </c>
      <c r="B40" s="65" t="str">
        <f>_xlfn.XLOOKUP(C40,'Sectors &amp; Company Names'!$B$2:$B$2814,'Sectors &amp; Company Names'!$A$2:$A$2814)</f>
        <v>AMEDISYS INC</v>
      </c>
      <c r="C40" s="65" t="s">
        <v>1612</v>
      </c>
      <c r="D40" s="66">
        <v>3.1472360000000198E-3</v>
      </c>
      <c r="E40" s="67">
        <f t="shared" si="0"/>
        <v>30747730.462837256</v>
      </c>
      <c r="F40" s="67">
        <f t="shared" si="1"/>
        <v>27605604.374306656</v>
      </c>
      <c r="G40" s="71">
        <f t="shared" si="2"/>
        <v>-3142126.0885306001</v>
      </c>
      <c r="H40" s="78">
        <f t="shared" si="3"/>
        <v>-1.5281657286802641E-2</v>
      </c>
      <c r="I40" s="68">
        <v>100.89</v>
      </c>
      <c r="J40" s="68">
        <v>90.58</v>
      </c>
      <c r="K40" s="69">
        <v>35.938800000000001</v>
      </c>
      <c r="L40" s="70">
        <f t="shared" si="4"/>
        <v>-0.10219050450986225</v>
      </c>
      <c r="M40" s="95">
        <f t="shared" si="5"/>
        <v>304764.89704467496</v>
      </c>
    </row>
    <row r="41" spans="1:13" ht="15" customHeight="1" x14ac:dyDescent="0.25">
      <c r="A41" s="65" t="str">
        <f>_xlfn.XLOOKUP(C41,'Sectors &amp; Company Names'!$B$2:$B$2814,'Sectors &amp; Company Names'!$C$2:$C$2814)</f>
        <v>Utilities - Regulated Electric</v>
      </c>
      <c r="B41" s="65" t="str">
        <f>_xlfn.XLOOKUP(C41,'Sectors &amp; Company Names'!$B$2:$B$2814,'Sectors &amp; Company Names'!$A$2:$A$2814)</f>
        <v>AMEREN CORP</v>
      </c>
      <c r="C41" s="65" t="s">
        <v>2875</v>
      </c>
      <c r="D41" s="66">
        <v>2.036995999999998E-3</v>
      </c>
      <c r="E41" s="67">
        <f t="shared" si="0"/>
        <v>19900955.620067</v>
      </c>
      <c r="F41" s="67">
        <f t="shared" si="1"/>
        <v>20012701.670001019</v>
      </c>
      <c r="G41" s="71">
        <f t="shared" si="2"/>
        <v>111746.0499340184</v>
      </c>
      <c r="H41" s="78">
        <f t="shared" si="3"/>
        <v>8.0023484397306888E-4</v>
      </c>
      <c r="I41" s="68">
        <v>97.95</v>
      </c>
      <c r="J41" s="68">
        <v>98.5</v>
      </c>
      <c r="K41" s="69">
        <v>22.150200000000002</v>
      </c>
      <c r="L41" s="70">
        <f t="shared" si="4"/>
        <v>5.6151097498723544E-3</v>
      </c>
      <c r="M41" s="95">
        <f t="shared" si="5"/>
        <v>203174.63624366515</v>
      </c>
    </row>
    <row r="42" spans="1:13" ht="15" customHeight="1" x14ac:dyDescent="0.25">
      <c r="A42" s="65" t="str">
        <f>_xlfn.XLOOKUP(C42,'Sectors &amp; Company Names'!$B$2:$B$2814,'Sectors &amp; Company Names'!$C$2:$C$2814)</f>
        <v>Insurance - Life</v>
      </c>
      <c r="B42" s="65" t="str">
        <f>_xlfn.XLOOKUP(C42,'Sectors &amp; Company Names'!$B$2:$B$2814,'Sectors &amp; Company Names'!$A$2:$A$2814)</f>
        <v>AMERICAN EQUITY INVST</v>
      </c>
      <c r="C42" s="65" t="s">
        <v>1379</v>
      </c>
      <c r="D42" s="66">
        <v>3.3610760000000253E-3</v>
      </c>
      <c r="E42" s="67">
        <f t="shared" si="0"/>
        <v>32836895.267184071</v>
      </c>
      <c r="F42" s="67">
        <f t="shared" si="1"/>
        <v>603691325.02440715</v>
      </c>
      <c r="G42" s="71">
        <f t="shared" si="2"/>
        <v>570854429.75722313</v>
      </c>
      <c r="H42" s="78">
        <f t="shared" si="3"/>
        <v>0.51577982057653227</v>
      </c>
      <c r="I42" s="68">
        <v>117.49</v>
      </c>
      <c r="J42" s="68">
        <v>2160</v>
      </c>
      <c r="K42" s="69">
        <v>14.37</v>
      </c>
      <c r="L42" s="70">
        <f t="shared" si="4"/>
        <v>17.384543365392801</v>
      </c>
      <c r="M42" s="95">
        <f t="shared" si="5"/>
        <v>279486.72454833664</v>
      </c>
    </row>
    <row r="43" spans="1:13" ht="15" customHeight="1" x14ac:dyDescent="0.25">
      <c r="A43" s="65" t="str">
        <f>_xlfn.XLOOKUP(C43,'Sectors &amp; Company Names'!$B$2:$B$2814,'Sectors &amp; Company Names'!$C$2:$C$2814)</f>
        <v>Credit Services</v>
      </c>
      <c r="B43" s="65" t="str">
        <f>_xlfn.XLOOKUP(C43,'Sectors &amp; Company Names'!$B$2:$B$2814,'Sectors &amp; Company Names'!$A$2:$A$2814)</f>
        <v>AMERICAN EXPRESS CO</v>
      </c>
      <c r="C43" s="65" t="s">
        <v>877</v>
      </c>
      <c r="D43" s="66">
        <v>1.9063160000000003E-3</v>
      </c>
      <c r="E43" s="67">
        <f t="shared" si="0"/>
        <v>18624243.795188449</v>
      </c>
      <c r="F43" s="67">
        <f t="shared" si="1"/>
        <v>84565209.540118501</v>
      </c>
      <c r="G43" s="71">
        <f t="shared" si="2"/>
        <v>65940965.744930051</v>
      </c>
      <c r="H43" s="78">
        <f t="shared" si="3"/>
        <v>0.24129011621691832</v>
      </c>
      <c r="I43" s="68">
        <v>65.52</v>
      </c>
      <c r="J43" s="68">
        <v>297.5</v>
      </c>
      <c r="K43" s="69">
        <v>21.257999999999999</v>
      </c>
      <c r="L43" s="70">
        <f t="shared" si="4"/>
        <v>3.5405982905982909</v>
      </c>
      <c r="M43" s="95">
        <f t="shared" si="5"/>
        <v>284252.80517686892</v>
      </c>
    </row>
    <row r="44" spans="1:13" ht="15" customHeight="1" x14ac:dyDescent="0.25">
      <c r="A44" s="65" t="str">
        <f>_xlfn.XLOOKUP(C44,'Sectors &amp; Company Names'!$B$2:$B$2814,'Sectors &amp; Company Names'!$C$2:$C$2814)</f>
        <v>REIT - Residential</v>
      </c>
      <c r="B44" s="65" t="str">
        <f>_xlfn.XLOOKUP(C44,'Sectors &amp; Company Names'!$B$2:$B$2814,'Sectors &amp; Company Names'!$A$2:$A$2814)</f>
        <v>AMERICAN HOMES 4 RENT</v>
      </c>
      <c r="C44" s="65" t="s">
        <v>2156</v>
      </c>
      <c r="D44" s="66">
        <v>2.3545160000000009E-3</v>
      </c>
      <c r="E44" s="67">
        <f t="shared" si="0"/>
        <v>23003048.814400095</v>
      </c>
      <c r="F44" s="67">
        <f t="shared" si="1"/>
        <v>8435404.9238544311</v>
      </c>
      <c r="G44" s="71">
        <f t="shared" si="2"/>
        <v>-14567643.890545664</v>
      </c>
      <c r="H44" s="78">
        <f t="shared" si="3"/>
        <v>-0.13351694058550412</v>
      </c>
      <c r="I44" s="68">
        <v>96.48</v>
      </c>
      <c r="J44" s="68">
        <v>35.380000000000003</v>
      </c>
      <c r="K44" s="69">
        <v>32.277500000000003</v>
      </c>
      <c r="L44" s="70">
        <f t="shared" si="4"/>
        <v>-0.63329187396351572</v>
      </c>
      <c r="M44" s="95">
        <f t="shared" si="5"/>
        <v>238422.97693200764</v>
      </c>
    </row>
    <row r="45" spans="1:13" ht="15" customHeight="1" x14ac:dyDescent="0.25">
      <c r="A45" s="65" t="str">
        <f>_xlfn.XLOOKUP(C45,'Sectors &amp; Company Names'!$B$2:$B$2814,'Sectors &amp; Company Names'!$C$2:$C$2814)</f>
        <v>Utilities - Regulated Water</v>
      </c>
      <c r="B45" s="65" t="str">
        <f>_xlfn.XLOOKUP(C45,'Sectors &amp; Company Names'!$B$2:$B$2814,'Sectors &amp; Company Names'!$A$2:$A$2814)</f>
        <v>AMERICAN STATES WATER CO</v>
      </c>
      <c r="C45" s="65" t="s">
        <v>2920</v>
      </c>
      <c r="D45" s="66">
        <v>2.0650759999999969E-3</v>
      </c>
      <c r="E45" s="67">
        <f t="shared" si="0"/>
        <v>20175290.392354947</v>
      </c>
      <c r="F45" s="67">
        <f t="shared" si="1"/>
        <v>18232538.081900556</v>
      </c>
      <c r="G45" s="71">
        <f t="shared" si="2"/>
        <v>-1942752.3104543909</v>
      </c>
      <c r="H45" s="78">
        <f t="shared" si="3"/>
        <v>-1.4360293564857463E-2</v>
      </c>
      <c r="I45" s="68">
        <v>83.91</v>
      </c>
      <c r="J45" s="68">
        <v>75.83</v>
      </c>
      <c r="K45" s="69">
        <v>23.6797</v>
      </c>
      <c r="L45" s="70">
        <f t="shared" si="4"/>
        <v>-9.6293647956143466E-2</v>
      </c>
      <c r="M45" s="95">
        <f t="shared" si="5"/>
        <v>240439.64238296924</v>
      </c>
    </row>
    <row r="46" spans="1:13" ht="15" customHeight="1" x14ac:dyDescent="0.25">
      <c r="A46" s="65" t="str">
        <f>_xlfn.XLOOKUP(C46,'Sectors &amp; Company Names'!$B$2:$B$2814,'Sectors &amp; Company Names'!$C$2:$C$2814)</f>
        <v>Telecom Services</v>
      </c>
      <c r="B46" s="65" t="str">
        <f>_xlfn.XLOOKUP(C46,'Sectors &amp; Company Names'!$B$2:$B$2814,'Sectors &amp; Company Names'!$A$2:$A$2814)</f>
        <v>AMERICAN TOWER CORP</v>
      </c>
      <c r="C46" s="65" t="s">
        <v>2770</v>
      </c>
      <c r="D46" s="66">
        <v>3.1990760000000216E-3</v>
      </c>
      <c r="E46" s="67">
        <f t="shared" si="0"/>
        <v>31254194.657830428</v>
      </c>
      <c r="F46" s="67">
        <f t="shared" si="1"/>
        <v>50659855.564660527</v>
      </c>
      <c r="G46" s="71">
        <f t="shared" si="2"/>
        <v>19405660.906830098</v>
      </c>
      <c r="H46" s="78">
        <f t="shared" si="3"/>
        <v>7.1433178101194539E-2</v>
      </c>
      <c r="I46" s="68">
        <v>117.62</v>
      </c>
      <c r="J46" s="68">
        <v>190.65</v>
      </c>
      <c r="K46" s="69">
        <v>38.842799999999997</v>
      </c>
      <c r="L46" s="70">
        <f t="shared" si="4"/>
        <v>0.62089780649549398</v>
      </c>
      <c r="M46" s="95">
        <f t="shared" si="5"/>
        <v>265721.77059879637</v>
      </c>
    </row>
    <row r="47" spans="1:13" ht="15" customHeight="1" x14ac:dyDescent="0.25">
      <c r="A47" s="65" t="str">
        <f>_xlfn.XLOOKUP(C47,'Sectors &amp; Company Names'!$B$2:$B$2814,'Sectors &amp; Company Names'!$C$2:$C$2814)</f>
        <v>Agricultural Inputs</v>
      </c>
      <c r="B47" s="65" t="str">
        <f>_xlfn.XLOOKUP(C47,'Sectors &amp; Company Names'!$B$2:$B$2814,'Sectors &amp; Company Names'!$A$2:$A$2814)</f>
        <v>AMERICAN VANGUARD CORP</v>
      </c>
      <c r="C47" s="65" t="s">
        <v>45</v>
      </c>
      <c r="D47" s="66">
        <v>4.2574759999999033E-3</v>
      </c>
      <c r="E47" s="67">
        <f t="shared" si="0"/>
        <v>41594505.305606164</v>
      </c>
      <c r="F47" s="67">
        <f t="shared" si="1"/>
        <v>2445913.4504304715</v>
      </c>
      <c r="G47" s="71">
        <f t="shared" si="2"/>
        <v>-39148591.855175689</v>
      </c>
      <c r="H47" s="78">
        <f t="shared" si="3"/>
        <v>-0.33288496026708203</v>
      </c>
      <c r="I47" s="68">
        <v>89.28</v>
      </c>
      <c r="J47" s="68">
        <v>5.25</v>
      </c>
      <c r="K47" s="65">
        <v>0</v>
      </c>
      <c r="L47" s="70">
        <f t="shared" si="4"/>
        <v>-0.94119623655913975</v>
      </c>
      <c r="M47" s="95">
        <f t="shared" si="5"/>
        <v>465888.27627247077</v>
      </c>
    </row>
    <row r="48" spans="1:13" ht="15" customHeight="1" x14ac:dyDescent="0.25">
      <c r="A48" s="65" t="str">
        <f>_xlfn.XLOOKUP(C48,'Sectors &amp; Company Names'!$B$2:$B$2814,'Sectors &amp; Company Names'!$C$2:$C$2814)</f>
        <v>Home Furnishings &amp; Fixtures</v>
      </c>
      <c r="B48" s="65" t="str">
        <f>_xlfn.XLOOKUP(C48,'Sectors &amp; Company Names'!$B$2:$B$2814,'Sectors &amp; Company Names'!$A$2:$A$2814)</f>
        <v>AMERICAN WOODMARK CORP</v>
      </c>
      <c r="C48" s="65" t="s">
        <v>1274</v>
      </c>
      <c r="D48" s="66">
        <v>3.6742759999999937E-3</v>
      </c>
      <c r="E48" s="67">
        <f t="shared" si="0"/>
        <v>35896783.111934066</v>
      </c>
      <c r="F48" s="67">
        <f t="shared" si="1"/>
        <v>213304522.6156753</v>
      </c>
      <c r="G48" s="71">
        <f t="shared" si="2"/>
        <v>177407739.50374123</v>
      </c>
      <c r="H48" s="78">
        <f t="shared" si="3"/>
        <v>0.28992216285314409</v>
      </c>
      <c r="I48" s="68">
        <v>11.93</v>
      </c>
      <c r="J48" s="68">
        <v>70.89</v>
      </c>
      <c r="K48" s="69">
        <v>10.5707</v>
      </c>
      <c r="L48" s="70">
        <f t="shared" si="4"/>
        <v>4.9421626152556586</v>
      </c>
      <c r="M48" s="95">
        <f t="shared" si="5"/>
        <v>3008950.8056943901</v>
      </c>
    </row>
    <row r="49" spans="1:13" ht="15" customHeight="1" x14ac:dyDescent="0.25">
      <c r="A49" s="65" t="str">
        <f>_xlfn.XLOOKUP(C49,'Sectors &amp; Company Names'!$B$2:$B$2814,'Sectors &amp; Company Names'!$C$2:$C$2814)</f>
        <v>Banks - Regional - US</v>
      </c>
      <c r="B49" s="65" t="str">
        <f>_xlfn.XLOOKUP(C49,'Sectors &amp; Company Names'!$B$2:$B$2814,'Sectors &amp; Company Names'!$A$2:$A$2814)</f>
        <v>AMERIS BANCORP</v>
      </c>
      <c r="C49" s="65" t="s">
        <v>237</v>
      </c>
      <c r="D49" s="66">
        <v>4.3870759999998831E-3</v>
      </c>
      <c r="E49" s="67">
        <f t="shared" si="0"/>
        <v>42860665.793088846</v>
      </c>
      <c r="F49" s="67">
        <f t="shared" si="1"/>
        <v>65559525.280513525</v>
      </c>
      <c r="G49" s="71">
        <f t="shared" si="2"/>
        <v>22698859.487424679</v>
      </c>
      <c r="H49" s="78">
        <f t="shared" si="3"/>
        <v>6.2595877659258781E-2</v>
      </c>
      <c r="I49" s="68">
        <v>41.39</v>
      </c>
      <c r="J49" s="68">
        <v>63.31</v>
      </c>
      <c r="K49" s="69">
        <v>12.247</v>
      </c>
      <c r="L49" s="70">
        <f t="shared" si="4"/>
        <v>0.52959652089876785</v>
      </c>
      <c r="M49" s="95">
        <f t="shared" si="5"/>
        <v>1035531.9109226587</v>
      </c>
    </row>
    <row r="50" spans="1:13" ht="15" customHeight="1" x14ac:dyDescent="0.25">
      <c r="A50" s="65" t="str">
        <f>_xlfn.XLOOKUP(C50,'Sectors &amp; Company Names'!$B$2:$B$2814,'Sectors &amp; Company Names'!$C$2:$C$2814)</f>
        <v>Diversified Industrials</v>
      </c>
      <c r="B50" s="65" t="str">
        <f>_xlfn.XLOOKUP(C50,'Sectors &amp; Company Names'!$B$2:$B$2814,'Sectors &amp; Company Names'!$A$2:$A$2814)</f>
        <v>AMETEK INC</v>
      </c>
      <c r="C50" s="65" t="s">
        <v>980</v>
      </c>
      <c r="D50" s="66">
        <v>1.9786759999999991E-3</v>
      </c>
      <c r="E50" s="67">
        <f t="shared" si="0"/>
        <v>19331183.400699712</v>
      </c>
      <c r="F50" s="67">
        <f t="shared" si="1"/>
        <v>125888274.07496056</v>
      </c>
      <c r="G50" s="71">
        <f t="shared" si="2"/>
        <v>106557090.67426085</v>
      </c>
      <c r="H50" s="78">
        <f t="shared" si="3"/>
        <v>0.30691303980335904</v>
      </c>
      <c r="I50" s="68">
        <v>28.72</v>
      </c>
      <c r="J50" s="68">
        <v>187.03</v>
      </c>
      <c r="K50" s="69">
        <v>31.4072</v>
      </c>
      <c r="L50" s="70">
        <f t="shared" si="4"/>
        <v>5.5121866295264628</v>
      </c>
      <c r="M50" s="95">
        <f t="shared" si="5"/>
        <v>673091.34403550532</v>
      </c>
    </row>
    <row r="51" spans="1:13" ht="15" customHeight="1" x14ac:dyDescent="0.25">
      <c r="A51" s="65" t="str">
        <f>_xlfn.XLOOKUP(C51,'Sectors &amp; Company Names'!$B$2:$B$2814,'Sectors &amp; Company Names'!$C$2:$C$2814)</f>
        <v>Drug Manufacturers - Specialty &amp; Generic</v>
      </c>
      <c r="B51" s="65" t="str">
        <f>_xlfn.XLOOKUP(C51,'Sectors &amp; Company Names'!$B$2:$B$2814,'Sectors &amp; Company Names'!$A$2:$A$2814)</f>
        <v>AMPHASTAR PHARMA INC</v>
      </c>
      <c r="C51" s="65" t="s">
        <v>1059</v>
      </c>
      <c r="D51" s="66">
        <v>3.3027560000000239E-3</v>
      </c>
      <c r="E51" s="67">
        <f t="shared" si="0"/>
        <v>32267123.047816757</v>
      </c>
      <c r="F51" s="67">
        <f t="shared" si="1"/>
        <v>24334756.164774626</v>
      </c>
      <c r="G51" s="71">
        <f t="shared" si="2"/>
        <v>-7932366.8830421306</v>
      </c>
      <c r="H51" s="78">
        <f t="shared" si="3"/>
        <v>-3.9504685698330655E-2</v>
      </c>
      <c r="I51" s="68">
        <v>41.41</v>
      </c>
      <c r="J51" s="68">
        <v>31.23</v>
      </c>
      <c r="K51" s="69">
        <v>10.407999999999999</v>
      </c>
      <c r="L51" s="70">
        <f t="shared" si="4"/>
        <v>-0.24583433953151407</v>
      </c>
      <c r="M51" s="95">
        <f t="shared" si="5"/>
        <v>779210.89224382408</v>
      </c>
    </row>
    <row r="52" spans="1:13" ht="15" customHeight="1" x14ac:dyDescent="0.25">
      <c r="A52" s="65" t="str">
        <f>_xlfn.XLOOKUP(C52,'Sectors &amp; Company Names'!$B$2:$B$2814,'Sectors &amp; Company Names'!$C$2:$C$2814)</f>
        <v>Electronic Components</v>
      </c>
      <c r="B52" s="65" t="str">
        <f>_xlfn.XLOOKUP(C52,'Sectors &amp; Company Names'!$B$2:$B$2814,'Sectors &amp; Company Names'!$A$2:$A$2814)</f>
        <v>AMPHENOL CORP</v>
      </c>
      <c r="C52" s="65" t="s">
        <v>1113</v>
      </c>
      <c r="D52" s="66">
        <v>3.1234760000000195E-3</v>
      </c>
      <c r="E52" s="67">
        <f t="shared" si="0"/>
        <v>30515601.040132061</v>
      </c>
      <c r="F52" s="67">
        <f t="shared" si="1"/>
        <v>17829192.525167447</v>
      </c>
      <c r="G52" s="71">
        <f t="shared" si="2"/>
        <v>-12686408.514964614</v>
      </c>
      <c r="H52" s="78">
        <f t="shared" si="3"/>
        <v>-7.3898611812906578E-2</v>
      </c>
      <c r="I52" s="68">
        <v>116.3</v>
      </c>
      <c r="J52" s="68">
        <v>67.95</v>
      </c>
      <c r="K52" s="69">
        <v>35.512799999999999</v>
      </c>
      <c r="L52" s="70">
        <f t="shared" si="4"/>
        <v>-0.41573516766981938</v>
      </c>
      <c r="M52" s="95">
        <f t="shared" si="5"/>
        <v>262386.93929606251</v>
      </c>
    </row>
    <row r="53" spans="1:13" ht="15" customHeight="1" x14ac:dyDescent="0.25">
      <c r="A53" s="65" t="str">
        <f>_xlfn.XLOOKUP(C53,'Sectors &amp; Company Names'!$B$2:$B$2814,'Sectors &amp; Company Names'!$C$2:$C$2814)</f>
        <v>Food Distribution</v>
      </c>
      <c r="B53" s="65" t="str">
        <f>_xlfn.XLOOKUP(C53,'Sectors &amp; Company Names'!$B$2:$B$2814,'Sectors &amp; Company Names'!$A$2:$A$2814)</f>
        <v>ANDERSONS INC</v>
      </c>
      <c r="C53" s="65" t="s">
        <v>1201</v>
      </c>
      <c r="D53" s="66">
        <v>4.0997959999999273E-3</v>
      </c>
      <c r="E53" s="67">
        <f t="shared" si="0"/>
        <v>40054010.045835555</v>
      </c>
      <c r="F53" s="67">
        <f t="shared" si="1"/>
        <v>19383848.422817715</v>
      </c>
      <c r="G53" s="71">
        <f t="shared" si="2"/>
        <v>-20670161.62301784</v>
      </c>
      <c r="H53" s="78">
        <f t="shared" si="3"/>
        <v>-9.848995161141505E-2</v>
      </c>
      <c r="I53" s="68">
        <v>94.35</v>
      </c>
      <c r="J53" s="68">
        <v>45.66</v>
      </c>
      <c r="K53" s="69">
        <v>13.710800000000001</v>
      </c>
      <c r="L53" s="70">
        <f t="shared" si="4"/>
        <v>-0.51605723370429257</v>
      </c>
      <c r="M53" s="95">
        <f t="shared" si="5"/>
        <v>424525.80864690576</v>
      </c>
    </row>
    <row r="54" spans="1:13" ht="15" customHeight="1" x14ac:dyDescent="0.25">
      <c r="A54" s="65" t="str">
        <f>_xlfn.XLOOKUP(C54,'Sectors &amp; Company Names'!$B$2:$B$2814,'Sectors &amp; Company Names'!$C$2:$C$2814)</f>
        <v>Software - Application</v>
      </c>
      <c r="B54" s="65" t="str">
        <f>_xlfn.XLOOKUP(C54,'Sectors &amp; Company Names'!$B$2:$B$2814,'Sectors &amp; Company Names'!$A$2:$A$2814)</f>
        <v>ANSYS INC</v>
      </c>
      <c r="C54" s="65" t="s">
        <v>2509</v>
      </c>
      <c r="D54" s="66">
        <v>4.0155559999999401E-3</v>
      </c>
      <c r="E54" s="67">
        <f t="shared" si="0"/>
        <v>39231005.728971802</v>
      </c>
      <c r="F54" s="67">
        <f t="shared" si="1"/>
        <v>187685583.15273204</v>
      </c>
      <c r="G54" s="71">
        <f t="shared" si="2"/>
        <v>148454577.42376024</v>
      </c>
      <c r="H54" s="78">
        <f t="shared" si="3"/>
        <v>0.25058868802350909</v>
      </c>
      <c r="I54" s="68">
        <v>70.5</v>
      </c>
      <c r="J54" s="68">
        <v>337.28</v>
      </c>
      <c r="K54" s="69">
        <v>51.074300000000001</v>
      </c>
      <c r="L54" s="70">
        <f t="shared" si="4"/>
        <v>3.7841134751773047</v>
      </c>
      <c r="M54" s="95">
        <f t="shared" si="5"/>
        <v>556468.16636839439</v>
      </c>
    </row>
    <row r="55" spans="1:13" ht="15" customHeight="1" x14ac:dyDescent="0.25">
      <c r="A55" s="65" t="str">
        <f>_xlfn.XLOOKUP(C55,'Sectors &amp; Company Names'!$B$2:$B$2814,'Sectors &amp; Company Names'!$C$2:$C$2814)</f>
        <v>Oil &amp; Gas E&amp;P</v>
      </c>
      <c r="B55" s="65" t="str">
        <f>_xlfn.XLOOKUP(C55,'Sectors &amp; Company Names'!$B$2:$B$2814,'Sectors &amp; Company Names'!$A$2:$A$2814)</f>
        <v>ANTERO RESOURCES CO</v>
      </c>
      <c r="C55" s="65" t="s">
        <v>1757</v>
      </c>
      <c r="D55" s="66">
        <v>4.249915999999904E-3</v>
      </c>
      <c r="E55" s="67">
        <f t="shared" si="0"/>
        <v>41520645.943836331</v>
      </c>
      <c r="F55" s="67">
        <f t="shared" si="1"/>
        <v>37907979.473427817</v>
      </c>
      <c r="G55" s="71">
        <f t="shared" si="2"/>
        <v>-3612666.4704085141</v>
      </c>
      <c r="H55" s="78">
        <f t="shared" si="3"/>
        <v>-1.2919977731492005E-2</v>
      </c>
      <c r="I55" s="68">
        <v>41.49</v>
      </c>
      <c r="J55" s="68">
        <v>37.880000000000003</v>
      </c>
      <c r="K55" s="69">
        <v>229.76689999999999</v>
      </c>
      <c r="L55" s="70">
        <f t="shared" si="4"/>
        <v>-8.7008917811520828E-2</v>
      </c>
      <c r="M55" s="95">
        <f t="shared" si="5"/>
        <v>1000738.6344621915</v>
      </c>
    </row>
    <row r="56" spans="1:13" ht="15" customHeight="1" x14ac:dyDescent="0.25">
      <c r="A56" s="65" t="str">
        <f>_xlfn.XLOOKUP(C56,'Sectors &amp; Company Names'!$B$2:$B$2814,'Sectors &amp; Company Names'!$C$2:$C$2814)</f>
        <v>Insurance Brokers</v>
      </c>
      <c r="B56" s="65" t="str">
        <f>_xlfn.XLOOKUP(C56,'Sectors &amp; Company Names'!$B$2:$B$2814,'Sectors &amp; Company Names'!$A$2:$A$2814)</f>
        <v>AON PLC</v>
      </c>
      <c r="C56" s="65" t="s">
        <v>1467</v>
      </c>
      <c r="D56" s="66">
        <v>3.9323959999999535E-3</v>
      </c>
      <c r="E56" s="67">
        <f t="shared" si="0"/>
        <v>38418552.749503754</v>
      </c>
      <c r="F56" s="67">
        <f t="shared" si="1"/>
        <v>185382462.55317304</v>
      </c>
      <c r="G56" s="71">
        <f t="shared" si="2"/>
        <v>146963909.80366927</v>
      </c>
      <c r="H56" s="78">
        <f t="shared" si="3"/>
        <v>0.25212246231872482</v>
      </c>
      <c r="I56" s="68">
        <v>80.87</v>
      </c>
      <c r="J56" s="68">
        <v>390.22500000000002</v>
      </c>
      <c r="K56" s="69">
        <v>31.489100000000001</v>
      </c>
      <c r="L56" s="70">
        <f t="shared" si="4"/>
        <v>3.8253369605539755</v>
      </c>
      <c r="M56" s="95">
        <f t="shared" si="5"/>
        <v>475065.57128111483</v>
      </c>
    </row>
    <row r="57" spans="1:13" ht="15" customHeight="1" x14ac:dyDescent="0.25">
      <c r="A57" s="65" t="str">
        <f>_xlfn.XLOOKUP(C57,'Sectors &amp; Company Names'!$B$2:$B$2814,'Sectors &amp; Company Names'!$C$2:$C$2814)</f>
        <v>Oil &amp; Gas E&amp;P</v>
      </c>
      <c r="B57" s="65" t="str">
        <f>_xlfn.XLOOKUP(C57,'Sectors &amp; Company Names'!$B$2:$B$2814,'Sectors &amp; Company Names'!$A$2:$A$2814)</f>
        <v>APACHE CORP</v>
      </c>
      <c r="C57" s="65" t="s">
        <v>1758</v>
      </c>
      <c r="D57" s="66">
        <v>2.5359560000000054E-3</v>
      </c>
      <c r="E57" s="67">
        <f t="shared" si="0"/>
        <v>24775673.496876176</v>
      </c>
      <c r="F57" s="67">
        <f t="shared" si="1"/>
        <v>5563574.6182572627</v>
      </c>
      <c r="G57" s="71">
        <f t="shared" si="2"/>
        <v>-19212098.878618915</v>
      </c>
      <c r="H57" s="78">
        <f t="shared" si="3"/>
        <v>-0.19214645433103006</v>
      </c>
      <c r="I57" s="68">
        <v>101.8</v>
      </c>
      <c r="J57" s="68">
        <v>22.86</v>
      </c>
      <c r="K57" s="69">
        <v>3.2433999999999998</v>
      </c>
      <c r="L57" s="70">
        <f t="shared" si="4"/>
        <v>-0.77544204322200394</v>
      </c>
      <c r="M57" s="95">
        <f t="shared" si="5"/>
        <v>243375.96755281114</v>
      </c>
    </row>
    <row r="58" spans="1:13" ht="15" customHeight="1" x14ac:dyDescent="0.25">
      <c r="A58" s="65" t="str">
        <f>_xlfn.XLOOKUP(C58,'Sectors &amp; Company Names'!$B$2:$B$2814,'Sectors &amp; Company Names'!$C$2:$C$2814)</f>
        <v>REIT - Residential</v>
      </c>
      <c r="B58" s="65" t="str">
        <f>_xlfn.XLOOKUP(C58,'Sectors &amp; Company Names'!$B$2:$B$2814,'Sectors &amp; Company Names'!$A$2:$A$2814)</f>
        <v>APARTMENT INVT &amp; MGMT</v>
      </c>
      <c r="C58" s="65" t="s">
        <v>2157</v>
      </c>
      <c r="D58" s="66">
        <v>3.3556760000000249E-3</v>
      </c>
      <c r="E58" s="67">
        <f t="shared" si="0"/>
        <v>32784138.580205612</v>
      </c>
      <c r="F58" s="67">
        <f t="shared" si="1"/>
        <v>65605030.67899891</v>
      </c>
      <c r="G58" s="71">
        <f t="shared" si="2"/>
        <v>32820892.098793298</v>
      </c>
      <c r="H58" s="78">
        <f t="shared" si="3"/>
        <v>0.10417790447855002</v>
      </c>
      <c r="I58" s="68">
        <v>4.46</v>
      </c>
      <c r="J58" s="68">
        <v>8.9250000000000007</v>
      </c>
      <c r="K58" s="65">
        <v>0</v>
      </c>
      <c r="L58" s="70">
        <f t="shared" si="4"/>
        <v>1.0011210762331841</v>
      </c>
      <c r="M58" s="95">
        <f t="shared" si="5"/>
        <v>7350703.7175348913</v>
      </c>
    </row>
    <row r="59" spans="1:13" ht="15" customHeight="1" x14ac:dyDescent="0.25">
      <c r="A59" s="65" t="str">
        <f>_xlfn.XLOOKUP(C59,'Sectors &amp; Company Names'!$B$2:$B$2814,'Sectors &amp; Company Names'!$C$2:$C$2814)</f>
        <v>Packaging &amp; Containers</v>
      </c>
      <c r="B59" s="65" t="str">
        <f>_xlfn.XLOOKUP(C59,'Sectors &amp; Company Names'!$B$2:$B$2814,'Sectors &amp; Company Names'!$A$2:$A$2814)</f>
        <v>APTARGROUP INC</v>
      </c>
      <c r="C59" s="65" t="s">
        <v>1907</v>
      </c>
      <c r="D59" s="66">
        <v>1.7907560000000001E-3</v>
      </c>
      <c r="E59" s="67">
        <f t="shared" si="0"/>
        <v>17495250.693849541</v>
      </c>
      <c r="F59" s="67">
        <f t="shared" si="1"/>
        <v>18174270.373591073</v>
      </c>
      <c r="G59" s="71">
        <f t="shared" si="2"/>
        <v>679019.67974153161</v>
      </c>
      <c r="H59" s="78">
        <f t="shared" si="3"/>
        <v>5.4544535075147227E-3</v>
      </c>
      <c r="I59" s="68">
        <v>141.71</v>
      </c>
      <c r="J59" s="68">
        <v>147.21</v>
      </c>
      <c r="K59" s="69">
        <v>26.349</v>
      </c>
      <c r="L59" s="70">
        <f t="shared" si="4"/>
        <v>3.8811657610613219E-2</v>
      </c>
      <c r="M59" s="95">
        <f t="shared" si="5"/>
        <v>123458.12358936941</v>
      </c>
    </row>
    <row r="60" spans="1:13" ht="15" customHeight="1" x14ac:dyDescent="0.25">
      <c r="A60" s="65" t="str">
        <f>_xlfn.XLOOKUP(C60,'Sectors &amp; Company Names'!$B$2:$B$2814,'Sectors &amp; Company Names'!$C$2:$C$2814)</f>
        <v>Restaurants</v>
      </c>
      <c r="B60" s="65" t="str">
        <f>_xlfn.XLOOKUP(C60,'Sectors &amp; Company Names'!$B$2:$B$2814,'Sectors &amp; Company Names'!$A$2:$A$2814)</f>
        <v>ARAMARK</v>
      </c>
      <c r="C60" s="65" t="s">
        <v>2288</v>
      </c>
      <c r="D60" s="66">
        <v>3.8783959999999619E-3</v>
      </c>
      <c r="E60" s="67">
        <f t="shared" si="0"/>
        <v>37890985.879719295</v>
      </c>
      <c r="F60" s="67">
        <f t="shared" si="1"/>
        <v>297266754.14568448</v>
      </c>
      <c r="G60" s="71">
        <f t="shared" si="2"/>
        <v>259375768.26596519</v>
      </c>
      <c r="H60" s="78">
        <f t="shared" si="3"/>
        <v>0.342151344673574</v>
      </c>
      <c r="I60" s="68">
        <v>4.59</v>
      </c>
      <c r="J60" s="68">
        <v>36.01</v>
      </c>
      <c r="K60" s="69">
        <v>29.050699999999999</v>
      </c>
      <c r="L60" s="70">
        <f t="shared" si="4"/>
        <v>6.8453159041394329</v>
      </c>
      <c r="M60" s="95">
        <f t="shared" si="5"/>
        <v>8255116.7493941821</v>
      </c>
    </row>
    <row r="61" spans="1:13" ht="15" customHeight="1" x14ac:dyDescent="0.25">
      <c r="A61" s="65" t="str">
        <f>_xlfn.XLOOKUP(C61,'Sectors &amp; Company Names'!$B$2:$B$2814,'Sectors &amp; Company Names'!$C$2:$C$2814)</f>
        <v>Trucking</v>
      </c>
      <c r="B61" s="65" t="str">
        <f>_xlfn.XLOOKUP(C61,'Sectors &amp; Company Names'!$B$2:$B$2814,'Sectors &amp; Company Names'!$A$2:$A$2814)</f>
        <v>ARCBEST CORPORATION</v>
      </c>
      <c r="C61" s="65" t="s">
        <v>2841</v>
      </c>
      <c r="D61" s="66">
        <v>4.4497159999998728E-3</v>
      </c>
      <c r="E61" s="67">
        <f t="shared" si="0"/>
        <v>43472643.362038806</v>
      </c>
      <c r="F61" s="67">
        <f t="shared" si="1"/>
        <v>76121162.191673711</v>
      </c>
      <c r="G61" s="71">
        <f t="shared" si="2"/>
        <v>32648518.829634905</v>
      </c>
      <c r="H61" s="78">
        <f t="shared" si="3"/>
        <v>8.3317161524093963E-2</v>
      </c>
      <c r="I61" s="68">
        <v>49.36</v>
      </c>
      <c r="J61" s="68">
        <v>86.43</v>
      </c>
      <c r="K61" s="69">
        <v>11.667199999999999</v>
      </c>
      <c r="L61" s="70">
        <f t="shared" si="4"/>
        <v>0.75101296596434375</v>
      </c>
      <c r="M61" s="95">
        <f t="shared" si="5"/>
        <v>880726.1621158591</v>
      </c>
    </row>
    <row r="62" spans="1:13" ht="15" customHeight="1" x14ac:dyDescent="0.25">
      <c r="A62" s="65" t="str">
        <f>_xlfn.XLOOKUP(C62,'Sectors &amp; Company Names'!$B$2:$B$2814,'Sectors &amp; Company Names'!$C$2:$C$2814)</f>
        <v>Farm Products</v>
      </c>
      <c r="B62" s="65" t="str">
        <f>_xlfn.XLOOKUP(C62,'Sectors &amp; Company Names'!$B$2:$B$2814,'Sectors &amp; Company Names'!$A$2:$A$2814)</f>
        <v>ARCHER DANIELS MIDLAND</v>
      </c>
      <c r="C62" s="65" t="s">
        <v>1186</v>
      </c>
      <c r="D62" s="66">
        <v>3.2995160000000236E-3</v>
      </c>
      <c r="E62" s="67">
        <f t="shared" si="0"/>
        <v>32235469.035629682</v>
      </c>
      <c r="F62" s="67">
        <f t="shared" si="1"/>
        <v>6999160.8095888244</v>
      </c>
      <c r="G62" s="71">
        <f t="shared" si="2"/>
        <v>-25236308.226040859</v>
      </c>
      <c r="H62" s="78">
        <f t="shared" si="3"/>
        <v>-0.19602125323149855</v>
      </c>
      <c r="I62" s="68">
        <v>221.3</v>
      </c>
      <c r="J62" s="68">
        <v>48.05</v>
      </c>
      <c r="K62" s="69">
        <v>13.2189</v>
      </c>
      <c r="L62" s="70">
        <f t="shared" si="4"/>
        <v>-0.78287392679620416</v>
      </c>
      <c r="M62" s="95">
        <f t="shared" si="5"/>
        <v>145664.11674482466</v>
      </c>
    </row>
    <row r="63" spans="1:13" ht="15" customHeight="1" x14ac:dyDescent="0.25">
      <c r="A63" s="65" t="str">
        <f>_xlfn.XLOOKUP(C63,'Sectors &amp; Company Names'!$B$2:$B$2814,'Sectors &amp; Company Names'!$C$2:$C$2814)</f>
        <v>Shipping &amp; Ports</v>
      </c>
      <c r="B63" s="65" t="str">
        <f>_xlfn.XLOOKUP(C63,'Sectors &amp; Company Names'!$B$2:$B$2814,'Sectors &amp; Company Names'!$A$2:$A$2814)</f>
        <v>ARDMORE SHIPPING CORP</v>
      </c>
      <c r="C63" s="65" t="s">
        <v>2470</v>
      </c>
      <c r="D63" s="66">
        <v>2.0456359999999978E-3</v>
      </c>
      <c r="E63" s="67">
        <f t="shared" si="0"/>
        <v>19985366.319232523</v>
      </c>
      <c r="F63" s="67">
        <f t="shared" si="1"/>
        <v>3458605.6390413688</v>
      </c>
      <c r="G63" s="71">
        <f t="shared" si="2"/>
        <v>-16526760.680191156</v>
      </c>
      <c r="H63" s="78">
        <f t="shared" si="3"/>
        <v>-0.22165910851568649</v>
      </c>
      <c r="I63" s="68">
        <v>57.64</v>
      </c>
      <c r="J63" s="68">
        <v>9.9749999999999996</v>
      </c>
      <c r="K63" s="69">
        <v>3.2265999999999999</v>
      </c>
      <c r="L63" s="70">
        <f t="shared" si="4"/>
        <v>-0.82694309507286601</v>
      </c>
      <c r="M63" s="95">
        <f t="shared" si="5"/>
        <v>346727.38236003701</v>
      </c>
    </row>
    <row r="64" spans="1:13" ht="15" customHeight="1" x14ac:dyDescent="0.25">
      <c r="A64" s="65" t="str">
        <f>_xlfn.XLOOKUP(C64,'Sectors &amp; Company Names'!$B$2:$B$2814,'Sectors &amp; Company Names'!$C$2:$C$2814)</f>
        <v>REIT - Diversified</v>
      </c>
      <c r="B64" s="65" t="str">
        <f>_xlfn.XLOOKUP(C64,'Sectors &amp; Company Names'!$B$2:$B$2814,'Sectors &amp; Company Names'!$A$2:$A$2814)</f>
        <v>ARES COML REAL ESTATE</v>
      </c>
      <c r="C64" s="65" t="s">
        <v>2027</v>
      </c>
      <c r="D64" s="66">
        <v>3.5000000000000001E-3</v>
      </c>
      <c r="E64" s="67">
        <f t="shared" si="0"/>
        <v>34194148.967516169</v>
      </c>
      <c r="F64" s="67">
        <f t="shared" si="1"/>
        <v>3484931.6110391519</v>
      </c>
      <c r="G64" s="71">
        <f t="shared" si="2"/>
        <v>-30709217.356477018</v>
      </c>
      <c r="H64" s="78">
        <f t="shared" si="3"/>
        <v>-0.27836040933610184</v>
      </c>
      <c r="I64" s="68">
        <v>49.06</v>
      </c>
      <c r="J64" s="68">
        <v>5</v>
      </c>
      <c r="K64" s="65">
        <v>0</v>
      </c>
      <c r="L64" s="70">
        <f t="shared" si="4"/>
        <v>-0.89808397880146762</v>
      </c>
      <c r="M64" s="95">
        <f t="shared" si="5"/>
        <v>696986.32220783038</v>
      </c>
    </row>
    <row r="65" spans="1:13" ht="15" customHeight="1" x14ac:dyDescent="0.25">
      <c r="A65" s="65" t="str">
        <f>_xlfn.XLOOKUP(C65,'Sectors &amp; Company Names'!$B$2:$B$2814,'Sectors &amp; Company Names'!$C$2:$C$2814)</f>
        <v>Banks - Regional - US</v>
      </c>
      <c r="B65" s="65" t="str">
        <f>_xlfn.XLOOKUP(C65,'Sectors &amp; Company Names'!$B$2:$B$2814,'Sectors &amp; Company Names'!$A$2:$A$2814)</f>
        <v>ARROW FINANCIAL CORP</v>
      </c>
      <c r="C65" s="65" t="s">
        <v>239</v>
      </c>
      <c r="D65" s="66">
        <v>4.0587559999999334E-3</v>
      </c>
      <c r="E65" s="67">
        <f t="shared" si="0"/>
        <v>39653059.224799365</v>
      </c>
      <c r="F65" s="67">
        <f t="shared" si="1"/>
        <v>11658503.420202471</v>
      </c>
      <c r="G65" s="71">
        <f t="shared" si="2"/>
        <v>-27994555.804596893</v>
      </c>
      <c r="H65" s="78">
        <f t="shared" si="3"/>
        <v>-0.16043891366042973</v>
      </c>
      <c r="I65" s="68">
        <v>89.69</v>
      </c>
      <c r="J65" s="68">
        <v>26.37</v>
      </c>
      <c r="K65" s="69">
        <v>14.795299999999999</v>
      </c>
      <c r="L65" s="70">
        <f t="shared" si="4"/>
        <v>-0.70598728955290435</v>
      </c>
      <c r="M65" s="95">
        <f t="shared" si="5"/>
        <v>442112.37846804969</v>
      </c>
    </row>
    <row r="66" spans="1:13" ht="15" customHeight="1" x14ac:dyDescent="0.25">
      <c r="A66" s="65" t="str">
        <f>_xlfn.XLOOKUP(C66,'Sectors &amp; Company Names'!$B$2:$B$2814,'Sectors &amp; Company Names'!$C$2:$C$2814)</f>
        <v>Utilities - Regulated Water</v>
      </c>
      <c r="B66" s="65" t="str">
        <f>_xlfn.XLOOKUP(C66,'Sectors &amp; Company Names'!$B$2:$B$2814,'Sectors &amp; Company Names'!$A$2:$A$2814)</f>
        <v>ARTESIAN RESOURCES CORP</v>
      </c>
      <c r="C66" s="65" t="s">
        <v>2924</v>
      </c>
      <c r="D66" s="66">
        <v>4.2779959999998994E-3</v>
      </c>
      <c r="E66" s="67">
        <f t="shared" si="0"/>
        <v>41794980.716124251</v>
      </c>
      <c r="F66" s="67">
        <f t="shared" si="1"/>
        <v>13593165.418914888</v>
      </c>
      <c r="G66" s="71">
        <f t="shared" si="2"/>
        <v>-28201815.297209363</v>
      </c>
      <c r="H66" s="78">
        <f t="shared" si="3"/>
        <v>-0.14824678439108774</v>
      </c>
      <c r="I66" s="68">
        <v>99.19</v>
      </c>
      <c r="J66" s="68">
        <v>32.26</v>
      </c>
      <c r="K66" s="69">
        <v>16.605799999999999</v>
      </c>
      <c r="L66" s="70">
        <f t="shared" si="4"/>
        <v>-0.67476560137110608</v>
      </c>
      <c r="M66" s="95">
        <f t="shared" si="5"/>
        <v>421362.84621558862</v>
      </c>
    </row>
    <row r="67" spans="1:13" ht="15" customHeight="1" x14ac:dyDescent="0.25">
      <c r="A67" s="65" t="str">
        <f>_xlfn.XLOOKUP(C67,'Sectors &amp; Company Names'!$B$2:$B$2814,'Sectors &amp; Company Names'!$C$2:$C$2814)</f>
        <v>Chemicals</v>
      </c>
      <c r="B67" s="65" t="str">
        <f>_xlfn.XLOOKUP(C67,'Sectors &amp; Company Names'!$B$2:$B$2814,'Sectors &amp; Company Names'!$A$2:$A$2814)</f>
        <v>ASHLAND GLOBAL HOLDINGS</v>
      </c>
      <c r="C67" s="65" t="s">
        <v>783</v>
      </c>
      <c r="D67" s="66">
        <v>3.6440359999999985E-3</v>
      </c>
      <c r="E67" s="67">
        <f t="shared" si="0"/>
        <v>35601345.664854772</v>
      </c>
      <c r="F67" s="67">
        <f t="shared" si="1"/>
        <v>12368752.13292253</v>
      </c>
      <c r="G67" s="71">
        <f t="shared" si="2"/>
        <v>-23232593.531932242</v>
      </c>
      <c r="H67" s="78">
        <f t="shared" si="3"/>
        <v>-0.14017811283260273</v>
      </c>
      <c r="I67" s="68">
        <v>187.48</v>
      </c>
      <c r="J67" s="68">
        <v>65.135000000000005</v>
      </c>
      <c r="K67" s="65">
        <v>0</v>
      </c>
      <c r="L67" s="70">
        <f t="shared" si="4"/>
        <v>-0.65257627480264557</v>
      </c>
      <c r="M67" s="95">
        <f t="shared" si="5"/>
        <v>189894.09891644321</v>
      </c>
    </row>
    <row r="68" spans="1:13" ht="15" customHeight="1" x14ac:dyDescent="0.25">
      <c r="A68" s="65" t="str">
        <f>_xlfn.XLOOKUP(C68,'Sectors &amp; Company Names'!$B$2:$B$2814,'Sectors &amp; Company Names'!$C$2:$C$2814)</f>
        <v>Banks - Regional - US</v>
      </c>
      <c r="B68" s="65" t="str">
        <f>_xlfn.XLOOKUP(C68,'Sectors &amp; Company Names'!$B$2:$B$2814,'Sectors &amp; Company Names'!$A$2:$A$2814)</f>
        <v>ASSOCIATED BANC CORP</v>
      </c>
      <c r="C68" s="65" t="s">
        <v>240</v>
      </c>
      <c r="D68" s="66">
        <v>3.7401559999999832E-3</v>
      </c>
      <c r="E68" s="67">
        <f t="shared" si="0"/>
        <v>36540414.693071097</v>
      </c>
      <c r="F68" s="67">
        <f t="shared" si="1"/>
        <v>5902496.5968186203</v>
      </c>
      <c r="G68" s="71">
        <f t="shared" si="2"/>
        <v>-30637918.096252479</v>
      </c>
      <c r="H68" s="78">
        <f t="shared" si="3"/>
        <v>-0.2292835820548349</v>
      </c>
      <c r="I68" s="68">
        <v>151.30000000000001</v>
      </c>
      <c r="J68" s="68">
        <v>24.44</v>
      </c>
      <c r="K68" s="69">
        <v>31.531500000000001</v>
      </c>
      <c r="L68" s="70">
        <f t="shared" si="4"/>
        <v>-0.83846662260409788</v>
      </c>
      <c r="M68" s="95">
        <f t="shared" si="5"/>
        <v>241509.68072089279</v>
      </c>
    </row>
    <row r="69" spans="1:13" ht="15" customHeight="1" x14ac:dyDescent="0.25">
      <c r="A69" s="65" t="str">
        <f>_xlfn.XLOOKUP(C69,'Sectors &amp; Company Names'!$B$2:$B$2814,'Sectors &amp; Company Names'!$C$2:$C$2814)</f>
        <v>Diversified Industrials</v>
      </c>
      <c r="B69" s="65" t="str">
        <f>_xlfn.XLOOKUP(C69,'Sectors &amp; Company Names'!$B$2:$B$2814,'Sectors &amp; Company Names'!$A$2:$A$2814)</f>
        <v>ATKORE INTL GROUP INC</v>
      </c>
      <c r="C69" s="65" t="s">
        <v>983</v>
      </c>
      <c r="D69" s="66">
        <v>4.270435999999901E-3</v>
      </c>
      <c r="E69" s="67">
        <f t="shared" si="0"/>
        <v>41721121.354354426</v>
      </c>
      <c r="F69" s="67">
        <f t="shared" si="1"/>
        <v>28845474.755748458</v>
      </c>
      <c r="G69" s="71">
        <f t="shared" si="2"/>
        <v>-12875646.598605968</v>
      </c>
      <c r="H69" s="78">
        <f t="shared" si="3"/>
        <v>-5.1356352916600345E-2</v>
      </c>
      <c r="I69" s="68">
        <v>95.33</v>
      </c>
      <c r="J69" s="68">
        <v>65.91</v>
      </c>
      <c r="K69" s="69">
        <v>6.3197999999999999</v>
      </c>
      <c r="L69" s="70">
        <f t="shared" si="4"/>
        <v>-0.30861218923738593</v>
      </c>
      <c r="M69" s="95">
        <f t="shared" si="5"/>
        <v>437649.44250870065</v>
      </c>
    </row>
    <row r="70" spans="1:13" ht="15" customHeight="1" x14ac:dyDescent="0.25">
      <c r="A70" s="65" t="str">
        <f>_xlfn.XLOOKUP(C70,'Sectors &amp; Company Names'!$B$2:$B$2814,'Sectors &amp; Company Names'!$C$2:$C$2814)</f>
        <v>Utilities - Regulated Gas</v>
      </c>
      <c r="B70" s="65" t="str">
        <f>_xlfn.XLOOKUP(C70,'Sectors &amp; Company Names'!$B$2:$B$2814,'Sectors &amp; Company Names'!$A$2:$A$2814)</f>
        <v>ATMOS ENERGY CORP</v>
      </c>
      <c r="C70" s="65" t="s">
        <v>2907</v>
      </c>
      <c r="D70" s="66">
        <v>4.2455959999999045E-3</v>
      </c>
      <c r="E70" s="67">
        <f t="shared" si="0"/>
        <v>41478440.594253577</v>
      </c>
      <c r="F70" s="67">
        <f t="shared" si="1"/>
        <v>0</v>
      </c>
      <c r="G70" s="71">
        <f t="shared" si="2"/>
        <v>-41478440.594253577</v>
      </c>
      <c r="H70" s="78">
        <f t="shared" si="3"/>
        <v>-1</v>
      </c>
      <c r="I70" s="68">
        <v>64.39</v>
      </c>
      <c r="J70" s="68">
        <v>0</v>
      </c>
      <c r="K70" s="65">
        <v>0</v>
      </c>
      <c r="L70" s="70">
        <f t="shared" si="4"/>
        <v>-1</v>
      </c>
      <c r="M70" s="95" t="e">
        <f t="shared" si="5"/>
        <v>#DIV/0!</v>
      </c>
    </row>
    <row r="71" spans="1:13" ht="15" customHeight="1" x14ac:dyDescent="0.25">
      <c r="A71" s="65" t="str">
        <f>_xlfn.XLOOKUP(C71,'Sectors &amp; Company Names'!$B$2:$B$2814,'Sectors &amp; Company Names'!$C$2:$C$2814)</f>
        <v>Software - Application</v>
      </c>
      <c r="B71" s="65" t="str">
        <f>_xlfn.XLOOKUP(C71,'Sectors &amp; Company Names'!$B$2:$B$2814,'Sectors &amp; Company Names'!$A$2:$A$2814)</f>
        <v>AUTODESK INC</v>
      </c>
      <c r="C71" s="65" t="s">
        <v>2514</v>
      </c>
      <c r="D71" s="66">
        <v>4.0245559999999387E-3</v>
      </c>
      <c r="E71" s="67">
        <f t="shared" si="0"/>
        <v>39318933.54060255</v>
      </c>
      <c r="F71" s="67">
        <f t="shared" si="1"/>
        <v>851020658.08091497</v>
      </c>
      <c r="G71" s="71">
        <f t="shared" si="2"/>
        <v>811701724.54031241</v>
      </c>
      <c r="H71" s="78">
        <f t="shared" si="3"/>
        <v>0.55153874291437988</v>
      </c>
      <c r="I71" s="68">
        <v>13.26</v>
      </c>
      <c r="J71" s="68">
        <v>287</v>
      </c>
      <c r="K71" s="69">
        <v>56.618400000000001</v>
      </c>
      <c r="L71" s="70">
        <f t="shared" si="4"/>
        <v>20.644042232277528</v>
      </c>
      <c r="M71" s="95">
        <f t="shared" si="5"/>
        <v>2965228.7738010976</v>
      </c>
    </row>
    <row r="72" spans="1:13" ht="15" customHeight="1" x14ac:dyDescent="0.25">
      <c r="A72" s="65" t="str">
        <f>_xlfn.XLOOKUP(C72,'Sectors &amp; Company Names'!$B$2:$B$2814,'Sectors &amp; Company Names'!$C$2:$C$2814)</f>
        <v>Auto &amp; Truck Dealerships</v>
      </c>
      <c r="B72" s="65" t="str">
        <f>_xlfn.XLOOKUP(C72,'Sectors &amp; Company Names'!$B$2:$B$2814,'Sectors &amp; Company Names'!$A$2:$A$2814)</f>
        <v>AUTONATION INC</v>
      </c>
      <c r="C72" s="65" t="s">
        <v>154</v>
      </c>
      <c r="D72" s="66">
        <v>2.4139160000000025E-3</v>
      </c>
      <c r="E72" s="67">
        <f t="shared" si="0"/>
        <v>23583372.3711631</v>
      </c>
      <c r="F72" s="67">
        <f t="shared" si="1"/>
        <v>106944369.0083259</v>
      </c>
      <c r="G72" s="71">
        <f t="shared" si="2"/>
        <v>83360996.637162805</v>
      </c>
      <c r="H72" s="78">
        <f t="shared" si="3"/>
        <v>0.24106104748342205</v>
      </c>
      <c r="I72" s="68">
        <v>40.159999999999997</v>
      </c>
      <c r="J72" s="68">
        <v>182.11500000000001</v>
      </c>
      <c r="K72" s="69">
        <v>10.674099999999999</v>
      </c>
      <c r="L72" s="70">
        <f t="shared" si="4"/>
        <v>3.534736055776893</v>
      </c>
      <c r="M72" s="95">
        <f t="shared" si="5"/>
        <v>587235.36780784617</v>
      </c>
    </row>
    <row r="73" spans="1:13" ht="15" customHeight="1" x14ac:dyDescent="0.25">
      <c r="A73" s="65" t="str">
        <f>_xlfn.XLOOKUP(C73,'Sectors &amp; Company Names'!$B$2:$B$2814,'Sectors &amp; Company Names'!$C$2:$C$2814)</f>
        <v>Specialty Retail</v>
      </c>
      <c r="B73" s="65" t="str">
        <f>_xlfn.XLOOKUP(C73,'Sectors &amp; Company Names'!$B$2:$B$2814,'Sectors &amp; Company Names'!$A$2:$A$2814)</f>
        <v>AUTOZONE INC</v>
      </c>
      <c r="C73" s="65" t="s">
        <v>2685</v>
      </c>
      <c r="D73" s="66">
        <v>2.9247159999999999E-3</v>
      </c>
      <c r="E73" s="67">
        <f t="shared" ref="E73:E136" si="6">+$J$3*D73</f>
        <v>28573764.169050865</v>
      </c>
      <c r="F73" s="67">
        <f t="shared" ref="F73:F136" si="7">(L73+1)*E73</f>
        <v>3735975569.7883244</v>
      </c>
      <c r="G73" s="71">
        <f t="shared" ref="G73:G136" si="8">F73-E73</f>
        <v>3707401805.6192737</v>
      </c>
      <c r="H73" s="78">
        <f t="shared" ref="H73:H136" si="9">((F73/E73)^(1/7))-1</f>
        <v>1.0060792309260225</v>
      </c>
      <c r="I73" s="68">
        <v>25.92</v>
      </c>
      <c r="J73" s="68">
        <v>3389</v>
      </c>
      <c r="K73" s="69">
        <v>22.627300000000002</v>
      </c>
      <c r="L73" s="70">
        <f t="shared" ref="L73:L136" si="10">+(J73-I73)/I73</f>
        <v>129.74845679012344</v>
      </c>
      <c r="M73" s="95">
        <f t="shared" ref="M73:M136" si="11">F73/J73</f>
        <v>1102382.8768923944</v>
      </c>
    </row>
    <row r="74" spans="1:13" ht="15" customHeight="1" x14ac:dyDescent="0.25">
      <c r="A74" s="65" t="str">
        <f>_xlfn.XLOOKUP(C74,'Sectors &amp; Company Names'!$B$2:$B$2814,'Sectors &amp; Company Names'!$C$2:$C$2814)</f>
        <v>Utilities - Regulated Electric</v>
      </c>
      <c r="B74" s="65" t="str">
        <f>_xlfn.XLOOKUP(C74,'Sectors &amp; Company Names'!$B$2:$B$2814,'Sectors &amp; Company Names'!$A$2:$A$2814)</f>
        <v>AVANGRID INC</v>
      </c>
      <c r="C74" s="65" t="s">
        <v>2881</v>
      </c>
      <c r="D74" s="66">
        <v>2.3221159999999999E-3</v>
      </c>
      <c r="E74" s="67">
        <f t="shared" si="6"/>
        <v>22686508.692529365</v>
      </c>
      <c r="F74" s="67">
        <f t="shared" si="7"/>
        <v>389398.54792913346</v>
      </c>
      <c r="G74" s="71">
        <f t="shared" si="8"/>
        <v>-22297110.144600231</v>
      </c>
      <c r="H74" s="78">
        <f t="shared" si="9"/>
        <v>-0.44049521014097681</v>
      </c>
      <c r="I74" s="68">
        <v>2552.9699999999998</v>
      </c>
      <c r="J74" s="68">
        <v>43.82</v>
      </c>
      <c r="K74" s="69">
        <v>20.598099999999999</v>
      </c>
      <c r="L74" s="70">
        <f t="shared" si="10"/>
        <v>-0.98283567766170377</v>
      </c>
      <c r="M74" s="95">
        <f t="shared" si="11"/>
        <v>8886.3201261783088</v>
      </c>
    </row>
    <row r="75" spans="1:13" ht="15" customHeight="1" x14ac:dyDescent="0.25">
      <c r="A75" s="65" t="str">
        <f>_xlfn.XLOOKUP(C75,'Sectors &amp; Company Names'!$B$2:$B$2814,'Sectors &amp; Company Names'!$C$2:$C$2814)</f>
        <v>Business Equipment</v>
      </c>
      <c r="B75" s="65" t="str">
        <f>_xlfn.XLOOKUP(C75,'Sectors &amp; Company Names'!$B$2:$B$2814,'Sectors &amp; Company Names'!$A$2:$A$2814)</f>
        <v>AVERY DENNISON CORP</v>
      </c>
      <c r="C75" s="65" t="s">
        <v>665</v>
      </c>
      <c r="D75" s="66">
        <v>3.2217560000000218E-3</v>
      </c>
      <c r="E75" s="67">
        <f t="shared" si="6"/>
        <v>31475772.743139934</v>
      </c>
      <c r="F75" s="67">
        <f t="shared" si="7"/>
        <v>218238292.86580369</v>
      </c>
      <c r="G75" s="71">
        <f t="shared" si="8"/>
        <v>186762520.12266377</v>
      </c>
      <c r="H75" s="78">
        <f t="shared" si="9"/>
        <v>0.31867072553958753</v>
      </c>
      <c r="I75" s="68">
        <v>26.78</v>
      </c>
      <c r="J75" s="68">
        <v>185.68</v>
      </c>
      <c r="K75" s="69">
        <v>21.138000000000002</v>
      </c>
      <c r="L75" s="70">
        <f t="shared" si="10"/>
        <v>5.9335324869305452</v>
      </c>
      <c r="M75" s="95">
        <f t="shared" si="11"/>
        <v>1175346.2562785635</v>
      </c>
    </row>
    <row r="76" spans="1:13" ht="15" customHeight="1" x14ac:dyDescent="0.25">
      <c r="A76" s="65" t="str">
        <f>_xlfn.XLOOKUP(C76,'Sectors &amp; Company Names'!$B$2:$B$2814,'Sectors &amp; Company Names'!$C$2:$C$2814)</f>
        <v>Rental &amp; Leasing Services</v>
      </c>
      <c r="B76" s="65" t="str">
        <f>_xlfn.XLOOKUP(C76,'Sectors &amp; Company Names'!$B$2:$B$2814,'Sectors &amp; Company Names'!$A$2:$A$2814)</f>
        <v>AVIS BUDGET GROUP INC CAR</v>
      </c>
      <c r="C76" s="65" t="s">
        <v>2220</v>
      </c>
      <c r="D76" s="66">
        <v>3.6958759999999903E-3</v>
      </c>
      <c r="E76" s="67">
        <f t="shared" si="6"/>
        <v>36107809.859847844</v>
      </c>
      <c r="F76" s="67">
        <f t="shared" si="7"/>
        <v>17377088.413547218</v>
      </c>
      <c r="G76" s="71">
        <f t="shared" si="8"/>
        <v>-18730721.446300626</v>
      </c>
      <c r="H76" s="78">
        <f t="shared" si="9"/>
        <v>-9.9206749499351821E-2</v>
      </c>
      <c r="I76" s="68">
        <v>77.09</v>
      </c>
      <c r="J76" s="68">
        <v>37.1</v>
      </c>
      <c r="K76" s="69">
        <v>54.61</v>
      </c>
      <c r="L76" s="70">
        <f t="shared" si="10"/>
        <v>-0.51874432481515109</v>
      </c>
      <c r="M76" s="95">
        <f t="shared" si="11"/>
        <v>468385.13244062581</v>
      </c>
    </row>
    <row r="77" spans="1:13" ht="15" customHeight="1" x14ac:dyDescent="0.25">
      <c r="A77" s="65" t="str">
        <f>_xlfn.XLOOKUP(C77,'Sectors &amp; Company Names'!$B$2:$B$2814,'Sectors &amp; Company Names'!$C$2:$C$2814)</f>
        <v>Utilities - Diversified</v>
      </c>
      <c r="B77" s="65" t="str">
        <f>_xlfn.XLOOKUP(C77,'Sectors &amp; Company Names'!$B$2:$B$2814,'Sectors &amp; Company Names'!$A$2:$A$2814)</f>
        <v>AVISTA CORP</v>
      </c>
      <c r="C77" s="65" t="s">
        <v>2854</v>
      </c>
      <c r="D77" s="66">
        <v>2.0629159999999971E-3</v>
      </c>
      <c r="E77" s="67">
        <f t="shared" si="6"/>
        <v>20154187.71756357</v>
      </c>
      <c r="F77" s="67">
        <f t="shared" si="7"/>
        <v>2781642.4945651051</v>
      </c>
      <c r="G77" s="71">
        <f t="shared" si="8"/>
        <v>-17372545.222998463</v>
      </c>
      <c r="H77" s="78">
        <f t="shared" si="9"/>
        <v>-0.24641244778846672</v>
      </c>
      <c r="I77" s="68">
        <v>275.29000000000002</v>
      </c>
      <c r="J77" s="68">
        <v>37.994999999999997</v>
      </c>
      <c r="K77" s="69">
        <v>14.9986</v>
      </c>
      <c r="L77" s="70">
        <f t="shared" si="10"/>
        <v>-0.86198190998583313</v>
      </c>
      <c r="M77" s="95">
        <f t="shared" si="11"/>
        <v>73210.751271617453</v>
      </c>
    </row>
    <row r="78" spans="1:13" ht="15" customHeight="1" x14ac:dyDescent="0.25">
      <c r="A78" s="65" t="str">
        <f>_xlfn.XLOOKUP(C78,'Sectors &amp; Company Names'!$B$2:$B$2814,'Sectors &amp; Company Names'!$C$2:$C$2814)</f>
        <v>Electronics Distribution</v>
      </c>
      <c r="B78" s="65" t="str">
        <f>_xlfn.XLOOKUP(C78,'Sectors &amp; Company Names'!$B$2:$B$2814,'Sectors &amp; Company Names'!$A$2:$A$2814)</f>
        <v>AVNET INC</v>
      </c>
      <c r="C78" s="65" t="s">
        <v>1144</v>
      </c>
      <c r="D78" s="66">
        <v>2.1061159999999964E-3</v>
      </c>
      <c r="E78" s="67">
        <f t="shared" si="6"/>
        <v>20576241.213391189</v>
      </c>
      <c r="F78" s="67">
        <f t="shared" si="7"/>
        <v>34390306.514413498</v>
      </c>
      <c r="G78" s="71">
        <f t="shared" si="8"/>
        <v>13814065.30102231</v>
      </c>
      <c r="H78" s="78">
        <f t="shared" si="9"/>
        <v>7.613595874305612E-2</v>
      </c>
      <c r="I78" s="68">
        <v>31.25</v>
      </c>
      <c r="J78" s="68">
        <v>52.23</v>
      </c>
      <c r="K78" s="69">
        <v>14.6967</v>
      </c>
      <c r="L78" s="70">
        <f t="shared" si="10"/>
        <v>0.67135999999999985</v>
      </c>
      <c r="M78" s="95">
        <f t="shared" si="11"/>
        <v>658439.71882851806</v>
      </c>
    </row>
    <row r="79" spans="1:13" ht="15" customHeight="1" x14ac:dyDescent="0.25">
      <c r="A79" s="65" t="str">
        <f>_xlfn.XLOOKUP(C79,'Sectors &amp; Company Names'!$B$2:$B$2814,'Sectors &amp; Company Names'!$C$2:$C$2814)</f>
        <v>Insurance - Property &amp; Casualty</v>
      </c>
      <c r="B79" s="65" t="str">
        <f>_xlfn.XLOOKUP(C79,'Sectors &amp; Company Names'!$B$2:$B$2814,'Sectors &amp; Company Names'!$A$2:$A$2814)</f>
        <v>AXIS CAPITAL HOLDINGS</v>
      </c>
      <c r="C79" s="65" t="s">
        <v>1397</v>
      </c>
      <c r="D79" s="66">
        <v>4.1084359999999263E-3</v>
      </c>
      <c r="E79" s="67">
        <f t="shared" si="6"/>
        <v>40138420.74500107</v>
      </c>
      <c r="F79" s="67">
        <f t="shared" si="7"/>
        <v>10618523.520827467</v>
      </c>
      <c r="G79" s="71">
        <f t="shared" si="8"/>
        <v>-29519897.224173605</v>
      </c>
      <c r="H79" s="78">
        <f t="shared" si="9"/>
        <v>-0.17300944348686453</v>
      </c>
      <c r="I79" s="68">
        <v>79.91</v>
      </c>
      <c r="J79" s="68">
        <v>21.14</v>
      </c>
      <c r="K79" s="65">
        <v>0</v>
      </c>
      <c r="L79" s="70">
        <f t="shared" si="10"/>
        <v>-0.73545238393192336</v>
      </c>
      <c r="M79" s="95">
        <f t="shared" si="11"/>
        <v>502295.34157178178</v>
      </c>
    </row>
    <row r="80" spans="1:13" ht="15" customHeight="1" x14ac:dyDescent="0.25">
      <c r="A80" s="65" t="str">
        <f>_xlfn.XLOOKUP(C80,'Sectors &amp; Company Names'!$B$2:$B$2814,'Sectors &amp; Company Names'!$C$2:$C$2814)</f>
        <v>Chemicals</v>
      </c>
      <c r="B80" s="65" t="str">
        <f>_xlfn.XLOOKUP(C80,'Sectors &amp; Company Names'!$B$2:$B$2814,'Sectors &amp; Company Names'!$A$2:$A$2814)</f>
        <v>BALCHEM CORP</v>
      </c>
      <c r="C80" s="65" t="s">
        <v>777</v>
      </c>
      <c r="D80" s="66">
        <v>4.2229159999999082E-3</v>
      </c>
      <c r="E80" s="67">
        <f t="shared" si="6"/>
        <v>41256862.508944109</v>
      </c>
      <c r="F80" s="67">
        <f t="shared" si="7"/>
        <v>91205840.202328369</v>
      </c>
      <c r="G80" s="71">
        <f t="shared" si="8"/>
        <v>49948977.69338426</v>
      </c>
      <c r="H80" s="78">
        <f t="shared" si="9"/>
        <v>0.12000010758244439</v>
      </c>
      <c r="I80" s="68">
        <v>73.95</v>
      </c>
      <c r="J80" s="68">
        <v>163.47999999999999</v>
      </c>
      <c r="K80" s="69">
        <v>43.972099999999998</v>
      </c>
      <c r="L80" s="70">
        <f t="shared" si="10"/>
        <v>1.2106828938471939</v>
      </c>
      <c r="M80" s="95">
        <f t="shared" si="11"/>
        <v>557902.12993839232</v>
      </c>
    </row>
    <row r="81" spans="1:13" ht="15" customHeight="1" x14ac:dyDescent="0.25">
      <c r="A81" s="65" t="str">
        <f>_xlfn.XLOOKUP(C81,'Sectors &amp; Company Names'!$B$2:$B$2814,'Sectors &amp; Company Names'!$C$2:$C$2814)</f>
        <v>Banks - Regional - US</v>
      </c>
      <c r="B81" s="65" t="str">
        <f>_xlfn.XLOOKUP(C81,'Sectors &amp; Company Names'!$B$2:$B$2814,'Sectors &amp; Company Names'!$A$2:$A$2814)</f>
        <v>BANCFIRST CORP</v>
      </c>
      <c r="C81" s="65" t="s">
        <v>243</v>
      </c>
      <c r="D81" s="66">
        <v>3.7963159999999745E-3</v>
      </c>
      <c r="E81" s="67">
        <f t="shared" si="6"/>
        <v>37089084.23764693</v>
      </c>
      <c r="F81" s="67">
        <f t="shared" si="7"/>
        <v>28338571.585016031</v>
      </c>
      <c r="G81" s="71">
        <f t="shared" si="8"/>
        <v>-8750512.6526308991</v>
      </c>
      <c r="H81" s="78">
        <f t="shared" si="9"/>
        <v>-3.7713153778031305E-2</v>
      </c>
      <c r="I81" s="68">
        <v>153.01</v>
      </c>
      <c r="J81" s="68">
        <v>116.91</v>
      </c>
      <c r="K81" s="69">
        <v>18.028700000000001</v>
      </c>
      <c r="L81" s="70">
        <f t="shared" si="10"/>
        <v>-0.23593229200705834</v>
      </c>
      <c r="M81" s="95">
        <f t="shared" si="11"/>
        <v>242396.47237204714</v>
      </c>
    </row>
    <row r="82" spans="1:13" ht="15" customHeight="1" x14ac:dyDescent="0.25">
      <c r="A82" s="65" t="str">
        <f>_xlfn.XLOOKUP(C82,'Sectors &amp; Company Names'!$B$2:$B$2814,'Sectors &amp; Company Names'!$C$2:$C$2814)</f>
        <v>Banks - Global</v>
      </c>
      <c r="B82" s="65" t="str">
        <f>_xlfn.XLOOKUP(C82,'Sectors &amp; Company Names'!$B$2:$B$2814,'Sectors &amp; Company Names'!$A$2:$A$2814)</f>
        <v>BANK OF AMERICA CORP</v>
      </c>
      <c r="C82" s="65" t="s">
        <v>197</v>
      </c>
      <c r="D82" s="66">
        <v>4.006915999999942E-3</v>
      </c>
      <c r="E82" s="67">
        <f t="shared" si="6"/>
        <v>39146595.029806301</v>
      </c>
      <c r="F82" s="67">
        <f t="shared" si="7"/>
        <v>10484616.706096219</v>
      </c>
      <c r="G82" s="71">
        <f t="shared" si="8"/>
        <v>-28661978.323710084</v>
      </c>
      <c r="H82" s="78">
        <f t="shared" si="9"/>
        <v>-0.17155151265210067</v>
      </c>
      <c r="I82" s="68">
        <v>168.54</v>
      </c>
      <c r="J82" s="68">
        <v>45.14</v>
      </c>
      <c r="K82" s="69">
        <v>14.051299999999999</v>
      </c>
      <c r="L82" s="70">
        <f t="shared" si="10"/>
        <v>-0.73217040465171468</v>
      </c>
      <c r="M82" s="95">
        <f t="shared" si="11"/>
        <v>232268.86810137835</v>
      </c>
    </row>
    <row r="83" spans="1:13" ht="15" customHeight="1" x14ac:dyDescent="0.25">
      <c r="A83" s="65" t="str">
        <f>_xlfn.XLOOKUP(C83,'Sectors &amp; Company Names'!$B$2:$B$2814,'Sectors &amp; Company Names'!$C$2:$C$2814)</f>
        <v>Banks - Regional - US</v>
      </c>
      <c r="B83" s="65" t="str">
        <f>_xlfn.XLOOKUP(C83,'Sectors &amp; Company Names'!$B$2:$B$2814,'Sectors &amp; Company Names'!$A$2:$A$2814)</f>
        <v>BANK OF HAWAII CORP BOH</v>
      </c>
      <c r="C83" s="65" t="s">
        <v>245</v>
      </c>
      <c r="D83" s="66">
        <v>4.4302759999998763E-3</v>
      </c>
      <c r="E83" s="67">
        <f t="shared" si="6"/>
        <v>43282719.288916409</v>
      </c>
      <c r="F83" s="67">
        <f t="shared" si="7"/>
        <v>7163997.7872256665</v>
      </c>
      <c r="G83" s="71">
        <f t="shared" si="8"/>
        <v>-36118721.501690745</v>
      </c>
      <c r="H83" s="78">
        <f t="shared" si="9"/>
        <v>-0.22659701563458323</v>
      </c>
      <c r="I83" s="68">
        <v>155.03</v>
      </c>
      <c r="J83" s="68">
        <v>25.66</v>
      </c>
      <c r="K83" s="65">
        <v>0</v>
      </c>
      <c r="L83" s="70">
        <f t="shared" si="10"/>
        <v>-0.83448364832613042</v>
      </c>
      <c r="M83" s="95">
        <f t="shared" si="11"/>
        <v>279189.31360972981</v>
      </c>
    </row>
    <row r="84" spans="1:13" ht="15" customHeight="1" x14ac:dyDescent="0.25">
      <c r="A84" s="65" t="str">
        <f>_xlfn.XLOOKUP(C84,'Sectors &amp; Company Names'!$B$2:$B$2814,'Sectors &amp; Company Names'!$C$2:$C$2814)</f>
        <v>Banks - Regional - US</v>
      </c>
      <c r="B84" s="65" t="str">
        <f>_xlfn.XLOOKUP(C84,'Sectors &amp; Company Names'!$B$2:$B$2814,'Sectors &amp; Company Names'!$A$2:$A$2814)</f>
        <v>BANK OF MARIN BANCORP BMRC</v>
      </c>
      <c r="C84" s="65" t="s">
        <v>204</v>
      </c>
      <c r="D84" s="66">
        <v>4.4648359999998706E-3</v>
      </c>
      <c r="E84" s="67">
        <f t="shared" si="6"/>
        <v>43620362.085578457</v>
      </c>
      <c r="F84" s="67">
        <f t="shared" si="7"/>
        <v>15640817.494424405</v>
      </c>
      <c r="G84" s="71">
        <f t="shared" si="8"/>
        <v>-27979544.591154054</v>
      </c>
      <c r="H84" s="78">
        <f t="shared" si="9"/>
        <v>-0.13629154921672915</v>
      </c>
      <c r="I84" s="68">
        <v>69.22</v>
      </c>
      <c r="J84" s="68">
        <v>24.82</v>
      </c>
      <c r="K84" s="69">
        <v>0</v>
      </c>
      <c r="L84" s="70">
        <f t="shared" si="10"/>
        <v>-0.64143311181739382</v>
      </c>
      <c r="M84" s="95">
        <f t="shared" si="11"/>
        <v>630169.92322419037</v>
      </c>
    </row>
    <row r="85" spans="1:13" ht="15" customHeight="1" x14ac:dyDescent="0.25">
      <c r="A85" s="65" t="str">
        <f>_xlfn.XLOOKUP(C85,'Sectors &amp; Company Names'!$B$2:$B$2814,'Sectors &amp; Company Names'!$C$2:$C$2814)</f>
        <v>Asset Management</v>
      </c>
      <c r="B85" s="65" t="str">
        <f>_xlfn.XLOOKUP(C85,'Sectors &amp; Company Names'!$B$2:$B$2814,'Sectors &amp; Company Names'!$A$2:$A$2814)</f>
        <v>BANK OF NEW YORK MELLON BK</v>
      </c>
      <c r="C85" s="65" t="s">
        <v>125</v>
      </c>
      <c r="D85" s="66">
        <v>3.4863560000000233E-3</v>
      </c>
      <c r="E85" s="67">
        <f t="shared" si="6"/>
        <v>34060850.40508417</v>
      </c>
      <c r="F85" s="67">
        <f t="shared" si="7"/>
        <v>940272876.64003658</v>
      </c>
      <c r="G85" s="71">
        <f t="shared" si="8"/>
        <v>906212026.23495245</v>
      </c>
      <c r="H85" s="78">
        <f t="shared" si="9"/>
        <v>0.60641191747868528</v>
      </c>
      <c r="I85" s="68">
        <v>3.17</v>
      </c>
      <c r="J85" s="68">
        <v>87.51</v>
      </c>
      <c r="K85" s="69">
        <v>15.129099999999999</v>
      </c>
      <c r="L85" s="70">
        <f t="shared" si="10"/>
        <v>26.605678233438489</v>
      </c>
      <c r="M85" s="95">
        <f t="shared" si="11"/>
        <v>10744747.761856206</v>
      </c>
    </row>
    <row r="86" spans="1:13" ht="15" customHeight="1" x14ac:dyDescent="0.25">
      <c r="A86" s="65" t="str">
        <f>_xlfn.XLOOKUP(C86,'Sectors &amp; Company Names'!$B$2:$B$2814,'Sectors &amp; Company Names'!$C$2:$C$2814)</f>
        <v>Banks - Regional - US</v>
      </c>
      <c r="B86" s="65" t="str">
        <f>_xlfn.XLOOKUP(C86,'Sectors &amp; Company Names'!$B$2:$B$2814,'Sectors &amp; Company Names'!$A$2:$A$2814)</f>
        <v>BANKUNITED INC BKU</v>
      </c>
      <c r="C86" s="65" t="s">
        <v>205</v>
      </c>
      <c r="D86" s="66">
        <v>4.1116759999999261E-3</v>
      </c>
      <c r="E86" s="67">
        <f t="shared" si="6"/>
        <v>40170074.757188141</v>
      </c>
      <c r="F86" s="67">
        <f t="shared" si="7"/>
        <v>52474050.427168772</v>
      </c>
      <c r="G86" s="71">
        <f t="shared" si="8"/>
        <v>12303975.66998063</v>
      </c>
      <c r="H86" s="78">
        <f t="shared" si="9"/>
        <v>3.8908791027059353E-2</v>
      </c>
      <c r="I86" s="68">
        <v>29.22</v>
      </c>
      <c r="J86" s="68">
        <v>38.17</v>
      </c>
      <c r="K86" s="69">
        <v>12.3216</v>
      </c>
      <c r="L86" s="70">
        <f t="shared" si="10"/>
        <v>0.30629705681040392</v>
      </c>
      <c r="M86" s="95">
        <f t="shared" si="11"/>
        <v>1374745.8849140364</v>
      </c>
    </row>
    <row r="87" spans="1:13" ht="15" customHeight="1" x14ac:dyDescent="0.25">
      <c r="A87" s="65" t="str">
        <f>_xlfn.XLOOKUP(C87,'Sectors &amp; Company Names'!$B$2:$B$2814,'Sectors &amp; Company Names'!$C$2:$C$2814)</f>
        <v>Banks - Regional - US</v>
      </c>
      <c r="B87" s="65" t="str">
        <f>_xlfn.XLOOKUP(C87,'Sectors &amp; Company Names'!$B$2:$B$2814,'Sectors &amp; Company Names'!$A$2:$A$2814)</f>
        <v>BANNER CORP</v>
      </c>
      <c r="C87" s="65" t="s">
        <v>249</v>
      </c>
      <c r="D87" s="66">
        <v>3.107276000000019E-3</v>
      </c>
      <c r="E87" s="67">
        <f t="shared" si="6"/>
        <v>30357330.979196694</v>
      </c>
      <c r="F87" s="67">
        <f t="shared" si="7"/>
        <v>108416755.50337651</v>
      </c>
      <c r="G87" s="71">
        <f t="shared" si="8"/>
        <v>78059424.524179816</v>
      </c>
      <c r="H87" s="78">
        <f t="shared" si="9"/>
        <v>0.19943334200272766</v>
      </c>
      <c r="I87" s="68">
        <v>18.989999999999998</v>
      </c>
      <c r="J87" s="68">
        <v>67.819999999999993</v>
      </c>
      <c r="K87" s="69">
        <v>13.790800000000001</v>
      </c>
      <c r="L87" s="70">
        <f t="shared" si="10"/>
        <v>2.5713533438651925</v>
      </c>
      <c r="M87" s="95">
        <f t="shared" si="11"/>
        <v>1598595.6281830806</v>
      </c>
    </row>
    <row r="88" spans="1:13" ht="15" customHeight="1" x14ac:dyDescent="0.25">
      <c r="A88" s="65" t="str">
        <f>_xlfn.XLOOKUP(C88,'Sectors &amp; Company Names'!$B$2:$B$2814,'Sectors &amp; Company Names'!$C$2:$C$2814)</f>
        <v>Banks - Regional - US</v>
      </c>
      <c r="B88" s="65" t="str">
        <f>_xlfn.XLOOKUP(C88,'Sectors &amp; Company Names'!$B$2:$B$2814,'Sectors &amp; Company Names'!$A$2:$A$2814)</f>
        <v>BAR HBR BANKSHARES</v>
      </c>
      <c r="C88" s="65" t="s">
        <v>250</v>
      </c>
      <c r="D88" s="66">
        <v>3.1634360000000208E-3</v>
      </c>
      <c r="E88" s="67">
        <f t="shared" si="6"/>
        <v>30906000.523772627</v>
      </c>
      <c r="F88" s="67">
        <f t="shared" si="7"/>
        <v>16219037.897991451</v>
      </c>
      <c r="G88" s="71">
        <f t="shared" si="8"/>
        <v>-14686962.625781177</v>
      </c>
      <c r="H88" s="78">
        <f t="shared" si="9"/>
        <v>-8.7994476293670854E-2</v>
      </c>
      <c r="I88" s="68">
        <v>61.93</v>
      </c>
      <c r="J88" s="68">
        <v>32.5</v>
      </c>
      <c r="K88" s="69">
        <v>11.7689</v>
      </c>
      <c r="L88" s="70">
        <f t="shared" si="10"/>
        <v>-0.47521395123526561</v>
      </c>
      <c r="M88" s="95">
        <f t="shared" si="11"/>
        <v>499047.31993819849</v>
      </c>
    </row>
    <row r="89" spans="1:13" ht="15" customHeight="1" x14ac:dyDescent="0.25">
      <c r="A89" s="65" t="str">
        <f>_xlfn.XLOOKUP(C89,'Sectors &amp; Company Names'!$B$2:$B$2814,'Sectors &amp; Company Names'!$C$2:$C$2814)</f>
        <v>Electronic Components</v>
      </c>
      <c r="B89" s="65" t="str">
        <f>_xlfn.XLOOKUP(C89,'Sectors &amp; Company Names'!$B$2:$B$2814,'Sectors &amp; Company Names'!$A$2:$A$2814)</f>
        <v>BELDEN INC</v>
      </c>
      <c r="C89" s="65" t="s">
        <v>1117</v>
      </c>
      <c r="D89" s="66">
        <v>4.2121159999999099E-3</v>
      </c>
      <c r="E89" s="67">
        <f t="shared" si="6"/>
        <v>41151349.13498722</v>
      </c>
      <c r="F89" s="67">
        <f t="shared" si="7"/>
        <v>51197966.986922652</v>
      </c>
      <c r="G89" s="71">
        <f t="shared" si="8"/>
        <v>10046617.851935431</v>
      </c>
      <c r="H89" s="78">
        <f t="shared" si="9"/>
        <v>3.1698175621748703E-2</v>
      </c>
      <c r="I89" s="68">
        <v>89.99</v>
      </c>
      <c r="J89" s="68">
        <v>111.96</v>
      </c>
      <c r="K89" s="69">
        <v>23.307200000000002</v>
      </c>
      <c r="L89" s="70">
        <f t="shared" si="10"/>
        <v>0.24413823758195355</v>
      </c>
      <c r="M89" s="95">
        <f t="shared" si="11"/>
        <v>457288.02239123487</v>
      </c>
    </row>
    <row r="90" spans="1:13" ht="15" customHeight="1" x14ac:dyDescent="0.25">
      <c r="A90" s="65" t="str">
        <f>_xlfn.XLOOKUP(C90,'Sectors &amp; Company Names'!$B$2:$B$2814,'Sectors &amp; Company Names'!$C$2:$C$2814)</f>
        <v>Biotechnology</v>
      </c>
      <c r="B90" s="65" t="str">
        <f>_xlfn.XLOOKUP(C90,'Sectors &amp; Company Names'!$B$2:$B$2814,'Sectors &amp; Company Names'!$A$2:$A$2814)</f>
        <v>BIOGEN INC</v>
      </c>
      <c r="C90" s="65" t="s">
        <v>457</v>
      </c>
      <c r="D90" s="66">
        <v>2.477636000000004E-3</v>
      </c>
      <c r="E90" s="67">
        <f t="shared" si="6"/>
        <v>24205901.277508866</v>
      </c>
      <c r="F90" s="67">
        <f t="shared" si="7"/>
        <v>101034259.52599907</v>
      </c>
      <c r="G90" s="71">
        <f t="shared" si="8"/>
        <v>76828358.248490199</v>
      </c>
      <c r="H90" s="78">
        <f t="shared" si="9"/>
        <v>0.22644938368036338</v>
      </c>
      <c r="I90" s="68">
        <v>33.86</v>
      </c>
      <c r="J90" s="68">
        <v>141.33000000000001</v>
      </c>
      <c r="K90" s="69">
        <v>12.4742</v>
      </c>
      <c r="L90" s="70">
        <f t="shared" si="10"/>
        <v>3.1739515652687542</v>
      </c>
      <c r="M90" s="95">
        <f t="shared" si="11"/>
        <v>714881.90423830086</v>
      </c>
    </row>
    <row r="91" spans="1:13" ht="15" customHeight="1" x14ac:dyDescent="0.25">
      <c r="A91" s="65" t="str">
        <f>_xlfn.XLOOKUP(C91,'Sectors &amp; Company Names'!$B$2:$B$2814,'Sectors &amp; Company Names'!$C$2:$C$2814)</f>
        <v>Diagnostics &amp; Research</v>
      </c>
      <c r="B91" s="65" t="str">
        <f>_xlfn.XLOOKUP(C91,'Sectors &amp; Company Names'!$B$2:$B$2814,'Sectors &amp; Company Names'!$A$2:$A$2814)</f>
        <v>BIO-RAD LABORATORIES INC</v>
      </c>
      <c r="C91" s="65" t="s">
        <v>927</v>
      </c>
      <c r="D91" s="66">
        <v>2.445236000000003E-3</v>
      </c>
      <c r="E91" s="67">
        <f t="shared" si="6"/>
        <v>23889361.155638136</v>
      </c>
      <c r="F91" s="67">
        <f t="shared" si="7"/>
        <v>102056625.90062459</v>
      </c>
      <c r="G91" s="71">
        <f t="shared" si="8"/>
        <v>78167264.744986445</v>
      </c>
      <c r="H91" s="78">
        <f t="shared" si="9"/>
        <v>0.23052644887732487</v>
      </c>
      <c r="I91" s="68">
        <v>67.45</v>
      </c>
      <c r="J91" s="68">
        <v>288.14999999999998</v>
      </c>
      <c r="K91" s="65">
        <v>0</v>
      </c>
      <c r="L91" s="70">
        <f t="shared" si="10"/>
        <v>3.2720533728687915</v>
      </c>
      <c r="M91" s="95">
        <f t="shared" si="11"/>
        <v>354178.81624370848</v>
      </c>
    </row>
    <row r="92" spans="1:13" ht="15" customHeight="1" x14ac:dyDescent="0.25">
      <c r="A92" s="65" t="str">
        <f>_xlfn.XLOOKUP(C92,'Sectors &amp; Company Names'!$B$2:$B$2814,'Sectors &amp; Company Names'!$C$2:$C$2814)</f>
        <v>Utilities - Diversified</v>
      </c>
      <c r="B92" s="65" t="str">
        <f>_xlfn.XLOOKUP(C92,'Sectors &amp; Company Names'!$B$2:$B$2814,'Sectors &amp; Company Names'!$A$2:$A$2814)</f>
        <v>BLACK HILLS CORP BKH</v>
      </c>
      <c r="C92" s="65" t="s">
        <v>2855</v>
      </c>
      <c r="D92" s="66">
        <v>2.856716000000013E-3</v>
      </c>
      <c r="E92" s="67">
        <f t="shared" si="6"/>
        <v>27909420.703396391</v>
      </c>
      <c r="F92" s="67">
        <f t="shared" si="7"/>
        <v>2682924.155906559</v>
      </c>
      <c r="G92" s="71">
        <f t="shared" si="8"/>
        <v>-25226496.547489833</v>
      </c>
      <c r="H92" s="78">
        <f t="shared" si="9"/>
        <v>-0.28436110070220788</v>
      </c>
      <c r="I92" s="68">
        <v>621.14</v>
      </c>
      <c r="J92" s="68">
        <v>59.71</v>
      </c>
      <c r="K92" s="69">
        <v>15.1906</v>
      </c>
      <c r="L92" s="70">
        <f t="shared" si="10"/>
        <v>-0.90387030299127402</v>
      </c>
      <c r="M92" s="95">
        <f t="shared" si="11"/>
        <v>44932.576719252371</v>
      </c>
    </row>
    <row r="93" spans="1:13" ht="15" customHeight="1" x14ac:dyDescent="0.25">
      <c r="A93" s="65" t="str">
        <f>_xlfn.XLOOKUP(C93,'Sectors &amp; Company Names'!$B$2:$B$2814,'Sectors &amp; Company Names'!$C$2:$C$2814)</f>
        <v>Software - Application</v>
      </c>
      <c r="B93" s="65" t="str">
        <f>_xlfn.XLOOKUP(C93,'Sectors &amp; Company Names'!$B$2:$B$2814,'Sectors &amp; Company Names'!$A$2:$A$2814)</f>
        <v>BLACKBAUD INC BLKB</v>
      </c>
      <c r="C93" s="65" t="s">
        <v>2517</v>
      </c>
      <c r="D93" s="66">
        <v>4.4011159999998804E-3</v>
      </c>
      <c r="E93" s="67">
        <f t="shared" si="6"/>
        <v>42997833.179232799</v>
      </c>
      <c r="F93" s="67">
        <f t="shared" si="7"/>
        <v>45607200.364252195</v>
      </c>
      <c r="G93" s="71">
        <f t="shared" si="8"/>
        <v>2609367.1850193962</v>
      </c>
      <c r="H93" s="78">
        <f t="shared" si="9"/>
        <v>8.4520735668605074E-3</v>
      </c>
      <c r="I93" s="68">
        <v>64.430000000000007</v>
      </c>
      <c r="J93" s="68">
        <v>68.34</v>
      </c>
      <c r="K93" s="69">
        <v>0</v>
      </c>
      <c r="L93" s="70">
        <f t="shared" si="10"/>
        <v>6.0686015831134504E-2</v>
      </c>
      <c r="M93" s="95">
        <f t="shared" si="11"/>
        <v>667357.33632209827</v>
      </c>
    </row>
    <row r="94" spans="1:13" ht="15" customHeight="1" x14ac:dyDescent="0.25">
      <c r="A94" s="65" t="str">
        <f>_xlfn.XLOOKUP(C94,'Sectors &amp; Company Names'!$B$2:$B$2814,'Sectors &amp; Company Names'!$C$2:$C$2814)</f>
        <v>Asset Management</v>
      </c>
      <c r="B94" s="65" t="str">
        <f>_xlfn.XLOOKUP(C94,'Sectors &amp; Company Names'!$B$2:$B$2814,'Sectors &amp; Company Names'!$A$2:$A$2814)</f>
        <v>BLACKROCK INC BLK</v>
      </c>
      <c r="C94" s="65" t="s">
        <v>126</v>
      </c>
      <c r="D94" s="66">
        <v>2.8340360000000124E-3</v>
      </c>
      <c r="E94" s="67">
        <f t="shared" si="6"/>
        <v>27687842.618086882</v>
      </c>
      <c r="F94" s="67">
        <f t="shared" si="7"/>
        <v>153327810.89151677</v>
      </c>
      <c r="G94" s="71">
        <f t="shared" si="8"/>
        <v>125639968.2734299</v>
      </c>
      <c r="H94" s="78">
        <f t="shared" si="9"/>
        <v>0.27699812512672239</v>
      </c>
      <c r="I94" s="68">
        <v>176.78</v>
      </c>
      <c r="J94" s="68">
        <v>978.96</v>
      </c>
      <c r="K94" s="69">
        <v>23.258700000000001</v>
      </c>
      <c r="L94" s="70">
        <f t="shared" si="10"/>
        <v>4.5377305125014145</v>
      </c>
      <c r="M94" s="95">
        <f t="shared" si="11"/>
        <v>156623.16222472498</v>
      </c>
    </row>
    <row r="95" spans="1:13" ht="15" customHeight="1" x14ac:dyDescent="0.25">
      <c r="A95" s="65" t="str">
        <f>_xlfn.XLOOKUP(C95,'Sectors &amp; Company Names'!$B$2:$B$2814,'Sectors &amp; Company Names'!$C$2:$C$2814)</f>
        <v>Biotechnology</v>
      </c>
      <c r="B95" s="65" t="str">
        <f>_xlfn.XLOOKUP(C95,'Sectors &amp; Company Names'!$B$2:$B$2814,'Sectors &amp; Company Names'!$A$2:$A$2814)</f>
        <v>BLUEPRINT MEDICINES CORP BPMC</v>
      </c>
      <c r="C95" s="65" t="s">
        <v>508</v>
      </c>
      <c r="D95" s="66">
        <v>4.3730359999998849E-3</v>
      </c>
      <c r="E95" s="67">
        <f t="shared" si="6"/>
        <v>42723498.406944886</v>
      </c>
      <c r="F95" s="67">
        <f t="shared" si="7"/>
        <v>41359218.625882775</v>
      </c>
      <c r="G95" s="71">
        <f t="shared" si="8"/>
        <v>-1364279.7810621113</v>
      </c>
      <c r="H95" s="78">
        <f t="shared" si="9"/>
        <v>-4.6255184506089897E-3</v>
      </c>
      <c r="I95" s="68">
        <v>95.2</v>
      </c>
      <c r="J95" s="68">
        <v>92.16</v>
      </c>
      <c r="K95" s="69">
        <v>0</v>
      </c>
      <c r="L95" s="70">
        <f t="shared" si="10"/>
        <v>-3.1932773109243764E-2</v>
      </c>
      <c r="M95" s="95">
        <f t="shared" si="11"/>
        <v>448776.24377042946</v>
      </c>
    </row>
    <row r="96" spans="1:13" ht="15" customHeight="1" x14ac:dyDescent="0.25">
      <c r="A96" s="65" t="str">
        <f>_xlfn.XLOOKUP(C96,'Sectors &amp; Company Names'!$B$2:$B$2814,'Sectors &amp; Company Names'!$C$2:$C$2814)</f>
        <v>Aerospace &amp; Defense</v>
      </c>
      <c r="B96" s="65" t="str">
        <f>_xlfn.XLOOKUP(C96,'Sectors &amp; Company Names'!$B$2:$B$2814,'Sectors &amp; Company Names'!$A$2:$A$2814)</f>
        <v>BOEING CO</v>
      </c>
      <c r="C96" s="65" t="s">
        <v>21</v>
      </c>
      <c r="D96" s="66">
        <v>2.4657560000000034E-3</v>
      </c>
      <c r="E96" s="67">
        <f t="shared" si="6"/>
        <v>24089836.566156264</v>
      </c>
      <c r="F96" s="67">
        <f t="shared" si="7"/>
        <v>65117153.85095793</v>
      </c>
      <c r="G96" s="71">
        <f t="shared" si="8"/>
        <v>41027317.284801662</v>
      </c>
      <c r="H96" s="78">
        <f t="shared" si="9"/>
        <v>0.15264217968711313</v>
      </c>
      <c r="I96" s="68">
        <v>65.88</v>
      </c>
      <c r="J96" s="68">
        <v>178.08</v>
      </c>
      <c r="K96" s="65">
        <v>0</v>
      </c>
      <c r="L96" s="70">
        <f t="shared" si="10"/>
        <v>1.7030965391621133</v>
      </c>
      <c r="M96" s="95">
        <f t="shared" si="11"/>
        <v>365662.36439217161</v>
      </c>
    </row>
    <row r="97" spans="1:13" ht="15" customHeight="1" x14ac:dyDescent="0.25">
      <c r="A97" s="65" t="str">
        <f>_xlfn.XLOOKUP(C97,'Sectors &amp; Company Names'!$B$2:$B$2814,'Sectors &amp; Company Names'!$C$2:$C$2814)</f>
        <v>Lumber &amp; Wood Production</v>
      </c>
      <c r="B97" s="65" t="str">
        <f>_xlfn.XLOOKUP(C97,'Sectors &amp; Company Names'!$B$2:$B$2814,'Sectors &amp; Company Names'!$A$2:$A$2814)</f>
        <v>BOISE CASCADE COMPANY</v>
      </c>
      <c r="C97" s="65" t="s">
        <v>1564</v>
      </c>
      <c r="D97" s="66">
        <v>4.3395559999998895E-3</v>
      </c>
      <c r="E97" s="67">
        <f t="shared" si="6"/>
        <v>42396406.947678521</v>
      </c>
      <c r="F97" s="67">
        <f t="shared" si="7"/>
        <v>38253651.821051791</v>
      </c>
      <c r="G97" s="71">
        <f t="shared" si="8"/>
        <v>-4142755.12662673</v>
      </c>
      <c r="H97" s="78">
        <f t="shared" si="9"/>
        <v>-1.4581866584007064E-2</v>
      </c>
      <c r="I97" s="68">
        <v>118.15</v>
      </c>
      <c r="J97" s="68">
        <v>106.605</v>
      </c>
      <c r="K97" s="69">
        <v>10.8873</v>
      </c>
      <c r="L97" s="70">
        <f t="shared" si="10"/>
        <v>-9.7714769360981807E-2</v>
      </c>
      <c r="M97" s="95">
        <f t="shared" si="11"/>
        <v>358835.43755969976</v>
      </c>
    </row>
    <row r="98" spans="1:13" ht="15" customHeight="1" x14ac:dyDescent="0.25">
      <c r="A98" s="65" t="str">
        <f>_xlfn.XLOOKUP(C98,'Sectors &amp; Company Names'!$B$2:$B$2814,'Sectors &amp; Company Names'!$C$2:$C$2814)</f>
        <v>Banks - Regional - US</v>
      </c>
      <c r="B98" s="65" t="str">
        <f>_xlfn.XLOOKUP(C98,'Sectors &amp; Company Names'!$B$2:$B$2814,'Sectors &amp; Company Names'!$A$2:$A$2814)</f>
        <v>BOK FINANCIAL CORP BOKF</v>
      </c>
      <c r="C98" s="65" t="s">
        <v>255</v>
      </c>
      <c r="D98" s="66">
        <v>3.0316760000000174E-3</v>
      </c>
      <c r="E98" s="67">
        <f t="shared" si="6"/>
        <v>29618737.36149833</v>
      </c>
      <c r="F98" s="67">
        <f t="shared" si="7"/>
        <v>96269764.310307145</v>
      </c>
      <c r="G98" s="71">
        <f t="shared" si="8"/>
        <v>66651026.948808819</v>
      </c>
      <c r="H98" s="78">
        <f t="shared" si="9"/>
        <v>0.18340093940370861</v>
      </c>
      <c r="I98" s="68">
        <v>33.4</v>
      </c>
      <c r="J98" s="68">
        <v>108.56</v>
      </c>
      <c r="K98" s="69">
        <v>13.336</v>
      </c>
      <c r="L98" s="70">
        <f t="shared" si="10"/>
        <v>2.250299401197605</v>
      </c>
      <c r="M98" s="95">
        <f t="shared" si="11"/>
        <v>886788.54375743505</v>
      </c>
    </row>
    <row r="99" spans="1:13" ht="15" customHeight="1" x14ac:dyDescent="0.25">
      <c r="A99" s="65" t="str">
        <f>_xlfn.XLOOKUP(C99,'Sectors &amp; Company Names'!$B$2:$B$2814,'Sectors &amp; Company Names'!$C$2:$C$2814)</f>
        <v>Business Services</v>
      </c>
      <c r="B99" s="65" t="str">
        <f>_xlfn.XLOOKUP(C99,'Sectors &amp; Company Names'!$B$2:$B$2814,'Sectors &amp; Company Names'!$A$2:$A$2814)</f>
        <v>BOOZ ALLEN HAMILTON HLDG</v>
      </c>
      <c r="C99" s="65" t="s">
        <v>685</v>
      </c>
      <c r="D99" s="66">
        <v>3.272516000000023E-3</v>
      </c>
      <c r="E99" s="67">
        <f t="shared" si="6"/>
        <v>31971685.600737412</v>
      </c>
      <c r="F99" s="67">
        <f t="shared" si="7"/>
        <v>72197436.355563775</v>
      </c>
      <c r="G99" s="71">
        <f t="shared" si="8"/>
        <v>40225750.754826367</v>
      </c>
      <c r="H99" s="78">
        <f t="shared" si="9"/>
        <v>0.12340565613748722</v>
      </c>
      <c r="I99" s="68">
        <v>49.89</v>
      </c>
      <c r="J99" s="68">
        <v>112.66</v>
      </c>
      <c r="K99" s="69">
        <v>16.6751</v>
      </c>
      <c r="L99" s="70">
        <f t="shared" si="10"/>
        <v>1.2581679695329724</v>
      </c>
      <c r="M99" s="95">
        <f t="shared" si="11"/>
        <v>640843.56786404911</v>
      </c>
    </row>
    <row r="100" spans="1:13" ht="15" customHeight="1" x14ac:dyDescent="0.25">
      <c r="A100" s="65" t="str">
        <f>_xlfn.XLOOKUP(C100,'Sectors &amp; Company Names'!$B$2:$B$2814,'Sectors &amp; Company Names'!$C$2:$C$2814)</f>
        <v>Auto Parts</v>
      </c>
      <c r="B100" s="65" t="str">
        <f>_xlfn.XLOOKUP(C100,'Sectors &amp; Company Names'!$B$2:$B$2814,'Sectors &amp; Company Names'!$A$2:$A$2814)</f>
        <v>BORG WARNER INC BWA</v>
      </c>
      <c r="C100" s="65" t="s">
        <v>170</v>
      </c>
      <c r="D100" s="66">
        <v>3.1169960000000194E-3</v>
      </c>
      <c r="E100" s="67">
        <f t="shared" si="6"/>
        <v>30452293.015757915</v>
      </c>
      <c r="F100" s="67">
        <f t="shared" si="7"/>
        <v>4375870.7428771174</v>
      </c>
      <c r="G100" s="71">
        <f t="shared" si="8"/>
        <v>-26076422.272880796</v>
      </c>
      <c r="H100" s="78">
        <f t="shared" si="9"/>
        <v>-0.2420598271513551</v>
      </c>
      <c r="I100" s="68">
        <v>206.93</v>
      </c>
      <c r="J100" s="68">
        <v>29.734999999999999</v>
      </c>
      <c r="K100" s="69">
        <v>19.072399999999998</v>
      </c>
      <c r="L100" s="70">
        <f t="shared" si="10"/>
        <v>-0.85630406417629146</v>
      </c>
      <c r="M100" s="95">
        <f t="shared" si="11"/>
        <v>147162.29167234295</v>
      </c>
    </row>
    <row r="101" spans="1:13" ht="15" customHeight="1" x14ac:dyDescent="0.25">
      <c r="A101" s="65" t="str">
        <f>_xlfn.XLOOKUP(C101,'Sectors &amp; Company Names'!$B$2:$B$2814,'Sectors &amp; Company Names'!$C$2:$C$2814)</f>
        <v>Medical Devices</v>
      </c>
      <c r="B101" s="65" t="str">
        <f>_xlfn.XLOOKUP(C101,'Sectors &amp; Company Names'!$B$2:$B$2814,'Sectors &amp; Company Names'!$A$2:$A$2814)</f>
        <v>BOSTON SCIENTIFIC CO BSX</v>
      </c>
      <c r="C101" s="65" t="s">
        <v>1640</v>
      </c>
      <c r="D101" s="66">
        <v>3.5479160000000134E-3</v>
      </c>
      <c r="E101" s="67">
        <f t="shared" si="6"/>
        <v>34662276.636638448</v>
      </c>
      <c r="F101" s="67">
        <f t="shared" si="7"/>
        <v>13895085.434208864</v>
      </c>
      <c r="G101" s="71">
        <f t="shared" si="8"/>
        <v>-20767191.202429585</v>
      </c>
      <c r="H101" s="78">
        <f t="shared" si="9"/>
        <v>-0.1224208321076663</v>
      </c>
      <c r="I101" s="68">
        <v>259.61</v>
      </c>
      <c r="J101" s="68">
        <v>104.07</v>
      </c>
      <c r="K101" s="69">
        <v>83.835899999999995</v>
      </c>
      <c r="L101" s="70">
        <f t="shared" si="10"/>
        <v>-0.59912946342590812</v>
      </c>
      <c r="M101" s="95">
        <f t="shared" si="11"/>
        <v>133516.72368798757</v>
      </c>
    </row>
    <row r="102" spans="1:13" ht="15" customHeight="1" x14ac:dyDescent="0.25">
      <c r="A102" s="65" t="str">
        <f>_xlfn.XLOOKUP(C102,'Sectors &amp; Company Names'!$B$2:$B$2814,'Sectors &amp; Company Names'!$C$2:$C$2814)</f>
        <v>Software - Infrastructure</v>
      </c>
      <c r="B102" s="65" t="str">
        <f>_xlfn.XLOOKUP(C102,'Sectors &amp; Company Names'!$B$2:$B$2814,'Sectors &amp; Company Names'!$A$2:$A$2814)</f>
        <v>BOX INC BOX</v>
      </c>
      <c r="C102" s="65" t="s">
        <v>2599</v>
      </c>
      <c r="D102" s="66">
        <v>2.0186359999999981E-3</v>
      </c>
      <c r="E102" s="67">
        <f t="shared" si="6"/>
        <v>19721582.88434026</v>
      </c>
      <c r="F102" s="67">
        <f t="shared" si="7"/>
        <v>9824188.652852498</v>
      </c>
      <c r="G102" s="71">
        <f t="shared" si="8"/>
        <v>-9897394.2314877622</v>
      </c>
      <c r="H102" s="78">
        <f t="shared" si="9"/>
        <v>-9.4757387725964315E-2</v>
      </c>
      <c r="I102" s="68">
        <v>67.349999999999994</v>
      </c>
      <c r="J102" s="68">
        <v>33.549999999999997</v>
      </c>
      <c r="K102" s="69">
        <v>41.7714</v>
      </c>
      <c r="L102" s="70">
        <f t="shared" si="10"/>
        <v>-0.50185597624350409</v>
      </c>
      <c r="M102" s="95">
        <f t="shared" si="11"/>
        <v>292822.31454105809</v>
      </c>
    </row>
    <row r="103" spans="1:13" ht="15" customHeight="1" x14ac:dyDescent="0.25">
      <c r="A103" s="65" t="str">
        <f>_xlfn.XLOOKUP(C103,'Sectors &amp; Company Names'!$B$2:$B$2814,'Sectors &amp; Company Names'!$C$2:$C$2814)</f>
        <v>Resorts &amp; Casinos</v>
      </c>
      <c r="B103" s="65" t="str">
        <f>_xlfn.XLOOKUP(C103,'Sectors &amp; Company Names'!$B$2:$B$2814,'Sectors &amp; Company Names'!$A$2:$A$2814)</f>
        <v>BOYD GAMING CORP BYD</v>
      </c>
      <c r="C103" s="65" t="s">
        <v>2262</v>
      </c>
      <c r="D103" s="66">
        <v>1.9009160000000003E-3</v>
      </c>
      <c r="E103" s="67">
        <f t="shared" si="6"/>
        <v>18571487.108209994</v>
      </c>
      <c r="F103" s="67">
        <f t="shared" si="7"/>
        <v>23675948.959030867</v>
      </c>
      <c r="G103" s="71">
        <f t="shared" si="8"/>
        <v>5104461.8508208729</v>
      </c>
      <c r="H103" s="78">
        <f t="shared" si="9"/>
        <v>3.5299051829849493E-2</v>
      </c>
      <c r="I103" s="68">
        <v>60.25</v>
      </c>
      <c r="J103" s="68">
        <v>76.81</v>
      </c>
      <c r="K103" s="69">
        <v>12.3527</v>
      </c>
      <c r="L103" s="70">
        <f t="shared" si="10"/>
        <v>0.2748547717842324</v>
      </c>
      <c r="M103" s="95">
        <f t="shared" si="11"/>
        <v>308240.44992879656</v>
      </c>
    </row>
    <row r="104" spans="1:13" ht="15" customHeight="1" x14ac:dyDescent="0.25">
      <c r="A104" s="65" t="str">
        <f>_xlfn.XLOOKUP(C104,'Sectors &amp; Company Names'!$B$2:$B$2814,'Sectors &amp; Company Names'!$C$2:$C$2814)</f>
        <v>REIT - Office</v>
      </c>
      <c r="B104" s="65" t="str">
        <f>_xlfn.XLOOKUP(C104,'Sectors &amp; Company Names'!$B$2:$B$2814,'Sectors &amp; Company Names'!$A$2:$A$2814)</f>
        <v>BRANDYWINE REALTY TRUST</v>
      </c>
      <c r="C104" s="65" t="s">
        <v>2127</v>
      </c>
      <c r="D104" s="66">
        <v>1.7486360000000002E-3</v>
      </c>
      <c r="E104" s="67">
        <f t="shared" si="6"/>
        <v>17083748.535417605</v>
      </c>
      <c r="F104" s="67">
        <f t="shared" si="7"/>
        <v>567133.96498529054</v>
      </c>
      <c r="G104" s="71">
        <f t="shared" si="8"/>
        <v>-16516614.570432315</v>
      </c>
      <c r="H104" s="78">
        <f t="shared" si="9"/>
        <v>-0.38520698195322522</v>
      </c>
      <c r="I104" s="68">
        <v>147</v>
      </c>
      <c r="J104" s="68">
        <v>4.88</v>
      </c>
      <c r="K104" s="65">
        <v>0</v>
      </c>
      <c r="L104" s="70">
        <f t="shared" si="10"/>
        <v>-0.96680272108843546</v>
      </c>
      <c r="M104" s="95">
        <f t="shared" si="11"/>
        <v>116215.976431412</v>
      </c>
    </row>
    <row r="105" spans="1:13" ht="15" customHeight="1" x14ac:dyDescent="0.25">
      <c r="A105" s="65" t="str">
        <f>_xlfn.XLOOKUP(C105,'Sectors &amp; Company Names'!$B$2:$B$2814,'Sectors &amp; Company Names'!$C$2:$C$2814)</f>
        <v>Drug Manufacturers - Major</v>
      </c>
      <c r="B105" s="65" t="str">
        <f>_xlfn.XLOOKUP(C105,'Sectors &amp; Company Names'!$B$2:$B$2814,'Sectors &amp; Company Names'!$A$2:$A$2814)</f>
        <v>BRISTOL MYERS SQUIBB BMY</v>
      </c>
      <c r="C105" s="65" t="s">
        <v>1042</v>
      </c>
      <c r="D105" s="66">
        <v>3.5273960000000168E-3</v>
      </c>
      <c r="E105" s="67">
        <f t="shared" si="6"/>
        <v>34461801.226120353</v>
      </c>
      <c r="F105" s="67">
        <f t="shared" si="7"/>
        <v>8043820.9885177994</v>
      </c>
      <c r="G105" s="71">
        <f t="shared" si="8"/>
        <v>-26417980.237602554</v>
      </c>
      <c r="H105" s="78">
        <f t="shared" si="9"/>
        <v>-0.18767080769812905</v>
      </c>
      <c r="I105" s="68">
        <v>239.49</v>
      </c>
      <c r="J105" s="68">
        <v>55.9</v>
      </c>
      <c r="K105" s="65">
        <v>0</v>
      </c>
      <c r="L105" s="70">
        <f t="shared" si="10"/>
        <v>-0.76658733141258506</v>
      </c>
      <c r="M105" s="95">
        <f t="shared" si="11"/>
        <v>143896.61875702682</v>
      </c>
    </row>
    <row r="106" spans="1:13" ht="15" customHeight="1" x14ac:dyDescent="0.25">
      <c r="A106" s="65" t="str">
        <f>_xlfn.XLOOKUP(C106,'Sectors &amp; Company Names'!$B$2:$B$2814,'Sectors &amp; Company Names'!$C$2:$C$2814)</f>
        <v>Semiconductors</v>
      </c>
      <c r="B106" s="65" t="str">
        <f>_xlfn.XLOOKUP(C106,'Sectors &amp; Company Names'!$B$2:$B$2814,'Sectors &amp; Company Names'!$A$2:$A$2814)</f>
        <v>BROADCOM LIMITED</v>
      </c>
      <c r="C106" s="65" t="s">
        <v>2430</v>
      </c>
      <c r="D106" s="66">
        <v>3.4150760000000269E-3</v>
      </c>
      <c r="E106" s="67">
        <f t="shared" si="6"/>
        <v>33364462.13696862</v>
      </c>
      <c r="F106" s="67">
        <f t="shared" si="7"/>
        <v>378044357.80518705</v>
      </c>
      <c r="G106" s="71">
        <f t="shared" si="8"/>
        <v>344679895.66821843</v>
      </c>
      <c r="H106" s="78">
        <f t="shared" si="9"/>
        <v>0.41451766710623339</v>
      </c>
      <c r="I106" s="68">
        <v>19.350000000000001</v>
      </c>
      <c r="J106" s="68">
        <v>219.25</v>
      </c>
      <c r="K106" s="69">
        <v>170.94829999999999</v>
      </c>
      <c r="L106" s="70">
        <f t="shared" si="10"/>
        <v>10.330749354005167</v>
      </c>
      <c r="M106" s="95">
        <f t="shared" si="11"/>
        <v>1724261.6091456651</v>
      </c>
    </row>
    <row r="107" spans="1:13" ht="15" customHeight="1" x14ac:dyDescent="0.25">
      <c r="A107" s="65" t="str">
        <f>_xlfn.XLOOKUP(C107,'Sectors &amp; Company Names'!$B$2:$B$2814,'Sectors &amp; Company Names'!$C$2:$C$2814)</f>
        <v>Beverages - Wineries &amp; Distilleries</v>
      </c>
      <c r="B107" s="65" t="str">
        <f>_xlfn.XLOOKUP(C107,'Sectors &amp; Company Names'!$B$2:$B$2814,'Sectors &amp; Company Names'!$A$2:$A$2814)</f>
        <v>BROWN FORMAN CORP CL A</v>
      </c>
      <c r="C107" s="65" t="s">
        <v>446</v>
      </c>
      <c r="D107" s="66">
        <v>4.2196759999999093E-3</v>
      </c>
      <c r="E107" s="67">
        <f t="shared" si="6"/>
        <v>41225208.496757045</v>
      </c>
      <c r="F107" s="67">
        <f t="shared" si="7"/>
        <v>24044316.259394225</v>
      </c>
      <c r="G107" s="71">
        <f t="shared" si="8"/>
        <v>-17180892.237362821</v>
      </c>
      <c r="H107" s="78">
        <f t="shared" si="9"/>
        <v>-7.4130156973604477E-2</v>
      </c>
      <c r="I107" s="68">
        <v>55.38</v>
      </c>
      <c r="J107" s="68">
        <v>32.299999999999997</v>
      </c>
      <c r="K107" s="65">
        <v>0</v>
      </c>
      <c r="L107" s="70">
        <f t="shared" si="10"/>
        <v>-0.41675695196821966</v>
      </c>
      <c r="M107" s="95">
        <f t="shared" si="11"/>
        <v>744406.07614223612</v>
      </c>
    </row>
    <row r="108" spans="1:13" ht="15" customHeight="1" x14ac:dyDescent="0.25">
      <c r="A108" s="65" t="str">
        <f>_xlfn.XLOOKUP(C108,'Sectors &amp; Company Names'!$B$2:$B$2814,'Sectors &amp; Company Names'!$C$2:$C$2814)</f>
        <v>Diagnostics &amp; Research</v>
      </c>
      <c r="B108" s="65" t="str">
        <f>_xlfn.XLOOKUP(C108,'Sectors &amp; Company Names'!$B$2:$B$2814,'Sectors &amp; Company Names'!$A$2:$A$2814)</f>
        <v>BRUKER CORP BRKR</v>
      </c>
      <c r="C108" s="65" t="s">
        <v>929</v>
      </c>
      <c r="D108" s="66">
        <v>4.1710759999999169E-3</v>
      </c>
      <c r="E108" s="67">
        <f t="shared" si="6"/>
        <v>40750398.313951038</v>
      </c>
      <c r="F108" s="67">
        <f t="shared" si="7"/>
        <v>135431989.12640515</v>
      </c>
      <c r="G108" s="71">
        <f t="shared" si="8"/>
        <v>94681590.812454104</v>
      </c>
      <c r="H108" s="78">
        <f t="shared" si="9"/>
        <v>0.18716961159919965</v>
      </c>
      <c r="I108" s="68">
        <v>15.18</v>
      </c>
      <c r="J108" s="68">
        <v>50.45</v>
      </c>
      <c r="K108" s="69">
        <v>66.921300000000002</v>
      </c>
      <c r="L108" s="70">
        <f t="shared" si="10"/>
        <v>2.3234519104084326</v>
      </c>
      <c r="M108" s="95">
        <f t="shared" si="11"/>
        <v>2684479.4673222029</v>
      </c>
    </row>
    <row r="109" spans="1:13" ht="15" customHeight="1" x14ac:dyDescent="0.25">
      <c r="A109" s="65" t="str">
        <f>_xlfn.XLOOKUP(C109,'Sectors &amp; Company Names'!$B$2:$B$2814,'Sectors &amp; Company Names'!$C$2:$C$2814)</f>
        <v>Leisure</v>
      </c>
      <c r="B109" s="65" t="str">
        <f>_xlfn.XLOOKUP(C109,'Sectors &amp; Company Names'!$B$2:$B$2814,'Sectors &amp; Company Names'!$A$2:$A$2814)</f>
        <v>BRUNSWICK CORP</v>
      </c>
      <c r="C109" s="65" t="s">
        <v>1520</v>
      </c>
      <c r="D109" s="66">
        <v>1.9106360000000005E-3</v>
      </c>
      <c r="E109" s="67">
        <f t="shared" si="6"/>
        <v>18666449.144771211</v>
      </c>
      <c r="F109" s="67">
        <f t="shared" si="7"/>
        <v>163614454.45723653</v>
      </c>
      <c r="G109" s="71">
        <f t="shared" si="8"/>
        <v>144948005.31246531</v>
      </c>
      <c r="H109" s="78">
        <f t="shared" si="9"/>
        <v>0.36357802570114406</v>
      </c>
      <c r="I109" s="68">
        <v>7.09</v>
      </c>
      <c r="J109" s="68">
        <v>62.145000000000003</v>
      </c>
      <c r="K109" s="69">
        <v>28.212299999999999</v>
      </c>
      <c r="L109" s="70">
        <f t="shared" si="10"/>
        <v>7.7651622002820888</v>
      </c>
      <c r="M109" s="95">
        <f t="shared" si="11"/>
        <v>2632785.4929155447</v>
      </c>
    </row>
    <row r="110" spans="1:13" ht="15" customHeight="1" x14ac:dyDescent="0.25">
      <c r="A110" s="65" t="str">
        <f>_xlfn.XLOOKUP(C110,'Sectors &amp; Company Names'!$B$2:$B$2814,'Sectors &amp; Company Names'!$C$2:$C$2814)</f>
        <v>Waste Management</v>
      </c>
      <c r="B110" s="65" t="str">
        <f>_xlfn.XLOOKUP(C110,'Sectors &amp; Company Names'!$B$2:$B$2814,'Sectors &amp; Company Names'!$A$2:$A$2814)</f>
        <v>BTUWaste Management FIRM</v>
      </c>
      <c r="C110" s="65" t="s">
        <v>3338</v>
      </c>
      <c r="D110" s="66">
        <v>1.982995999999999E-3</v>
      </c>
      <c r="E110" s="67">
        <f t="shared" si="6"/>
        <v>19373388.750282474</v>
      </c>
      <c r="F110" s="67">
        <f t="shared" si="7"/>
        <v>14285921.240757691</v>
      </c>
      <c r="G110" s="71">
        <f t="shared" si="8"/>
        <v>-5087467.5095247831</v>
      </c>
      <c r="H110" s="78">
        <f t="shared" si="9"/>
        <v>-4.2584664060507427E-2</v>
      </c>
      <c r="I110" s="68">
        <v>19.84</v>
      </c>
      <c r="J110" s="68">
        <v>14.63</v>
      </c>
      <c r="K110" s="69">
        <v>5.4162999999999997</v>
      </c>
      <c r="L110" s="70">
        <f t="shared" si="10"/>
        <v>-0.26260080645161288</v>
      </c>
      <c r="M110" s="95">
        <f t="shared" si="11"/>
        <v>976481.28781665687</v>
      </c>
    </row>
    <row r="111" spans="1:13" ht="15" customHeight="1" x14ac:dyDescent="0.25">
      <c r="A111" s="65" t="str">
        <f>_xlfn.XLOOKUP(C111,'Sectors &amp; Company Names'!$B$2:$B$2814,'Sectors &amp; Company Names'!$C$2:$C$2814)</f>
        <v>Apparel Stores</v>
      </c>
      <c r="B111" s="65" t="str">
        <f>_xlfn.XLOOKUP(C111,'Sectors &amp; Company Names'!$B$2:$B$2814,'Sectors &amp; Company Names'!$A$2:$A$2814)</f>
        <v>BUCKLE INC BKE</v>
      </c>
      <c r="C111" s="65" t="s">
        <v>99</v>
      </c>
      <c r="D111" s="66">
        <v>2.9798360000000161E-3</v>
      </c>
      <c r="E111" s="67">
        <f t="shared" si="6"/>
        <v>29112273.166505162</v>
      </c>
      <c r="F111" s="67">
        <f t="shared" si="7"/>
        <v>9800731.2627583575</v>
      </c>
      <c r="G111" s="71">
        <f t="shared" si="8"/>
        <v>-19311541.903746806</v>
      </c>
      <c r="H111" s="78">
        <f t="shared" si="9"/>
        <v>-0.14403772701852413</v>
      </c>
      <c r="I111" s="68">
        <v>123.51</v>
      </c>
      <c r="J111" s="68">
        <v>41.58</v>
      </c>
      <c r="K111" s="69">
        <v>10.4724</v>
      </c>
      <c r="L111" s="70">
        <f t="shared" si="10"/>
        <v>-0.66334709740102016</v>
      </c>
      <c r="M111" s="95">
        <f t="shared" si="11"/>
        <v>235707.82257716107</v>
      </c>
    </row>
    <row r="112" spans="1:13" ht="15" customHeight="1" x14ac:dyDescent="0.25">
      <c r="A112" s="65" t="str">
        <f>_xlfn.XLOOKUP(C112,'Sectors &amp; Company Names'!$B$2:$B$2814,'Sectors &amp; Company Names'!$C$2:$C$2814)</f>
        <v>Farm Products</v>
      </c>
      <c r="B112" s="65" t="str">
        <f>_xlfn.XLOOKUP(C112,'Sectors &amp; Company Names'!$B$2:$B$2814,'Sectors &amp; Company Names'!$A$2:$A$2814)</f>
        <v>BUNGE LIMITED</v>
      </c>
      <c r="C112" s="65" t="s">
        <v>1188</v>
      </c>
      <c r="D112" s="66">
        <v>2.4193160000000025E-3</v>
      </c>
      <c r="E112" s="67">
        <f t="shared" si="6"/>
        <v>23636129.058141552</v>
      </c>
      <c r="F112" s="67">
        <f t="shared" si="7"/>
        <v>5018324.3410183433</v>
      </c>
      <c r="G112" s="71">
        <f t="shared" si="8"/>
        <v>-18617804.71712321</v>
      </c>
      <c r="H112" s="78">
        <f t="shared" si="9"/>
        <v>-0.1985902442548817</v>
      </c>
      <c r="I112" s="68">
        <v>344.11</v>
      </c>
      <c r="J112" s="68">
        <v>73.06</v>
      </c>
      <c r="K112" s="69">
        <v>9.1212999999999997</v>
      </c>
      <c r="L112" s="70">
        <f t="shared" si="10"/>
        <v>-0.78768417075935016</v>
      </c>
      <c r="M112" s="95">
        <f t="shared" si="11"/>
        <v>68687.713400196328</v>
      </c>
    </row>
    <row r="113" spans="1:13" ht="15" customHeight="1" x14ac:dyDescent="0.25">
      <c r="A113" s="65" t="str">
        <f>_xlfn.XLOOKUP(C113,'Sectors &amp; Company Names'!$B$2:$B$2814,'Sectors &amp; Company Names'!$C$2:$C$2814)</f>
        <v>Specialty Chemicals</v>
      </c>
      <c r="B113" s="65" t="str">
        <f>_xlfn.XLOOKUP(C113,'Sectors &amp; Company Names'!$B$2:$B$2814,'Sectors &amp; Company Names'!$A$2:$A$2814)</f>
        <v>CABOT CORP CBT</v>
      </c>
      <c r="C113" s="65" t="s">
        <v>2639</v>
      </c>
      <c r="D113" s="66">
        <v>3.8665159999999635E-3</v>
      </c>
      <c r="E113" s="67">
        <f t="shared" si="6"/>
        <v>37774921.168366715</v>
      </c>
      <c r="F113" s="67">
        <f t="shared" si="7"/>
        <v>47837889.339207947</v>
      </c>
      <c r="G113" s="71">
        <f t="shared" si="8"/>
        <v>10062968.170841232</v>
      </c>
      <c r="H113" s="78">
        <f t="shared" si="9"/>
        <v>3.4314551581968722E-2</v>
      </c>
      <c r="I113" s="68">
        <v>66.95</v>
      </c>
      <c r="J113" s="68">
        <v>84.784999999999997</v>
      </c>
      <c r="K113" s="69">
        <v>11.219900000000001</v>
      </c>
      <c r="L113" s="70">
        <f t="shared" si="10"/>
        <v>0.26639283047050027</v>
      </c>
      <c r="M113" s="95">
        <f t="shared" si="11"/>
        <v>564225.85763057088</v>
      </c>
    </row>
    <row r="114" spans="1:13" ht="15" customHeight="1" x14ac:dyDescent="0.25">
      <c r="A114" s="65" t="str">
        <f>_xlfn.XLOOKUP(C114,'Sectors &amp; Company Names'!$B$2:$B$2814,'Sectors &amp; Company Names'!$C$2:$C$2814)</f>
        <v>Waste Management</v>
      </c>
      <c r="B114" s="65" t="str">
        <f>_xlfn.XLOOKUP(C114,'Sectors &amp; Company Names'!$B$2:$B$2814,'Sectors &amp; Company Names'!$A$2:$A$2814)</f>
        <v>CADEWaste Management FIRM</v>
      </c>
      <c r="C114" s="65" t="s">
        <v>3363</v>
      </c>
      <c r="D114" s="66">
        <v>3.176396000000021E-3</v>
      </c>
      <c r="E114" s="67">
        <f t="shared" si="6"/>
        <v>31032616.572520919</v>
      </c>
      <c r="F114" s="67">
        <f t="shared" si="7"/>
        <v>293213894.30093336</v>
      </c>
      <c r="G114" s="71">
        <f t="shared" si="8"/>
        <v>262181277.72841245</v>
      </c>
      <c r="H114" s="78">
        <f t="shared" si="9"/>
        <v>0.37828180035200831</v>
      </c>
      <c r="I114" s="68">
        <v>3.5</v>
      </c>
      <c r="J114" s="68">
        <v>33.07</v>
      </c>
      <c r="K114" s="69">
        <v>12.007199999999999</v>
      </c>
      <c r="L114" s="70">
        <f t="shared" si="10"/>
        <v>8.4485714285714284</v>
      </c>
      <c r="M114" s="95">
        <f t="shared" si="11"/>
        <v>8866461.8778631203</v>
      </c>
    </row>
    <row r="115" spans="1:13" ht="15" customHeight="1" x14ac:dyDescent="0.25">
      <c r="A115" s="65" t="str">
        <f>_xlfn.XLOOKUP(C115,'Sectors &amp; Company Names'!$B$2:$B$2814,'Sectors &amp; Company Names'!$C$2:$C$2814)</f>
        <v>Oil &amp; Gas E&amp;P</v>
      </c>
      <c r="B115" s="65" t="str">
        <f>_xlfn.XLOOKUP(C115,'Sectors &amp; Company Names'!$B$2:$B$2814,'Sectors &amp; Company Names'!$A$2:$A$2814)</f>
        <v>CALIFORNIA RESOURCES CRC</v>
      </c>
      <c r="C115" s="65" t="s">
        <v>1744</v>
      </c>
      <c r="D115" s="66">
        <v>3.7066759999999886E-3</v>
      </c>
      <c r="E115" s="67">
        <f t="shared" si="6"/>
        <v>36213323.23380474</v>
      </c>
      <c r="F115" s="67">
        <f t="shared" si="7"/>
        <v>113438893.23636323</v>
      </c>
      <c r="G115" s="71">
        <f t="shared" si="8"/>
        <v>77225570.0025585</v>
      </c>
      <c r="H115" s="78">
        <f t="shared" si="9"/>
        <v>0.17717747339444601</v>
      </c>
      <c r="I115" s="68">
        <v>15.13</v>
      </c>
      <c r="J115" s="68">
        <v>47.395000000000003</v>
      </c>
      <c r="K115" s="69">
        <v>7.4141000000000004</v>
      </c>
      <c r="L115" s="70">
        <f t="shared" si="10"/>
        <v>2.1325181758096496</v>
      </c>
      <c r="M115" s="95">
        <f t="shared" si="11"/>
        <v>2393478.07229377</v>
      </c>
    </row>
    <row r="116" spans="1:13" ht="15" customHeight="1" x14ac:dyDescent="0.25">
      <c r="A116" s="65" t="str">
        <f>_xlfn.XLOOKUP(C116,'Sectors &amp; Company Names'!$B$2:$B$2814,'Sectors &amp; Company Names'!$C$2:$C$2814)</f>
        <v>Utilities - Regulated Water</v>
      </c>
      <c r="B116" s="65" t="str">
        <f>_xlfn.XLOOKUP(C116,'Sectors &amp; Company Names'!$B$2:$B$2814,'Sectors &amp; Company Names'!$A$2:$A$2814)</f>
        <v>CALIFORNIA WTR SVC GRP CWT</v>
      </c>
      <c r="C116" s="65" t="s">
        <v>2925</v>
      </c>
      <c r="D116" s="66">
        <v>3.8384359999999681E-3</v>
      </c>
      <c r="E116" s="67">
        <f t="shared" si="6"/>
        <v>37500586.396078803</v>
      </c>
      <c r="F116" s="67">
        <f t="shared" si="7"/>
        <v>175604076.52206811</v>
      </c>
      <c r="G116" s="71">
        <f t="shared" si="8"/>
        <v>138103490.12598932</v>
      </c>
      <c r="H116" s="78">
        <f t="shared" si="9"/>
        <v>0.24676677202754904</v>
      </c>
      <c r="I116" s="68">
        <v>9.77</v>
      </c>
      <c r="J116" s="68">
        <v>45.75</v>
      </c>
      <c r="K116" s="69">
        <v>24.924499999999998</v>
      </c>
      <c r="L116" s="70">
        <f t="shared" si="10"/>
        <v>3.6827021494370529</v>
      </c>
      <c r="M116" s="95">
        <f t="shared" si="11"/>
        <v>3838340.4704277185</v>
      </c>
    </row>
    <row r="117" spans="1:13" ht="15" customHeight="1" x14ac:dyDescent="0.25">
      <c r="A117" s="65" t="str">
        <f>_xlfn.XLOOKUP(C117,'Sectors &amp; Company Names'!$B$2:$B$2814,'Sectors &amp; Company Names'!$C$2:$C$2814)</f>
        <v>Communication Equipment</v>
      </c>
      <c r="B117" s="65" t="str">
        <f>_xlfn.XLOOKUP(C117,'Sectors &amp; Company Names'!$B$2:$B$2814,'Sectors &amp; Company Names'!$A$2:$A$2814)</f>
        <v>CALIX INC CALX</v>
      </c>
      <c r="C117" s="65" t="s">
        <v>807</v>
      </c>
      <c r="D117" s="66">
        <v>1.9624759999999995E-3</v>
      </c>
      <c r="E117" s="67">
        <f t="shared" si="6"/>
        <v>19172913.339764357</v>
      </c>
      <c r="F117" s="67">
        <f t="shared" si="7"/>
        <v>29696593.427093115</v>
      </c>
      <c r="G117" s="71">
        <f t="shared" si="8"/>
        <v>10523680.087328758</v>
      </c>
      <c r="H117" s="78">
        <f t="shared" si="9"/>
        <v>6.449960201849203E-2</v>
      </c>
      <c r="I117" s="68">
        <v>25.06</v>
      </c>
      <c r="J117" s="68">
        <v>38.814999999999998</v>
      </c>
      <c r="K117" s="65">
        <v>0</v>
      </c>
      <c r="L117" s="70">
        <f t="shared" si="10"/>
        <v>0.5488826815642458</v>
      </c>
      <c r="M117" s="95">
        <f t="shared" si="11"/>
        <v>765080.3407727197</v>
      </c>
    </row>
    <row r="118" spans="1:13" ht="15" customHeight="1" x14ac:dyDescent="0.25">
      <c r="A118" s="65" t="str">
        <f>_xlfn.XLOOKUP(C118,'Sectors &amp; Company Names'!$B$2:$B$2814,'Sectors &amp; Company Names'!$C$2:$C$2814)</f>
        <v>Banks - Regional - US</v>
      </c>
      <c r="B118" s="65" t="str">
        <f>_xlfn.XLOOKUP(C118,'Sectors &amp; Company Names'!$B$2:$B$2814,'Sectors &amp; Company Names'!$A$2:$A$2814)</f>
        <v>CAMDEN NATIONAL CORP CAC</v>
      </c>
      <c r="C118" s="65" t="s">
        <v>261</v>
      </c>
      <c r="D118" s="66">
        <v>4.3989559999998802E-3</v>
      </c>
      <c r="E118" s="67">
        <f t="shared" si="6"/>
        <v>42976730.504441418</v>
      </c>
      <c r="F118" s="67">
        <f t="shared" si="7"/>
        <v>53380071.669706315</v>
      </c>
      <c r="G118" s="71">
        <f t="shared" si="8"/>
        <v>10403341.165264897</v>
      </c>
      <c r="H118" s="78">
        <f t="shared" si="9"/>
        <v>3.1452890075454043E-2</v>
      </c>
      <c r="I118" s="68">
        <v>34.99</v>
      </c>
      <c r="J118" s="68">
        <v>43.46</v>
      </c>
      <c r="K118" s="69">
        <v>13.474500000000001</v>
      </c>
      <c r="L118" s="70">
        <f t="shared" si="10"/>
        <v>0.24206916261789077</v>
      </c>
      <c r="M118" s="95">
        <f t="shared" si="11"/>
        <v>1228257.5165602006</v>
      </c>
    </row>
    <row r="119" spans="1:13" ht="15" customHeight="1" x14ac:dyDescent="0.25">
      <c r="A119" s="65" t="str">
        <f>_xlfn.XLOOKUP(C119,'Sectors &amp; Company Names'!$B$2:$B$2814,'Sectors &amp; Company Names'!$C$2:$C$2814)</f>
        <v>REIT - Residential</v>
      </c>
      <c r="B119" s="65" t="str">
        <f>_xlfn.XLOOKUP(C119,'Sectors &amp; Company Names'!$B$2:$B$2814,'Sectors &amp; Company Names'!$A$2:$A$2814)</f>
        <v>CAMDEN PROPERTY TRUST CPT</v>
      </c>
      <c r="C119" s="65" t="s">
        <v>2165</v>
      </c>
      <c r="D119" s="66">
        <v>3.578156000000009E-3</v>
      </c>
      <c r="E119" s="67">
        <f t="shared" si="6"/>
        <v>34957714.083717741</v>
      </c>
      <c r="F119" s="67">
        <f t="shared" si="7"/>
        <v>7631076.0366733307</v>
      </c>
      <c r="G119" s="71">
        <f t="shared" si="8"/>
        <v>-27326638.047044411</v>
      </c>
      <c r="H119" s="78">
        <f t="shared" si="9"/>
        <v>-0.19540461647386886</v>
      </c>
      <c r="I119" s="68">
        <v>549.51</v>
      </c>
      <c r="J119" s="68">
        <v>119.955</v>
      </c>
      <c r="K119" s="69">
        <v>79.860200000000006</v>
      </c>
      <c r="L119" s="70">
        <f t="shared" si="10"/>
        <v>-0.7817055194627941</v>
      </c>
      <c r="M119" s="95">
        <f t="shared" si="11"/>
        <v>63616.156364247683</v>
      </c>
    </row>
    <row r="120" spans="1:13" ht="15" customHeight="1" x14ac:dyDescent="0.25">
      <c r="A120" s="65" t="str">
        <f>_xlfn.XLOOKUP(C120,'Sectors &amp; Company Names'!$B$2:$B$2814,'Sectors &amp; Company Names'!$C$2:$C$2814)</f>
        <v>Packaged Foods</v>
      </c>
      <c r="B120" s="65" t="str">
        <f>_xlfn.XLOOKUP(C120,'Sectors &amp; Company Names'!$B$2:$B$2814,'Sectors &amp; Company Names'!$A$2:$A$2814)</f>
        <v>CAMPBELL SOUP CO CPB</v>
      </c>
      <c r="C120" s="65" t="s">
        <v>1870</v>
      </c>
      <c r="D120" s="66">
        <v>2.147155999999996E-3</v>
      </c>
      <c r="E120" s="67">
        <f t="shared" si="6"/>
        <v>20977192.034427434</v>
      </c>
      <c r="F120" s="67">
        <f t="shared" si="7"/>
        <v>11490474.85965669</v>
      </c>
      <c r="G120" s="71">
        <f t="shared" si="8"/>
        <v>-9486717.1747707445</v>
      </c>
      <c r="H120" s="78">
        <f t="shared" si="9"/>
        <v>-8.2394932558443434E-2</v>
      </c>
      <c r="I120" s="68">
        <v>74.12</v>
      </c>
      <c r="J120" s="68">
        <v>40.6</v>
      </c>
      <c r="K120" s="69">
        <v>22.102499999999999</v>
      </c>
      <c r="L120" s="70">
        <f t="shared" si="10"/>
        <v>-0.45223961144090663</v>
      </c>
      <c r="M120" s="95">
        <f t="shared" si="11"/>
        <v>283016.62215903174</v>
      </c>
    </row>
    <row r="121" spans="1:13" ht="15" customHeight="1" x14ac:dyDescent="0.25">
      <c r="A121" s="65" t="str">
        <f>_xlfn.XLOOKUP(C121,'Sectors &amp; Company Names'!$B$2:$B$2814,'Sectors &amp; Company Names'!$C$2:$C$2814)</f>
        <v>Credit Services</v>
      </c>
      <c r="B121" s="65" t="str">
        <f>_xlfn.XLOOKUP(C121,'Sectors &amp; Company Names'!$B$2:$B$2814,'Sectors &amp; Company Names'!$A$2:$A$2814)</f>
        <v>CAPITAL ONE FINANCIAL COF</v>
      </c>
      <c r="C121" s="65" t="s">
        <v>879</v>
      </c>
      <c r="D121" s="66">
        <v>1.9257560000000003E-3</v>
      </c>
      <c r="E121" s="67">
        <f t="shared" si="6"/>
        <v>18814167.86831088</v>
      </c>
      <c r="F121" s="67">
        <f t="shared" si="7"/>
        <v>2180446.2848838563</v>
      </c>
      <c r="G121" s="71">
        <f t="shared" si="8"/>
        <v>-16633721.583427023</v>
      </c>
      <c r="H121" s="78">
        <f t="shared" si="9"/>
        <v>-0.26498815212032034</v>
      </c>
      <c r="I121" s="68">
        <v>171.45</v>
      </c>
      <c r="J121" s="68">
        <v>19.87</v>
      </c>
      <c r="K121" s="65">
        <v>0</v>
      </c>
      <c r="L121" s="70">
        <f t="shared" si="10"/>
        <v>-0.88410615339749199</v>
      </c>
      <c r="M121" s="95">
        <f t="shared" si="11"/>
        <v>109735.59561569482</v>
      </c>
    </row>
    <row r="122" spans="1:13" ht="15" customHeight="1" x14ac:dyDescent="0.25">
      <c r="A122" s="65" t="str">
        <f>_xlfn.XLOOKUP(C122,'Sectors &amp; Company Names'!$B$2:$B$2814,'Sectors &amp; Company Names'!$C$2:$C$2814)</f>
        <v>Rubber &amp; Plastics</v>
      </c>
      <c r="B122" s="65" t="str">
        <f>_xlfn.XLOOKUP(C122,'Sectors &amp; Company Names'!$B$2:$B$2814,'Sectors &amp; Company Names'!$A$2:$A$2814)</f>
        <v>CARLISLE COS INC CSL</v>
      </c>
      <c r="C122" s="65" t="s">
        <v>2322</v>
      </c>
      <c r="D122" s="66">
        <v>3.7811959999999771E-3</v>
      </c>
      <c r="E122" s="67">
        <f t="shared" si="6"/>
        <v>36941365.514107287</v>
      </c>
      <c r="F122" s="67">
        <f t="shared" si="7"/>
        <v>165188964.76896524</v>
      </c>
      <c r="G122" s="71">
        <f t="shared" si="8"/>
        <v>128247599.25485796</v>
      </c>
      <c r="H122" s="78">
        <f t="shared" si="9"/>
        <v>0.23857985577948226</v>
      </c>
      <c r="I122" s="68">
        <v>75.14</v>
      </c>
      <c r="J122" s="68">
        <v>336</v>
      </c>
      <c r="K122" s="69">
        <v>18.262599999999999</v>
      </c>
      <c r="L122" s="70">
        <f t="shared" si="10"/>
        <v>3.4716529145594892</v>
      </c>
      <c r="M122" s="95">
        <f t="shared" si="11"/>
        <v>491633.82371715846</v>
      </c>
    </row>
    <row r="123" spans="1:13" ht="15" customHeight="1" x14ac:dyDescent="0.25">
      <c r="A123" s="65" t="str">
        <f>_xlfn.XLOOKUP(C123,'Sectors &amp; Company Names'!$B$2:$B$2814,'Sectors &amp; Company Names'!$C$2:$C$2814)</f>
        <v>Leisure</v>
      </c>
      <c r="B123" s="65" t="str">
        <f>_xlfn.XLOOKUP(C123,'Sectors &amp; Company Names'!$B$2:$B$2814,'Sectors &amp; Company Names'!$A$2:$A$2814)</f>
        <v>CARNIVAL CORP CCL</v>
      </c>
      <c r="C123" s="65" t="s">
        <v>1522</v>
      </c>
      <c r="D123" s="66">
        <v>3.0467960000000178E-3</v>
      </c>
      <c r="E123" s="67">
        <f t="shared" si="6"/>
        <v>29766456.085038003</v>
      </c>
      <c r="F123" s="67">
        <f t="shared" si="7"/>
        <v>25212433.602662068</v>
      </c>
      <c r="G123" s="71">
        <f t="shared" si="8"/>
        <v>-4554022.4823759347</v>
      </c>
      <c r="H123" s="78">
        <f t="shared" si="9"/>
        <v>-2.3441569284088803E-2</v>
      </c>
      <c r="I123" s="68">
        <v>27.91</v>
      </c>
      <c r="J123" s="68">
        <v>23.64</v>
      </c>
      <c r="K123" s="69">
        <v>17.039200000000001</v>
      </c>
      <c r="L123" s="70">
        <f t="shared" si="10"/>
        <v>-0.15299175922608382</v>
      </c>
      <c r="M123" s="95">
        <f t="shared" si="11"/>
        <v>1066515.8038351128</v>
      </c>
    </row>
    <row r="124" spans="1:13" ht="15" customHeight="1" x14ac:dyDescent="0.25">
      <c r="A124" s="65" t="str">
        <f>_xlfn.XLOOKUP(C124,'Sectors &amp; Company Names'!$B$2:$B$2814,'Sectors &amp; Company Names'!$C$2:$C$2814)</f>
        <v>Metal Fabrication</v>
      </c>
      <c r="B124" s="65" t="str">
        <f>_xlfn.XLOOKUP(C124,'Sectors &amp; Company Names'!$B$2:$B$2814,'Sectors &amp; Company Names'!$A$2:$A$2814)</f>
        <v>CARPENTER TECHNOLOGY CRS</v>
      </c>
      <c r="C124" s="65" t="s">
        <v>1717</v>
      </c>
      <c r="D124" s="66">
        <v>1.8577160000000004E-3</v>
      </c>
      <c r="E124" s="67">
        <f t="shared" si="6"/>
        <v>18149433.612382367</v>
      </c>
      <c r="F124" s="67">
        <f t="shared" si="7"/>
        <v>128230826.14659536</v>
      </c>
      <c r="G124" s="71">
        <f t="shared" si="8"/>
        <v>110081392.53421299</v>
      </c>
      <c r="H124" s="78">
        <f t="shared" si="9"/>
        <v>0.3222214393498597</v>
      </c>
      <c r="I124" s="68">
        <v>27.88</v>
      </c>
      <c r="J124" s="68">
        <v>196.98</v>
      </c>
      <c r="K124" s="69">
        <v>37.463099999999997</v>
      </c>
      <c r="L124" s="70">
        <f t="shared" si="10"/>
        <v>6.0652797704447634</v>
      </c>
      <c r="M124" s="95">
        <f t="shared" si="11"/>
        <v>650983.98896636895</v>
      </c>
    </row>
    <row r="125" spans="1:13" ht="15" customHeight="1" x14ac:dyDescent="0.25">
      <c r="A125" s="65" t="str">
        <f>_xlfn.XLOOKUP(C125,'Sectors &amp; Company Names'!$B$2:$B$2814,'Sectors &amp; Company Names'!$C$2:$C$2814)</f>
        <v>Apparel Manufacturing</v>
      </c>
      <c r="B125" s="65" t="str">
        <f>_xlfn.XLOOKUP(C125,'Sectors &amp; Company Names'!$B$2:$B$2814,'Sectors &amp; Company Names'!$A$2:$A$2814)</f>
        <v>CARTER INC CRI</v>
      </c>
      <c r="C125" s="65" t="s">
        <v>74</v>
      </c>
      <c r="D125" s="66">
        <v>2.306996E-3</v>
      </c>
      <c r="E125" s="67">
        <f t="shared" si="6"/>
        <v>22538789.968989696</v>
      </c>
      <c r="F125" s="67">
        <f t="shared" si="7"/>
        <v>50105316.801290922</v>
      </c>
      <c r="G125" s="71">
        <f t="shared" si="8"/>
        <v>27566526.832301226</v>
      </c>
      <c r="H125" s="78">
        <f t="shared" si="9"/>
        <v>0.12089451792715855</v>
      </c>
      <c r="I125" s="68">
        <v>23.58</v>
      </c>
      <c r="J125" s="68">
        <v>52.42</v>
      </c>
      <c r="K125" s="69">
        <v>8.5505999999999993</v>
      </c>
      <c r="L125" s="70">
        <f t="shared" si="10"/>
        <v>1.2230703986429179</v>
      </c>
      <c r="M125" s="95">
        <f t="shared" si="11"/>
        <v>955843.51013527124</v>
      </c>
    </row>
    <row r="126" spans="1:13" ht="15" customHeight="1" x14ac:dyDescent="0.25">
      <c r="A126" s="65" t="str">
        <f>_xlfn.XLOOKUP(C126,'Sectors &amp; Company Names'!$B$2:$B$2814,'Sectors &amp; Company Names'!$C$2:$C$2814)</f>
        <v>Farm &amp; Construction Equipment</v>
      </c>
      <c r="B126" s="65" t="str">
        <f>_xlfn.XLOOKUP(C126,'Sectors &amp; Company Names'!$B$2:$B$2814,'Sectors &amp; Company Names'!$A$2:$A$2814)</f>
        <v>CATERPILLAR INC CAT</v>
      </c>
      <c r="C126" s="65" t="s">
        <v>1177</v>
      </c>
      <c r="D126" s="66">
        <v>4.481035999999868E-3</v>
      </c>
      <c r="E126" s="67">
        <f t="shared" si="6"/>
        <v>43778632.146513797</v>
      </c>
      <c r="F126" s="67">
        <f t="shared" si="7"/>
        <v>164889739.89871195</v>
      </c>
      <c r="G126" s="71">
        <f t="shared" si="8"/>
        <v>121111107.75219816</v>
      </c>
      <c r="H126" s="78">
        <f t="shared" si="9"/>
        <v>0.20858144037379911</v>
      </c>
      <c r="I126" s="68">
        <v>91.07</v>
      </c>
      <c r="J126" s="68">
        <v>343.01</v>
      </c>
      <c r="K126" s="69">
        <v>15.4961</v>
      </c>
      <c r="L126" s="70">
        <f t="shared" si="10"/>
        <v>2.766443395190513</v>
      </c>
      <c r="M126" s="95">
        <f t="shared" si="11"/>
        <v>480714.08967293066</v>
      </c>
    </row>
    <row r="127" spans="1:13" ht="15" customHeight="1" x14ac:dyDescent="0.25">
      <c r="A127" s="65" t="str">
        <f>_xlfn.XLOOKUP(C127,'Sectors &amp; Company Names'!$B$2:$B$2814,'Sectors &amp; Company Names'!$C$2:$C$2814)</f>
        <v>Banks - Regional - US</v>
      </c>
      <c r="B127" s="65" t="str">
        <f>_xlfn.XLOOKUP(C127,'Sectors &amp; Company Names'!$B$2:$B$2814,'Sectors &amp; Company Names'!$A$2:$A$2814)</f>
        <v>CATHAY GENERAL BANCORP CATY</v>
      </c>
      <c r="C127" s="65" t="s">
        <v>265</v>
      </c>
      <c r="D127" s="66">
        <v>2.4959960000000042E-3</v>
      </c>
      <c r="E127" s="67">
        <f t="shared" si="6"/>
        <v>24385274.01323561</v>
      </c>
      <c r="F127" s="67">
        <f t="shared" si="7"/>
        <v>31360249.440505005</v>
      </c>
      <c r="G127" s="71">
        <f t="shared" si="8"/>
        <v>6974975.4272693954</v>
      </c>
      <c r="H127" s="78">
        <f t="shared" si="9"/>
        <v>3.6590942536276261E-2</v>
      </c>
      <c r="I127" s="68">
        <v>35.94</v>
      </c>
      <c r="J127" s="68">
        <v>46.22</v>
      </c>
      <c r="K127" s="69">
        <v>11.593400000000001</v>
      </c>
      <c r="L127" s="70">
        <f t="shared" si="10"/>
        <v>0.28603227601558157</v>
      </c>
      <c r="M127" s="95">
        <f t="shared" si="11"/>
        <v>678499.55518184777</v>
      </c>
    </row>
    <row r="128" spans="1:13" ht="15" customHeight="1" x14ac:dyDescent="0.25">
      <c r="A128" s="65" t="str">
        <f>_xlfn.XLOOKUP(C128,'Sectors &amp; Company Names'!$B$2:$B$2814,'Sectors &amp; Company Names'!$C$2:$C$2814)</f>
        <v>Information Technology Services</v>
      </c>
      <c r="B128" s="65" t="str">
        <f>_xlfn.XLOOKUP(C128,'Sectors &amp; Company Names'!$B$2:$B$2814,'Sectors &amp; Company Names'!$A$2:$A$2814)</f>
        <v>CDW CORPORATION CDW</v>
      </c>
      <c r="C128" s="65" t="s">
        <v>1342</v>
      </c>
      <c r="D128" s="66">
        <v>3.9507559999999503E-3</v>
      </c>
      <c r="E128" s="67">
        <f t="shared" si="6"/>
        <v>38597925.485230461</v>
      </c>
      <c r="F128" s="67">
        <f t="shared" si="7"/>
        <v>90971426.699124813</v>
      </c>
      <c r="G128" s="71">
        <f t="shared" si="8"/>
        <v>52373501.213894352</v>
      </c>
      <c r="H128" s="78">
        <f t="shared" si="9"/>
        <v>0.1302944041038161</v>
      </c>
      <c r="I128" s="68">
        <v>79.209999999999994</v>
      </c>
      <c r="J128" s="68">
        <v>186.69</v>
      </c>
      <c r="K128" s="69">
        <v>23.529399999999999</v>
      </c>
      <c r="L128" s="70">
        <f t="shared" si="10"/>
        <v>1.3568993813912387</v>
      </c>
      <c r="M128" s="95">
        <f t="shared" si="11"/>
        <v>487286.01799306239</v>
      </c>
    </row>
    <row r="129" spans="1:13" ht="15" customHeight="1" x14ac:dyDescent="0.25">
      <c r="A129" s="65" t="str">
        <f>_xlfn.XLOOKUP(C129,'Sectors &amp; Company Names'!$B$2:$B$2814,'Sectors &amp; Company Names'!$C$2:$C$2814)</f>
        <v>Chemicals</v>
      </c>
      <c r="B129" s="65" t="str">
        <f>_xlfn.XLOOKUP(C129,'Sectors &amp; Company Names'!$B$2:$B$2814,'Sectors &amp; Company Names'!$A$2:$A$2814)</f>
        <v>CELANESE CORP CE</v>
      </c>
      <c r="C129" s="65" t="s">
        <v>784</v>
      </c>
      <c r="D129" s="66">
        <v>1.8177560000000002E-3</v>
      </c>
      <c r="E129" s="67">
        <f t="shared" si="6"/>
        <v>17759034.128741808</v>
      </c>
      <c r="F129" s="67">
        <f t="shared" si="7"/>
        <v>12692917.129213</v>
      </c>
      <c r="G129" s="71">
        <f t="shared" si="8"/>
        <v>-5066116.9995288085</v>
      </c>
      <c r="H129" s="78">
        <f t="shared" si="9"/>
        <v>-4.6845818352909574E-2</v>
      </c>
      <c r="I129" s="68">
        <v>73.930000000000007</v>
      </c>
      <c r="J129" s="68">
        <v>52.84</v>
      </c>
      <c r="K129" s="65">
        <v>0</v>
      </c>
      <c r="L129" s="70">
        <f t="shared" si="10"/>
        <v>-0.28526984985797377</v>
      </c>
      <c r="M129" s="95">
        <f t="shared" si="11"/>
        <v>240214.17731288794</v>
      </c>
    </row>
    <row r="130" spans="1:13" ht="15" customHeight="1" x14ac:dyDescent="0.25">
      <c r="A130" s="65" t="str">
        <f>_xlfn.XLOOKUP(C130,'Sectors &amp; Company Names'!$B$2:$B$2814,'Sectors &amp; Company Names'!$C$2:$C$2814)</f>
        <v>Health Care Plans</v>
      </c>
      <c r="B130" s="65" t="str">
        <f>_xlfn.XLOOKUP(C130,'Sectors &amp; Company Names'!$B$2:$B$2814,'Sectors &amp; Company Names'!$A$2:$A$2814)</f>
        <v>CENTENE CORP CNC</v>
      </c>
      <c r="C130" s="65" t="s">
        <v>1242</v>
      </c>
      <c r="D130" s="66">
        <v>3.1515560000000202E-3</v>
      </c>
      <c r="E130" s="67">
        <f t="shared" si="6"/>
        <v>30789935.812420022</v>
      </c>
      <c r="F130" s="67">
        <f t="shared" si="7"/>
        <v>23231381.075314034</v>
      </c>
      <c r="G130" s="71">
        <f t="shared" si="8"/>
        <v>-7558554.737105988</v>
      </c>
      <c r="H130" s="78">
        <f t="shared" si="9"/>
        <v>-3.9441655068394033E-2</v>
      </c>
      <c r="I130" s="68">
        <v>76.459999999999994</v>
      </c>
      <c r="J130" s="68">
        <v>57.69</v>
      </c>
      <c r="K130" s="69">
        <v>9.1354000000000006</v>
      </c>
      <c r="L130" s="70">
        <f t="shared" si="10"/>
        <v>-0.24548783677739991</v>
      </c>
      <c r="M130" s="95">
        <f t="shared" si="11"/>
        <v>402693.37970729824</v>
      </c>
    </row>
    <row r="131" spans="1:13" ht="15" customHeight="1" x14ac:dyDescent="0.25">
      <c r="A131" s="65" t="str">
        <f>_xlfn.XLOOKUP(C131,'Sectors &amp; Company Names'!$B$2:$B$2814,'Sectors &amp; Company Names'!$C$2:$C$2814)</f>
        <v>Packaged Foods</v>
      </c>
      <c r="B131" s="65" t="str">
        <f>_xlfn.XLOOKUP(C131,'Sectors &amp; Company Names'!$B$2:$B$2814,'Sectors &amp; Company Names'!$A$2:$A$2814)</f>
        <v>CENTRAL GARDEN &amp; PET CO CENTA</v>
      </c>
      <c r="C131" s="65" t="s">
        <v>1872</v>
      </c>
      <c r="D131" s="66">
        <v>3.3664760000000253E-3</v>
      </c>
      <c r="E131" s="67">
        <f t="shared" si="6"/>
        <v>32889651.954162523</v>
      </c>
      <c r="F131" s="67">
        <f t="shared" si="7"/>
        <v>9958178.8927657716</v>
      </c>
      <c r="G131" s="71">
        <f t="shared" si="8"/>
        <v>-22931473.061396752</v>
      </c>
      <c r="H131" s="78">
        <f t="shared" si="9"/>
        <v>-0.15690914600350414</v>
      </c>
      <c r="I131" s="68">
        <v>107.01</v>
      </c>
      <c r="J131" s="68">
        <v>32.4</v>
      </c>
      <c r="K131" s="69">
        <v>0</v>
      </c>
      <c r="L131" s="70">
        <f t="shared" si="10"/>
        <v>-0.69722455845248121</v>
      </c>
      <c r="M131" s="95">
        <f t="shared" si="11"/>
        <v>307351.20039400528</v>
      </c>
    </row>
    <row r="132" spans="1:13" ht="15" customHeight="1" x14ac:dyDescent="0.25">
      <c r="A132" s="65" t="str">
        <f>_xlfn.XLOOKUP(C132,'Sectors &amp; Company Names'!$B$2:$B$2814,'Sectors &amp; Company Names'!$C$2:$C$2814)</f>
        <v>Aluminum</v>
      </c>
      <c r="B132" s="65" t="str">
        <f>_xlfn.XLOOKUP(C132,'Sectors &amp; Company Names'!$B$2:$B$2814,'Sectors &amp; Company Names'!$A$2:$A$2814)</f>
        <v>CENTURY ALUMINUM CO CENX</v>
      </c>
      <c r="C132" s="65" t="s">
        <v>70</v>
      </c>
      <c r="D132" s="66">
        <v>3.627836000000001E-3</v>
      </c>
      <c r="E132" s="67">
        <f t="shared" si="6"/>
        <v>35443075.603919439</v>
      </c>
      <c r="F132" s="67">
        <f t="shared" si="7"/>
        <v>10861300.657870544</v>
      </c>
      <c r="G132" s="71">
        <f t="shared" si="8"/>
        <v>-24581774.946048893</v>
      </c>
      <c r="H132" s="78">
        <f t="shared" si="9"/>
        <v>-0.1554575366261759</v>
      </c>
      <c r="I132" s="68">
        <v>59.75</v>
      </c>
      <c r="J132" s="68">
        <v>18.309999999999999</v>
      </c>
      <c r="K132" s="69">
        <v>5.524</v>
      </c>
      <c r="L132" s="70">
        <f t="shared" si="10"/>
        <v>-0.69355648535564851</v>
      </c>
      <c r="M132" s="95">
        <f t="shared" si="11"/>
        <v>593189.54985639243</v>
      </c>
    </row>
    <row r="133" spans="1:13" ht="15" customHeight="1" x14ac:dyDescent="0.25">
      <c r="A133" s="65" t="str">
        <f>_xlfn.XLOOKUP(C133,'Sectors &amp; Company Names'!$B$2:$B$2814,'Sectors &amp; Company Names'!$C$2:$C$2814)</f>
        <v>Biotechnology</v>
      </c>
      <c r="B133" s="65" t="str">
        <f>_xlfn.XLOOKUP(C133,'Sectors &amp; Company Names'!$B$2:$B$2814,'Sectors &amp; Company Names'!$A$2:$A$2814)</f>
        <v>CERUS CORP CERS</v>
      </c>
      <c r="C133" s="65" t="s">
        <v>460</v>
      </c>
      <c r="D133" s="66">
        <v>3.13859600000002E-3</v>
      </c>
      <c r="E133" s="67">
        <f t="shared" si="6"/>
        <v>30663319.763671733</v>
      </c>
      <c r="F133" s="67">
        <f t="shared" si="7"/>
        <v>448993.80977932236</v>
      </c>
      <c r="G133" s="71">
        <f t="shared" si="8"/>
        <v>-30214325.95389241</v>
      </c>
      <c r="H133" s="78">
        <f t="shared" si="9"/>
        <v>-0.45305219587383827</v>
      </c>
      <c r="I133" s="68">
        <v>114.05</v>
      </c>
      <c r="J133" s="68">
        <v>1.67</v>
      </c>
      <c r="K133" s="69">
        <v>0</v>
      </c>
      <c r="L133" s="70">
        <f t="shared" si="10"/>
        <v>-0.98535729943007455</v>
      </c>
      <c r="M133" s="95">
        <f t="shared" si="11"/>
        <v>268858.56873013318</v>
      </c>
    </row>
    <row r="134" spans="1:13" ht="15" customHeight="1" x14ac:dyDescent="0.25">
      <c r="A134" s="65" t="str">
        <f>_xlfn.XLOOKUP(C134,'Sectors &amp; Company Names'!$B$2:$B$2814,'Sectors &amp; Company Names'!$C$2:$C$2814)</f>
        <v>Diagnostics &amp; Research</v>
      </c>
      <c r="B134" s="65" t="str">
        <f>_xlfn.XLOOKUP(C134,'Sectors &amp; Company Names'!$B$2:$B$2814,'Sectors &amp; Company Names'!$A$2:$A$2814)</f>
        <v>CHARLES RIVER LABS INTL CRL</v>
      </c>
      <c r="C134" s="65" t="s">
        <v>930</v>
      </c>
      <c r="D134" s="66">
        <v>3.3491960000000252E-3</v>
      </c>
      <c r="E134" s="67">
        <f t="shared" si="6"/>
        <v>32720830.55583147</v>
      </c>
      <c r="F134" s="67">
        <f t="shared" si="7"/>
        <v>86107448.831135452</v>
      </c>
      <c r="G134" s="71">
        <f t="shared" si="8"/>
        <v>53386618.275303982</v>
      </c>
      <c r="H134" s="78">
        <f t="shared" si="9"/>
        <v>0.14823535444274771</v>
      </c>
      <c r="I134" s="68">
        <v>13.11</v>
      </c>
      <c r="J134" s="68">
        <v>34.5</v>
      </c>
      <c r="K134" s="69">
        <v>0</v>
      </c>
      <c r="L134" s="70">
        <f t="shared" si="10"/>
        <v>1.6315789473684212</v>
      </c>
      <c r="M134" s="95">
        <f t="shared" si="11"/>
        <v>2495868.082061897</v>
      </c>
    </row>
    <row r="135" spans="1:13" ht="15" customHeight="1" x14ac:dyDescent="0.25">
      <c r="A135" s="65" t="str">
        <f>_xlfn.XLOOKUP(C135,'Sectors &amp; Company Names'!$B$2:$B$2814,'Sectors &amp; Company Names'!$C$2:$C$2814)</f>
        <v>REIT - Hotel &amp; Motel</v>
      </c>
      <c r="B135" s="65" t="str">
        <f>_xlfn.XLOOKUP(C135,'Sectors &amp; Company Names'!$B$2:$B$2814,'Sectors &amp; Company Names'!$A$2:$A$2814)</f>
        <v>CHATHAM LODGING TR CLDT</v>
      </c>
      <c r="C135" s="65" t="s">
        <v>2092</v>
      </c>
      <c r="D135" s="66">
        <v>4.4831959999998673E-3</v>
      </c>
      <c r="E135" s="67">
        <f t="shared" si="6"/>
        <v>43799734.821305171</v>
      </c>
      <c r="F135" s="67">
        <f t="shared" si="7"/>
        <v>3078746.0405058367</v>
      </c>
      <c r="G135" s="71">
        <f t="shared" si="8"/>
        <v>-40720988.780799337</v>
      </c>
      <c r="H135" s="78">
        <f t="shared" si="9"/>
        <v>-0.31566024605081389</v>
      </c>
      <c r="I135" s="68">
        <v>114.95</v>
      </c>
      <c r="J135" s="68">
        <v>8.08</v>
      </c>
      <c r="K135" s="65">
        <v>0</v>
      </c>
      <c r="L135" s="70">
        <f t="shared" si="10"/>
        <v>-0.92970856894301868</v>
      </c>
      <c r="M135" s="95">
        <f t="shared" si="11"/>
        <v>381032.92580517783</v>
      </c>
    </row>
    <row r="136" spans="1:13" ht="15" customHeight="1" x14ac:dyDescent="0.25">
      <c r="A136" s="65" t="str">
        <f>_xlfn.XLOOKUP(C136,'Sectors &amp; Company Names'!$B$2:$B$2814,'Sectors &amp; Company Names'!$C$2:$C$2814)</f>
        <v>Restaurants</v>
      </c>
      <c r="B136" s="65" t="str">
        <f>_xlfn.XLOOKUP(C136,'Sectors &amp; Company Names'!$B$2:$B$2814,'Sectors &amp; Company Names'!$A$2:$A$2814)</f>
        <v>CHEESECAKE FACTORY INC CAKE</v>
      </c>
      <c r="C136" s="65" t="s">
        <v>2278</v>
      </c>
      <c r="D136" s="66">
        <v>3.4852760000000237E-3</v>
      </c>
      <c r="E136" s="67">
        <f t="shared" si="6"/>
        <v>34050299.067688487</v>
      </c>
      <c r="F136" s="67">
        <f t="shared" si="7"/>
        <v>187516435.71079153</v>
      </c>
      <c r="G136" s="71">
        <f t="shared" si="8"/>
        <v>153466136.64310303</v>
      </c>
      <c r="H136" s="78">
        <f t="shared" si="9"/>
        <v>0.2759847589064468</v>
      </c>
      <c r="I136" s="68">
        <v>9.94</v>
      </c>
      <c r="J136" s="68">
        <v>54.74</v>
      </c>
      <c r="K136" s="69">
        <v>17.082899999999999</v>
      </c>
      <c r="L136" s="70">
        <f t="shared" si="10"/>
        <v>4.507042253521127</v>
      </c>
      <c r="M136" s="95">
        <f t="shared" si="11"/>
        <v>3425583.4072121214</v>
      </c>
    </row>
    <row r="137" spans="1:13" ht="15" customHeight="1" x14ac:dyDescent="0.25">
      <c r="A137" s="65" t="str">
        <f>_xlfn.XLOOKUP(C137,'Sectors &amp; Company Names'!$B$2:$B$2814,'Sectors &amp; Company Names'!$C$2:$C$2814)</f>
        <v>Education &amp; Training Services</v>
      </c>
      <c r="B137" s="65" t="str">
        <f>_xlfn.XLOOKUP(C137,'Sectors &amp; Company Names'!$B$2:$B$2814,'Sectors &amp; Company Names'!$A$2:$A$2814)</f>
        <v>CHEGG INC CHGG</v>
      </c>
      <c r="C137" s="65" t="s">
        <v>1100</v>
      </c>
      <c r="D137" s="66">
        <v>3.2822360000000234E-3</v>
      </c>
      <c r="E137" s="67">
        <f t="shared" ref="E137:E200" si="12">+$J$3*D137</f>
        <v>32066647.637298629</v>
      </c>
      <c r="F137" s="67">
        <f t="shared" ref="F137:F200" si="13">(L137+1)*E137</f>
        <v>925243.19269676064</v>
      </c>
      <c r="G137" s="71">
        <f t="shared" ref="G137:G200" si="14">F137-E137</f>
        <v>-31141404.444601867</v>
      </c>
      <c r="H137" s="78">
        <f t="shared" ref="H137:H200" si="15">((F137/E137)^(1/7))-1</f>
        <v>-0.39740030771947255</v>
      </c>
      <c r="I137" s="68">
        <v>50.6</v>
      </c>
      <c r="J137" s="68">
        <v>1.46</v>
      </c>
      <c r="K137" s="65">
        <v>0</v>
      </c>
      <c r="L137" s="70">
        <f t="shared" ref="L137:L200" si="16">+(J137-I137)/I137</f>
        <v>-0.97114624505928848</v>
      </c>
      <c r="M137" s="95">
        <f t="shared" ref="M137:M200" si="17">F137/J137</f>
        <v>633728.21417586342</v>
      </c>
    </row>
    <row r="138" spans="1:13" ht="15" customHeight="1" x14ac:dyDescent="0.25">
      <c r="A138" s="65" t="str">
        <f>_xlfn.XLOOKUP(C138,'Sectors &amp; Company Names'!$B$2:$B$2814,'Sectors &amp; Company Names'!$C$2:$C$2814)</f>
        <v>Medical Care</v>
      </c>
      <c r="B138" s="65" t="str">
        <f>_xlfn.XLOOKUP(C138,'Sectors &amp; Company Names'!$B$2:$B$2814,'Sectors &amp; Company Names'!$A$2:$A$2814)</f>
        <v>CHEMED CORPORATION CHE</v>
      </c>
      <c r="C138" s="65" t="s">
        <v>1615</v>
      </c>
      <c r="D138" s="66">
        <v>4.077115999999931E-3</v>
      </c>
      <c r="E138" s="67">
        <f t="shared" si="12"/>
        <v>39832431.960526086</v>
      </c>
      <c r="F138" s="67">
        <f t="shared" si="13"/>
        <v>226911157.15921569</v>
      </c>
      <c r="G138" s="71">
        <f t="shared" si="14"/>
        <v>187078725.19868961</v>
      </c>
      <c r="H138" s="78">
        <f t="shared" si="15"/>
        <v>0.28216989445885376</v>
      </c>
      <c r="I138" s="68">
        <v>95.63</v>
      </c>
      <c r="J138" s="68">
        <v>544.77</v>
      </c>
      <c r="K138" s="69">
        <v>27.6174</v>
      </c>
      <c r="L138" s="70">
        <f t="shared" si="16"/>
        <v>4.6966433127679599</v>
      </c>
      <c r="M138" s="95">
        <f t="shared" si="17"/>
        <v>416526.52891902212</v>
      </c>
    </row>
    <row r="139" spans="1:13" ht="15" customHeight="1" x14ac:dyDescent="0.25">
      <c r="A139" s="65" t="str">
        <f>_xlfn.XLOOKUP(C139,'Sectors &amp; Company Names'!$B$2:$B$2814,'Sectors &amp; Company Names'!$C$2:$C$2814)</f>
        <v>Utilities - Regulated Gas</v>
      </c>
      <c r="B139" s="65" t="str">
        <f>_xlfn.XLOOKUP(C139,'Sectors &amp; Company Names'!$B$2:$B$2814,'Sectors &amp; Company Names'!$A$2:$A$2814)</f>
        <v>CHESAPEAKE UTILITIES CPK</v>
      </c>
      <c r="C139" s="65" t="s">
        <v>2909</v>
      </c>
      <c r="D139" s="66">
        <v>3.3535160000000251E-3</v>
      </c>
      <c r="E139" s="67">
        <f t="shared" si="12"/>
        <v>32763035.905414235</v>
      </c>
      <c r="F139" s="67">
        <f t="shared" si="13"/>
        <v>110286095.89744674</v>
      </c>
      <c r="G139" s="71">
        <f t="shared" si="14"/>
        <v>77523059.992032498</v>
      </c>
      <c r="H139" s="78">
        <f t="shared" si="15"/>
        <v>0.18933782783747155</v>
      </c>
      <c r="I139" s="68">
        <v>37.25</v>
      </c>
      <c r="J139" s="68">
        <v>125.39</v>
      </c>
      <c r="K139" s="69">
        <v>25.1784</v>
      </c>
      <c r="L139" s="70">
        <f t="shared" si="16"/>
        <v>2.3661744966442955</v>
      </c>
      <c r="M139" s="95">
        <f t="shared" si="17"/>
        <v>879544.58806481166</v>
      </c>
    </row>
    <row r="140" spans="1:13" ht="15" customHeight="1" x14ac:dyDescent="0.25">
      <c r="A140" s="65" t="str">
        <f>_xlfn.XLOOKUP(C140,'Sectors &amp; Company Names'!$B$2:$B$2814,'Sectors &amp; Company Names'!$C$2:$C$2814)</f>
        <v>Oil &amp; Gas Integrated</v>
      </c>
      <c r="B140" s="65" t="str">
        <f>_xlfn.XLOOKUP(C140,'Sectors &amp; Company Names'!$B$2:$B$2814,'Sectors &amp; Company Names'!$A$2:$A$2814)</f>
        <v>CHEVRON CORP CVX</v>
      </c>
      <c r="C140" s="65" t="s">
        <v>1835</v>
      </c>
      <c r="D140" s="66">
        <v>1.8911960000000004E-3</v>
      </c>
      <c r="E140" s="67">
        <f t="shared" si="12"/>
        <v>18476525.071648777</v>
      </c>
      <c r="F140" s="67">
        <f t="shared" si="13"/>
        <v>89825657.337492496</v>
      </c>
      <c r="G140" s="71">
        <f t="shared" si="14"/>
        <v>71349132.265843719</v>
      </c>
      <c r="H140" s="78">
        <f t="shared" si="15"/>
        <v>0.25346278402193412</v>
      </c>
      <c r="I140" s="68">
        <v>32.299999999999997</v>
      </c>
      <c r="J140" s="68">
        <v>157.03</v>
      </c>
      <c r="K140" s="69">
        <v>16.2376</v>
      </c>
      <c r="L140" s="70">
        <f t="shared" si="16"/>
        <v>3.8616099071207435</v>
      </c>
      <c r="M140" s="95">
        <f t="shared" si="17"/>
        <v>572028.63998912624</v>
      </c>
    </row>
    <row r="141" spans="1:13" ht="15" customHeight="1" x14ac:dyDescent="0.25">
      <c r="A141" s="65" t="str">
        <f>_xlfn.XLOOKUP(C141,'Sectors &amp; Company Names'!$B$2:$B$2814,'Sectors &amp; Company Names'!$C$2:$C$2814)</f>
        <v>REIT - Diversified</v>
      </c>
      <c r="B141" s="65" t="str">
        <f>_xlfn.XLOOKUP(C141,'Sectors &amp; Company Names'!$B$2:$B$2814,'Sectors &amp; Company Names'!$A$2:$A$2814)</f>
        <v>CHIMERA INVESTMENT CORP CIM</v>
      </c>
      <c r="C141" s="65" t="s">
        <v>2030</v>
      </c>
      <c r="D141" s="66">
        <v>3.2552360000000229E-3</v>
      </c>
      <c r="E141" s="67">
        <f t="shared" si="12"/>
        <v>31802864.202406358</v>
      </c>
      <c r="F141" s="67">
        <f t="shared" si="13"/>
        <v>11045979.347366946</v>
      </c>
      <c r="G141" s="71">
        <f t="shared" si="14"/>
        <v>-20756884.85503941</v>
      </c>
      <c r="H141" s="78">
        <f t="shared" si="15"/>
        <v>-0.14021247054268227</v>
      </c>
      <c r="I141" s="68">
        <v>67.89</v>
      </c>
      <c r="J141" s="68">
        <v>23.58</v>
      </c>
      <c r="K141" s="65">
        <v>0</v>
      </c>
      <c r="L141" s="70">
        <f t="shared" si="16"/>
        <v>-0.65267344233318603</v>
      </c>
      <c r="M141" s="95">
        <f t="shared" si="17"/>
        <v>468446.96129630815</v>
      </c>
    </row>
    <row r="142" spans="1:13" ht="15" customHeight="1" x14ac:dyDescent="0.25">
      <c r="A142" s="65" t="str">
        <f>_xlfn.XLOOKUP(C142,'Sectors &amp; Company Names'!$B$2:$B$2814,'Sectors &amp; Company Names'!$C$2:$C$2814)</f>
        <v>Insurance - Property &amp; Casualty</v>
      </c>
      <c r="B142" s="65" t="str">
        <f>_xlfn.XLOOKUP(C142,'Sectors &amp; Company Names'!$B$2:$B$2814,'Sectors &amp; Company Names'!$A$2:$A$2814)</f>
        <v>CHUBB LIMITED CB</v>
      </c>
      <c r="C142" s="65" t="s">
        <v>1412</v>
      </c>
      <c r="D142" s="66">
        <v>1.8620360000000003E-3</v>
      </c>
      <c r="E142" s="67">
        <f t="shared" si="12"/>
        <v>18191638.961965129</v>
      </c>
      <c r="F142" s="67">
        <f t="shared" si="13"/>
        <v>585687887.01166153</v>
      </c>
      <c r="G142" s="71">
        <f t="shared" si="14"/>
        <v>567496248.04969645</v>
      </c>
      <c r="H142" s="78">
        <f t="shared" si="15"/>
        <v>0.64209849096310645</v>
      </c>
      <c r="I142" s="68">
        <v>8.34</v>
      </c>
      <c r="J142" s="68">
        <v>268.51</v>
      </c>
      <c r="K142" s="69">
        <v>11.914300000000001</v>
      </c>
      <c r="L142" s="70">
        <f t="shared" si="16"/>
        <v>31.195443645083934</v>
      </c>
      <c r="M142" s="95">
        <f t="shared" si="17"/>
        <v>2181251.6740965387</v>
      </c>
    </row>
    <row r="143" spans="1:13" ht="15" customHeight="1" x14ac:dyDescent="0.25">
      <c r="A143" s="65" t="str">
        <f>_xlfn.XLOOKUP(C143,'Sectors &amp; Company Names'!$B$2:$B$2814,'Sectors &amp; Company Names'!$C$2:$C$2814)</f>
        <v>Household &amp; Personal Products</v>
      </c>
      <c r="B143" s="65" t="str">
        <f>_xlfn.XLOOKUP(C143,'Sectors &amp; Company Names'!$B$2:$B$2814,'Sectors &amp; Company Names'!$A$2:$A$2814)</f>
        <v>CHURCH &amp; DWIGHT INC CHD</v>
      </c>
      <c r="C143" s="65" t="s">
        <v>1294</v>
      </c>
      <c r="D143" s="66">
        <v>3.9172759999999557E-3</v>
      </c>
      <c r="E143" s="67">
        <f t="shared" si="12"/>
        <v>38270834.025964104</v>
      </c>
      <c r="F143" s="67">
        <f t="shared" si="13"/>
        <v>111022369.82538994</v>
      </c>
      <c r="G143" s="71">
        <f t="shared" si="14"/>
        <v>72751535.79942584</v>
      </c>
      <c r="H143" s="78">
        <f t="shared" si="15"/>
        <v>0.1643338121180935</v>
      </c>
      <c r="I143" s="68">
        <v>36.25</v>
      </c>
      <c r="J143" s="68">
        <v>105.16</v>
      </c>
      <c r="K143" s="69">
        <v>45.020099999999999</v>
      </c>
      <c r="L143" s="70">
        <f t="shared" si="16"/>
        <v>1.9009655172413793</v>
      </c>
      <c r="M143" s="95">
        <f t="shared" si="17"/>
        <v>1055747.1455438375</v>
      </c>
    </row>
    <row r="144" spans="1:13" ht="15" customHeight="1" x14ac:dyDescent="0.25">
      <c r="A144" s="65" t="str">
        <f>_xlfn.XLOOKUP(C144,'Sectors &amp; Company Names'!$B$2:$B$2814,'Sectors &amp; Company Names'!$C$2:$C$2814)</f>
        <v>Gambling</v>
      </c>
      <c r="B144" s="65" t="str">
        <f>_xlfn.XLOOKUP(C144,'Sectors &amp; Company Names'!$B$2:$B$2814,'Sectors &amp; Company Names'!$A$2:$A$2814)</f>
        <v>CHURCHILL DOWNS INC CHDN</v>
      </c>
      <c r="C144" s="65" t="s">
        <v>1222</v>
      </c>
      <c r="D144" s="66">
        <v>2.7065960000000095E-3</v>
      </c>
      <c r="E144" s="67">
        <f t="shared" si="12"/>
        <v>26442784.80539535</v>
      </c>
      <c r="F144" s="67">
        <f t="shared" si="13"/>
        <v>150503624.18462962</v>
      </c>
      <c r="G144" s="71">
        <f t="shared" si="14"/>
        <v>124060839.37923427</v>
      </c>
      <c r="H144" s="78">
        <f t="shared" si="15"/>
        <v>0.28200994844370242</v>
      </c>
      <c r="I144" s="68">
        <v>20.53</v>
      </c>
      <c r="J144" s="68">
        <v>116.85</v>
      </c>
      <c r="K144" s="69">
        <v>20.584399999999999</v>
      </c>
      <c r="L144" s="70">
        <f t="shared" si="16"/>
        <v>4.6916707257671693</v>
      </c>
      <c r="M144" s="95">
        <f t="shared" si="17"/>
        <v>1288007.0533558377</v>
      </c>
    </row>
    <row r="145" spans="1:13" ht="15" customHeight="1" x14ac:dyDescent="0.25">
      <c r="A145" s="65" t="str">
        <f>_xlfn.XLOOKUP(C145,'Sectors &amp; Company Names'!$B$2:$B$2814,'Sectors &amp; Company Names'!$C$2:$C$2814)</f>
        <v>Communication Equipment</v>
      </c>
      <c r="B145" s="65" t="str">
        <f>_xlfn.XLOOKUP(C145,'Sectors &amp; Company Names'!$B$2:$B$2814,'Sectors &amp; Company Names'!$A$2:$A$2814)</f>
        <v>CIENA CORP CIEN</v>
      </c>
      <c r="C145" s="65" t="s">
        <v>808</v>
      </c>
      <c r="D145" s="66">
        <v>3.6764359999999934E-3</v>
      </c>
      <c r="E145" s="67">
        <f t="shared" si="12"/>
        <v>35917885.786725447</v>
      </c>
      <c r="F145" s="67">
        <f t="shared" si="13"/>
        <v>69660813.091555744</v>
      </c>
      <c r="G145" s="71">
        <f t="shared" si="14"/>
        <v>33742927.304830298</v>
      </c>
      <c r="H145" s="78">
        <f t="shared" si="15"/>
        <v>9.9250887385358144E-2</v>
      </c>
      <c r="I145" s="68">
        <v>43.35</v>
      </c>
      <c r="J145" s="68">
        <v>84.075000000000003</v>
      </c>
      <c r="K145" s="69">
        <v>145.34049999999999</v>
      </c>
      <c r="L145" s="70">
        <f t="shared" si="16"/>
        <v>0.93944636678200688</v>
      </c>
      <c r="M145" s="95">
        <f t="shared" si="17"/>
        <v>828555.61215052917</v>
      </c>
    </row>
    <row r="146" spans="1:13" ht="15" customHeight="1" x14ac:dyDescent="0.25">
      <c r="A146" s="65" t="str">
        <f>_xlfn.XLOOKUP(C146,'Sectors &amp; Company Names'!$B$2:$B$2814,'Sectors &amp; Company Names'!$C$2:$C$2814)</f>
        <v>Health Care Plans</v>
      </c>
      <c r="B146" s="65" t="str">
        <f>_xlfn.XLOOKUP(C146,'Sectors &amp; Company Names'!$B$2:$B$2814,'Sectors &amp; Company Names'!$A$2:$A$2814)</f>
        <v>CIGNA CORP CI</v>
      </c>
      <c r="C146" s="65" t="s">
        <v>1243</v>
      </c>
      <c r="D146" s="66">
        <v>2.3015959999999995E-3</v>
      </c>
      <c r="E146" s="67">
        <f t="shared" si="12"/>
        <v>22486033.282011237</v>
      </c>
      <c r="F146" s="67">
        <f t="shared" si="13"/>
        <v>63371852.884089828</v>
      </c>
      <c r="G146" s="71">
        <f t="shared" si="14"/>
        <v>40885819.602078587</v>
      </c>
      <c r="H146" s="78">
        <f t="shared" si="15"/>
        <v>0.15953367313132105</v>
      </c>
      <c r="I146" s="68">
        <v>105.93</v>
      </c>
      <c r="J146" s="68">
        <v>298.54000000000002</v>
      </c>
      <c r="K146" s="69">
        <v>27.835899999999999</v>
      </c>
      <c r="L146" s="70">
        <f t="shared" si="16"/>
        <v>1.818276220145379</v>
      </c>
      <c r="M146" s="95">
        <f t="shared" si="17"/>
        <v>212272.56945163067</v>
      </c>
    </row>
    <row r="147" spans="1:13" ht="15" customHeight="1" x14ac:dyDescent="0.25">
      <c r="A147" s="65" t="str">
        <f>_xlfn.XLOOKUP(C147,'Sectors &amp; Company Names'!$B$2:$B$2814,'Sectors &amp; Company Names'!$C$2:$C$2814)</f>
        <v>Marketing Services</v>
      </c>
      <c r="B147" s="65" t="str">
        <f>_xlfn.XLOOKUP(C147,'Sectors &amp; Company Names'!$B$2:$B$2814,'Sectors &amp; Company Names'!$A$2:$A$2814)</f>
        <v>CIMPRESS NV CMPR</v>
      </c>
      <c r="C147" s="65" t="s">
        <v>1575</v>
      </c>
      <c r="D147" s="66">
        <v>4.0846759999999304E-3</v>
      </c>
      <c r="E147" s="67">
        <f t="shared" si="12"/>
        <v>39906291.322295912</v>
      </c>
      <c r="F147" s="67">
        <f t="shared" si="13"/>
        <v>57116736.548921801</v>
      </c>
      <c r="G147" s="71">
        <f t="shared" si="14"/>
        <v>17210445.22662589</v>
      </c>
      <c r="H147" s="78">
        <f t="shared" si="15"/>
        <v>5.2557917422976219E-2</v>
      </c>
      <c r="I147" s="68">
        <v>34.92</v>
      </c>
      <c r="J147" s="68">
        <v>49.98</v>
      </c>
      <c r="K147" s="69">
        <v>8.2499000000000002</v>
      </c>
      <c r="L147" s="70">
        <f t="shared" si="16"/>
        <v>0.4312714776632301</v>
      </c>
      <c r="M147" s="95">
        <f t="shared" si="17"/>
        <v>1142791.8477175231</v>
      </c>
    </row>
    <row r="148" spans="1:13" ht="15" customHeight="1" x14ac:dyDescent="0.25">
      <c r="A148" s="65" t="str">
        <f>_xlfn.XLOOKUP(C148,'Sectors &amp; Company Names'!$B$2:$B$2814,'Sectors &amp; Company Names'!$C$2:$C$2814)</f>
        <v>Insurance - Property &amp; Casualty</v>
      </c>
      <c r="B148" s="65" t="str">
        <f>_xlfn.XLOOKUP(C148,'Sectors &amp; Company Names'!$B$2:$B$2814,'Sectors &amp; Company Names'!$A$2:$A$2814)</f>
        <v>CINCINNATI FINANCIAL CINF</v>
      </c>
      <c r="C148" s="65" t="s">
        <v>1413</v>
      </c>
      <c r="D148" s="66">
        <v>2.7919160000000115E-3</v>
      </c>
      <c r="E148" s="67">
        <f t="shared" si="12"/>
        <v>27276340.459654935</v>
      </c>
      <c r="F148" s="67">
        <f t="shared" si="13"/>
        <v>98649673.527100444</v>
      </c>
      <c r="G148" s="71">
        <f t="shared" si="14"/>
        <v>71373333.067445517</v>
      </c>
      <c r="H148" s="78">
        <f t="shared" si="15"/>
        <v>0.20159609176110571</v>
      </c>
      <c r="I148" s="68">
        <v>37.54</v>
      </c>
      <c r="J148" s="68">
        <v>135.77000000000001</v>
      </c>
      <c r="K148" s="69">
        <v>9.3057999999999996</v>
      </c>
      <c r="L148" s="70">
        <f t="shared" si="16"/>
        <v>2.6166755460841773</v>
      </c>
      <c r="M148" s="95">
        <f t="shared" si="17"/>
        <v>726594.0452758373</v>
      </c>
    </row>
    <row r="149" spans="1:13" ht="15" customHeight="1" x14ac:dyDescent="0.25">
      <c r="A149" s="65" t="str">
        <f>_xlfn.XLOOKUP(C149,'Sectors &amp; Company Names'!$B$2:$B$2814,'Sectors &amp; Company Names'!$C$2:$C$2814)</f>
        <v>Business Services</v>
      </c>
      <c r="B149" s="65" t="str">
        <f>_xlfn.XLOOKUP(C149,'Sectors &amp; Company Names'!$B$2:$B$2814,'Sectors &amp; Company Names'!$A$2:$A$2814)</f>
        <v>CINTAS CORP CTAS</v>
      </c>
      <c r="C149" s="65" t="s">
        <v>689</v>
      </c>
      <c r="D149" s="66">
        <v>3.8881159999999602E-3</v>
      </c>
      <c r="E149" s="67">
        <f t="shared" si="12"/>
        <v>37985947.916280501</v>
      </c>
      <c r="F149" s="67">
        <f t="shared" si="13"/>
        <v>29655416.492290407</v>
      </c>
      <c r="G149" s="71">
        <f t="shared" si="14"/>
        <v>-8330531.4239900932</v>
      </c>
      <c r="H149" s="78">
        <f t="shared" si="15"/>
        <v>-3.4749242004600944E-2</v>
      </c>
      <c r="I149" s="68">
        <v>262.10000000000002</v>
      </c>
      <c r="J149" s="68">
        <v>204.62</v>
      </c>
      <c r="K149" s="69">
        <v>49.347000000000001</v>
      </c>
      <c r="L149" s="70">
        <f t="shared" si="16"/>
        <v>-0.21930560854635639</v>
      </c>
      <c r="M149" s="95">
        <f t="shared" si="17"/>
        <v>144929.21753636206</v>
      </c>
    </row>
    <row r="150" spans="1:13" ht="15" customHeight="1" x14ac:dyDescent="0.25">
      <c r="A150" s="65" t="str">
        <f>_xlfn.XLOOKUP(C150,'Sectors &amp; Company Names'!$B$2:$B$2814,'Sectors &amp; Company Names'!$C$2:$C$2814)</f>
        <v>Banks - Global</v>
      </c>
      <c r="B150" s="65" t="str">
        <f>_xlfn.XLOOKUP(C150,'Sectors &amp; Company Names'!$B$2:$B$2814,'Sectors &amp; Company Names'!$A$2:$A$2814)</f>
        <v>CITIGROUP INC C</v>
      </c>
      <c r="C150" s="65" t="s">
        <v>198</v>
      </c>
      <c r="D150" s="66">
        <v>3.9723559999999469E-3</v>
      </c>
      <c r="E150" s="67">
        <f t="shared" si="12"/>
        <v>38808952.233144246</v>
      </c>
      <c r="F150" s="67">
        <f t="shared" si="13"/>
        <v>21371037.964145627</v>
      </c>
      <c r="G150" s="71">
        <f t="shared" si="14"/>
        <v>-17437914.268998619</v>
      </c>
      <c r="H150" s="78">
        <f t="shared" si="15"/>
        <v>-8.1699514336732282E-2</v>
      </c>
      <c r="I150" s="68">
        <v>145.63999999999999</v>
      </c>
      <c r="J150" s="68">
        <v>80.2</v>
      </c>
      <c r="K150" s="69">
        <v>13.419600000000001</v>
      </c>
      <c r="L150" s="70">
        <f t="shared" si="16"/>
        <v>-0.44932710793737979</v>
      </c>
      <c r="M150" s="95">
        <f t="shared" si="17"/>
        <v>266471.7950641599</v>
      </c>
    </row>
    <row r="151" spans="1:13" ht="15" customHeight="1" x14ac:dyDescent="0.25">
      <c r="A151" s="65" t="str">
        <f>_xlfn.XLOOKUP(C151,'Sectors &amp; Company Names'!$B$2:$B$2814,'Sectors &amp; Company Names'!$C$2:$C$2814)</f>
        <v>Banks - Regional - US</v>
      </c>
      <c r="B151" s="65" t="str">
        <f>_xlfn.XLOOKUP(C151,'Sectors &amp; Company Names'!$B$2:$B$2814,'Sectors &amp; Company Names'!$A$2:$A$2814)</f>
        <v>CITIZENS &amp; NORTHERN CORP CZNC</v>
      </c>
      <c r="C151" s="65" t="s">
        <v>273</v>
      </c>
      <c r="D151" s="66">
        <v>5.3000000000000009E-3</v>
      </c>
      <c r="E151" s="67">
        <f t="shared" si="12"/>
        <v>51779711.293667354</v>
      </c>
      <c r="F151" s="67">
        <f t="shared" si="13"/>
        <v>9525168.7999710348</v>
      </c>
      <c r="G151" s="71">
        <f t="shared" si="14"/>
        <v>-42254542.493696317</v>
      </c>
      <c r="H151" s="78">
        <f t="shared" si="15"/>
        <v>-0.21483847834149394</v>
      </c>
      <c r="I151" s="68">
        <v>113.56</v>
      </c>
      <c r="J151" s="68">
        <v>20.89</v>
      </c>
      <c r="K151" s="69">
        <v>14.525600000000001</v>
      </c>
      <c r="L151" s="70">
        <f t="shared" si="16"/>
        <v>-0.81604438182458616</v>
      </c>
      <c r="M151" s="95">
        <f t="shared" si="17"/>
        <v>455967.86979277333</v>
      </c>
    </row>
    <row r="152" spans="1:13" ht="15" customHeight="1" x14ac:dyDescent="0.25">
      <c r="A152" s="65" t="str">
        <f>_xlfn.XLOOKUP(C152,'Sectors &amp; Company Names'!$B$2:$B$2814,'Sectors &amp; Company Names'!$C$2:$C$2814)</f>
        <v>Banks - Regional - US</v>
      </c>
      <c r="B152" s="65" t="str">
        <f>_xlfn.XLOOKUP(C152,'Sectors &amp; Company Names'!$B$2:$B$2814,'Sectors &amp; Company Names'!$A$2:$A$2814)</f>
        <v>CITY HOLDING CO CHCO</v>
      </c>
      <c r="C152" s="65" t="s">
        <v>275</v>
      </c>
      <c r="D152" s="66">
        <v>2.5705160000000062E-3</v>
      </c>
      <c r="E152" s="67">
        <f t="shared" si="12"/>
        <v>25113316.293538287</v>
      </c>
      <c r="F152" s="67">
        <f t="shared" si="13"/>
        <v>7666602.1601545494</v>
      </c>
      <c r="G152" s="71">
        <f t="shared" si="14"/>
        <v>-17446714.133383736</v>
      </c>
      <c r="H152" s="78">
        <f t="shared" si="15"/>
        <v>-0.15591622655710691</v>
      </c>
      <c r="I152" s="68">
        <v>385.58</v>
      </c>
      <c r="J152" s="68">
        <v>117.71</v>
      </c>
      <c r="K152" s="69">
        <v>14.946300000000001</v>
      </c>
      <c r="L152" s="70">
        <f t="shared" si="16"/>
        <v>-0.69471964313501744</v>
      </c>
      <c r="M152" s="95">
        <f t="shared" si="17"/>
        <v>65131.273130189024</v>
      </c>
    </row>
    <row r="153" spans="1:13" ht="15" customHeight="1" x14ac:dyDescent="0.25">
      <c r="A153" s="65" t="str">
        <f>_xlfn.XLOOKUP(C153,'Sectors &amp; Company Names'!$B$2:$B$2814,'Sectors &amp; Company Names'!$C$2:$C$2814)</f>
        <v>Communication Equipment</v>
      </c>
      <c r="B153" s="65" t="str">
        <f>_xlfn.XLOOKUP(C153,'Sectors &amp; Company Names'!$B$2:$B$2814,'Sectors &amp; Company Names'!$A$2:$A$2814)</f>
        <v>CLEARFIELD INC CLFD</v>
      </c>
      <c r="C153" s="65" t="s">
        <v>810</v>
      </c>
      <c r="D153" s="66">
        <v>3.3211160000000245E-3</v>
      </c>
      <c r="E153" s="67">
        <f t="shared" si="12"/>
        <v>32446495.783543508</v>
      </c>
      <c r="F153" s="67">
        <f t="shared" si="13"/>
        <v>32774134.743806485</v>
      </c>
      <c r="G153" s="71">
        <f t="shared" si="14"/>
        <v>327638.96026297659</v>
      </c>
      <c r="H153" s="78">
        <f t="shared" si="15"/>
        <v>1.4363420209215771E-3</v>
      </c>
      <c r="I153" s="68">
        <v>31.69</v>
      </c>
      <c r="J153" s="68">
        <v>32.01</v>
      </c>
      <c r="K153" s="69">
        <v>0</v>
      </c>
      <c r="L153" s="70">
        <f t="shared" si="16"/>
        <v>1.0097822656989483E-2</v>
      </c>
      <c r="M153" s="95">
        <f t="shared" si="17"/>
        <v>1023871.7508218209</v>
      </c>
    </row>
    <row r="154" spans="1:13" ht="15" customHeight="1" x14ac:dyDescent="0.25">
      <c r="A154" s="65" t="str">
        <f>_xlfn.XLOOKUP(C154,'Sectors &amp; Company Names'!$B$2:$B$2814,'Sectors &amp; Company Names'!$C$2:$C$2814)</f>
        <v>Paper &amp; Paper Products</v>
      </c>
      <c r="B154" s="65" t="str">
        <f>_xlfn.XLOOKUP(C154,'Sectors &amp; Company Names'!$B$2:$B$2814,'Sectors &amp; Company Names'!$A$2:$A$2814)</f>
        <v>CLEARWATER PAPER CORP CLW</v>
      </c>
      <c r="C154" s="65" t="s">
        <v>1920</v>
      </c>
      <c r="D154" s="66">
        <v>2.9236760000000144E-3</v>
      </c>
      <c r="E154" s="67">
        <f t="shared" si="12"/>
        <v>28563603.621929228</v>
      </c>
      <c r="F154" s="67">
        <f t="shared" si="13"/>
        <v>35869968.383013353</v>
      </c>
      <c r="G154" s="71">
        <f t="shared" si="14"/>
        <v>7306364.7610841244</v>
      </c>
      <c r="H154" s="78">
        <f t="shared" si="15"/>
        <v>3.3073312013888412E-2</v>
      </c>
      <c r="I154" s="68">
        <v>22.01</v>
      </c>
      <c r="J154" s="68">
        <v>27.64</v>
      </c>
      <c r="K154" s="65">
        <v>0</v>
      </c>
      <c r="L154" s="70">
        <f t="shared" si="16"/>
        <v>0.25579282144479776</v>
      </c>
      <c r="M154" s="95">
        <f t="shared" si="17"/>
        <v>1297755.7302103238</v>
      </c>
    </row>
    <row r="155" spans="1:13" ht="15" customHeight="1" x14ac:dyDescent="0.25">
      <c r="A155" s="65" t="str">
        <f>_xlfn.XLOOKUP(C155,'Sectors &amp; Company Names'!$B$2:$B$2814,'Sectors &amp; Company Names'!$C$2:$C$2814)</f>
        <v>Industrial Metals &amp; Minerals</v>
      </c>
      <c r="B155" s="65" t="str">
        <f>_xlfn.XLOOKUP(C155,'Sectors &amp; Company Names'!$B$2:$B$2814,'Sectors &amp; Company Names'!$A$2:$A$2814)</f>
        <v>CLIFFS NATURAL RESOURCES CLF</v>
      </c>
      <c r="C155" s="65" t="s">
        <v>1334</v>
      </c>
      <c r="D155" s="66">
        <v>3.9215959999999552E-3</v>
      </c>
      <c r="E155" s="67">
        <f t="shared" si="12"/>
        <v>38313039.375546858</v>
      </c>
      <c r="F155" s="67">
        <f t="shared" si="13"/>
        <v>5832823.7358653229</v>
      </c>
      <c r="G155" s="71">
        <f t="shared" si="14"/>
        <v>-32480215.639681533</v>
      </c>
      <c r="H155" s="78">
        <f t="shared" si="15"/>
        <v>-0.23577913216970259</v>
      </c>
      <c r="I155" s="68">
        <v>74.290000000000006</v>
      </c>
      <c r="J155" s="68">
        <v>11.31</v>
      </c>
      <c r="K155" s="65">
        <v>0</v>
      </c>
      <c r="L155" s="70">
        <f t="shared" si="16"/>
        <v>-0.84775878314712616</v>
      </c>
      <c r="M155" s="95">
        <f t="shared" si="17"/>
        <v>515722.69989967486</v>
      </c>
    </row>
    <row r="156" spans="1:13" ht="15" customHeight="1" x14ac:dyDescent="0.25">
      <c r="A156" s="65" t="str">
        <f>_xlfn.XLOOKUP(C156,'Sectors &amp; Company Names'!$B$2:$B$2814,'Sectors &amp; Company Names'!$C$2:$C$2814)</f>
        <v>Household &amp; Personal Products</v>
      </c>
      <c r="B156" s="65" t="str">
        <f>_xlfn.XLOOKUP(C156,'Sectors &amp; Company Names'!$B$2:$B$2814,'Sectors &amp; Company Names'!$A$2:$A$2814)</f>
        <v>CLOROX CO CLX</v>
      </c>
      <c r="C156" s="65" t="s">
        <v>1295</v>
      </c>
      <c r="D156" s="66">
        <v>3.9561559999999494E-3</v>
      </c>
      <c r="E156" s="67">
        <f t="shared" si="12"/>
        <v>38650682.172208905</v>
      </c>
      <c r="F156" s="67">
        <f t="shared" si="13"/>
        <v>241003814.69390914</v>
      </c>
      <c r="G156" s="71">
        <f t="shared" si="14"/>
        <v>202353132.52170023</v>
      </c>
      <c r="H156" s="78">
        <f t="shared" si="15"/>
        <v>0.29883024539175795</v>
      </c>
      <c r="I156" s="68">
        <v>25.06</v>
      </c>
      <c r="J156" s="68">
        <v>156.26</v>
      </c>
      <c r="K156" s="69">
        <v>42.180900000000001</v>
      </c>
      <c r="L156" s="70">
        <f t="shared" si="16"/>
        <v>5.2354349561053466</v>
      </c>
      <c r="M156" s="95">
        <f t="shared" si="17"/>
        <v>1542325.7051958861</v>
      </c>
    </row>
    <row r="157" spans="1:13" ht="15" customHeight="1" x14ac:dyDescent="0.25">
      <c r="A157" s="65" t="str">
        <f>_xlfn.XLOOKUP(C157,'Sectors &amp; Company Names'!$B$2:$B$2814,'Sectors &amp; Company Names'!$C$2:$C$2814)</f>
        <v>Insurance - Property &amp; Casualty</v>
      </c>
      <c r="B157" s="65" t="str">
        <f>_xlfn.XLOOKUP(C157,'Sectors &amp; Company Names'!$B$2:$B$2814,'Sectors &amp; Company Names'!$A$2:$A$2814)</f>
        <v>CNA FINANCIAL CORP CNA</v>
      </c>
      <c r="C157" s="65" t="s">
        <v>1414</v>
      </c>
      <c r="D157" s="66">
        <v>3.5209160000000176E-3</v>
      </c>
      <c r="E157" s="67">
        <f t="shared" si="12"/>
        <v>34398493.201746218</v>
      </c>
      <c r="F157" s="67">
        <f t="shared" si="13"/>
        <v>46728342.713021487</v>
      </c>
      <c r="G157" s="71">
        <f t="shared" si="14"/>
        <v>12329849.511275269</v>
      </c>
      <c r="H157" s="78">
        <f t="shared" si="15"/>
        <v>4.4734295041413574E-2</v>
      </c>
      <c r="I157" s="68">
        <v>34.65</v>
      </c>
      <c r="J157" s="68">
        <v>47.07</v>
      </c>
      <c r="K157" s="69">
        <v>13.491199999999999</v>
      </c>
      <c r="L157" s="70">
        <f t="shared" si="16"/>
        <v>0.35844155844155851</v>
      </c>
      <c r="M157" s="95">
        <f t="shared" si="17"/>
        <v>992741.50654390245</v>
      </c>
    </row>
    <row r="158" spans="1:13" ht="15" customHeight="1" x14ac:dyDescent="0.25">
      <c r="A158" s="65" t="str">
        <f>_xlfn.XLOOKUP(C158,'Sectors &amp; Company Names'!$B$2:$B$2814,'Sectors &amp; Company Names'!$C$2:$C$2814)</f>
        <v>Banks - Regional - US</v>
      </c>
      <c r="B158" s="65" t="str">
        <f>_xlfn.XLOOKUP(C158,'Sectors &amp; Company Names'!$B$2:$B$2814,'Sectors &amp; Company Names'!$A$2:$A$2814)</f>
        <v>CNB FINL CORP PA CCNE</v>
      </c>
      <c r="C158" s="65" t="s">
        <v>276</v>
      </c>
      <c r="D158" s="66">
        <v>1.8361160000000003E-3</v>
      </c>
      <c r="E158" s="67">
        <f t="shared" si="12"/>
        <v>17938406.864468552</v>
      </c>
      <c r="F158" s="67">
        <f t="shared" si="13"/>
        <v>13750072.954031551</v>
      </c>
      <c r="G158" s="71">
        <f t="shared" si="14"/>
        <v>-4188333.9104370009</v>
      </c>
      <c r="H158" s="78">
        <f t="shared" si="15"/>
        <v>-3.7273294869660023E-2</v>
      </c>
      <c r="I158" s="68">
        <v>33.15</v>
      </c>
      <c r="J158" s="68">
        <v>25.41</v>
      </c>
      <c r="K158" s="69">
        <v>10.5565</v>
      </c>
      <c r="L158" s="70">
        <f t="shared" si="16"/>
        <v>-0.23348416289592758</v>
      </c>
      <c r="M158" s="95">
        <f t="shared" si="17"/>
        <v>541128.41220116301</v>
      </c>
    </row>
    <row r="159" spans="1:13" ht="15" customHeight="1" x14ac:dyDescent="0.25">
      <c r="A159" s="65" t="str">
        <f>_xlfn.XLOOKUP(C159,'Sectors &amp; Company Names'!$B$2:$B$2814,'Sectors &amp; Company Names'!$C$2:$C$2814)</f>
        <v>Biotechnology</v>
      </c>
      <c r="B159" s="65" t="str">
        <f>_xlfn.XLOOKUP(C159,'Sectors &amp; Company Names'!$B$2:$B$2814,'Sectors &amp; Company Names'!$A$2:$A$2814)</f>
        <v>CODEXIS INC CDXS</v>
      </c>
      <c r="C159" s="65" t="s">
        <v>517</v>
      </c>
      <c r="D159" s="66">
        <v>4.4713159999998694E-3</v>
      </c>
      <c r="E159" s="67">
        <f t="shared" si="12"/>
        <v>43683670.109952591</v>
      </c>
      <c r="F159" s="67">
        <f t="shared" si="13"/>
        <v>4378792.7079188796</v>
      </c>
      <c r="G159" s="71">
        <f t="shared" si="14"/>
        <v>-39304877.402033709</v>
      </c>
      <c r="H159" s="78">
        <f t="shared" si="15"/>
        <v>-0.28006920233709665</v>
      </c>
      <c r="I159" s="68">
        <v>41.9</v>
      </c>
      <c r="J159" s="68">
        <v>4.2</v>
      </c>
      <c r="K159" s="69">
        <v>0</v>
      </c>
      <c r="L159" s="70">
        <f t="shared" si="16"/>
        <v>-0.89976133651551304</v>
      </c>
      <c r="M159" s="95">
        <f t="shared" si="17"/>
        <v>1042569.6923616379</v>
      </c>
    </row>
    <row r="160" spans="1:13" ht="15" customHeight="1" x14ac:dyDescent="0.25">
      <c r="A160" s="65" t="str">
        <f>_xlfn.XLOOKUP(C160,'Sectors &amp; Company Names'!$B$2:$B$2814,'Sectors &amp; Company Names'!$C$2:$C$2814)</f>
        <v>Scientific &amp; Technical Instruments</v>
      </c>
      <c r="B160" s="65" t="str">
        <f>_xlfn.XLOOKUP(C160,'Sectors &amp; Company Names'!$B$2:$B$2814,'Sectors &amp; Company Names'!$A$2:$A$2814)</f>
        <v>COGNEX CORP CGNX</v>
      </c>
      <c r="C160" s="65" t="s">
        <v>2367</v>
      </c>
      <c r="D160" s="66">
        <v>4.1408359999999212E-3</v>
      </c>
      <c r="E160" s="67">
        <f t="shared" si="12"/>
        <v>40454960.866871744</v>
      </c>
      <c r="F160" s="67">
        <f t="shared" si="13"/>
        <v>105835085.17286958</v>
      </c>
      <c r="G160" s="71">
        <f t="shared" si="14"/>
        <v>65380124.305997834</v>
      </c>
      <c r="H160" s="78">
        <f t="shared" si="15"/>
        <v>0.14726940251475207</v>
      </c>
      <c r="I160" s="68">
        <v>12.53</v>
      </c>
      <c r="J160" s="68">
        <v>32.78</v>
      </c>
      <c r="K160" s="69">
        <v>53.283499999999997</v>
      </c>
      <c r="L160" s="70">
        <f t="shared" si="16"/>
        <v>1.6161213088587392</v>
      </c>
      <c r="M160" s="95">
        <f t="shared" si="17"/>
        <v>3228648.1138764359</v>
      </c>
    </row>
    <row r="161" spans="1:13" ht="15" customHeight="1" x14ac:dyDescent="0.25">
      <c r="A161" s="65" t="str">
        <f>_xlfn.XLOOKUP(C161,'Sectors &amp; Company Names'!$B$2:$B$2814,'Sectors &amp; Company Names'!$C$2:$C$2814)</f>
        <v>Information Technology Services</v>
      </c>
      <c r="B161" s="65" t="str">
        <f>_xlfn.XLOOKUP(C161,'Sectors &amp; Company Names'!$B$2:$B$2814,'Sectors &amp; Company Names'!$A$2:$A$2814)</f>
        <v>COGNIZANT TECH SOLUTIONS CTSH</v>
      </c>
      <c r="C161" s="65" t="s">
        <v>1344</v>
      </c>
      <c r="D161" s="66">
        <v>2.898836000000014E-3</v>
      </c>
      <c r="E161" s="67">
        <f t="shared" si="12"/>
        <v>28320922.861828338</v>
      </c>
      <c r="F161" s="67">
        <f t="shared" si="13"/>
        <v>39757234.410107307</v>
      </c>
      <c r="G161" s="71">
        <f t="shared" si="14"/>
        <v>11436311.548278969</v>
      </c>
      <c r="H161" s="78">
        <f t="shared" si="15"/>
        <v>4.9649031350198936E-2</v>
      </c>
      <c r="I161" s="68">
        <v>60.87</v>
      </c>
      <c r="J161" s="68">
        <v>85.45</v>
      </c>
      <c r="K161" s="69">
        <v>18.839500000000001</v>
      </c>
      <c r="L161" s="70">
        <f t="shared" si="16"/>
        <v>0.40381140134713334</v>
      </c>
      <c r="M161" s="95">
        <f t="shared" si="17"/>
        <v>465268.98080874555</v>
      </c>
    </row>
    <row r="162" spans="1:13" ht="15" customHeight="1" x14ac:dyDescent="0.25">
      <c r="A162" s="65" t="str">
        <f>_xlfn.XLOOKUP(C162,'Sectors &amp; Company Names'!$B$2:$B$2814,'Sectors &amp; Company Names'!$C$2:$C$2814)</f>
        <v>Scientific &amp; Technical Instruments</v>
      </c>
      <c r="B162" s="65" t="str">
        <f>_xlfn.XLOOKUP(C162,'Sectors &amp; Company Names'!$B$2:$B$2814,'Sectors &amp; Company Names'!$A$2:$A$2814)</f>
        <v>COHERENT INC COHR</v>
      </c>
      <c r="C162" s="65" t="s">
        <v>2368</v>
      </c>
      <c r="D162" s="66">
        <v>2.1979159999999972E-3</v>
      </c>
      <c r="E162" s="67">
        <f t="shared" si="12"/>
        <v>21473104.892024908</v>
      </c>
      <c r="F162" s="67">
        <f t="shared" si="13"/>
        <v>34384306.270968124</v>
      </c>
      <c r="G162" s="71">
        <f t="shared" si="14"/>
        <v>12911201.378943216</v>
      </c>
      <c r="H162" s="78">
        <f t="shared" si="15"/>
        <v>6.9570327076958982E-2</v>
      </c>
      <c r="I162" s="68">
        <v>51.84</v>
      </c>
      <c r="J162" s="68">
        <v>83.01</v>
      </c>
      <c r="K162" s="65">
        <v>0</v>
      </c>
      <c r="L162" s="70">
        <f t="shared" si="16"/>
        <v>0.60127314814814814</v>
      </c>
      <c r="M162" s="95">
        <f t="shared" si="17"/>
        <v>414218.84436776437</v>
      </c>
    </row>
    <row r="163" spans="1:13" ht="15" customHeight="1" x14ac:dyDescent="0.25">
      <c r="A163" s="65" t="str">
        <f>_xlfn.XLOOKUP(C163,'Sectors &amp; Company Names'!$B$2:$B$2814,'Sectors &amp; Company Names'!$C$2:$C$2814)</f>
        <v>Household &amp; Personal Products</v>
      </c>
      <c r="B163" s="65" t="str">
        <f>_xlfn.XLOOKUP(C163,'Sectors &amp; Company Names'!$B$2:$B$2814,'Sectors &amp; Company Names'!$A$2:$A$2814)</f>
        <v>COLGATE PALMOLIVE CO CL</v>
      </c>
      <c r="C163" s="65" t="s">
        <v>1296</v>
      </c>
      <c r="D163" s="66">
        <v>4.4237959999998766E-3</v>
      </c>
      <c r="E163" s="67">
        <f t="shared" si="12"/>
        <v>43219411.264542274</v>
      </c>
      <c r="F163" s="67">
        <f t="shared" si="13"/>
        <v>74288569.767069325</v>
      </c>
      <c r="G163" s="71">
        <f t="shared" si="14"/>
        <v>31069158.502527051</v>
      </c>
      <c r="H163" s="78">
        <f t="shared" si="15"/>
        <v>8.0453708210674213E-2</v>
      </c>
      <c r="I163" s="68">
        <v>51.88</v>
      </c>
      <c r="J163" s="68">
        <v>89.174999999999997</v>
      </c>
      <c r="K163" s="69">
        <v>25.863600000000002</v>
      </c>
      <c r="L163" s="70">
        <f t="shared" si="16"/>
        <v>0.71887047031611395</v>
      </c>
      <c r="M163" s="95">
        <f t="shared" si="17"/>
        <v>833064.98196881777</v>
      </c>
    </row>
    <row r="164" spans="1:13" ht="15" customHeight="1" x14ac:dyDescent="0.25">
      <c r="A164" s="65" t="str">
        <f>_xlfn.XLOOKUP(C164,'Sectors &amp; Company Names'!$B$2:$B$2814,'Sectors &amp; Company Names'!$C$2:$C$2814)</f>
        <v>Apparel Manufacturing</v>
      </c>
      <c r="B164" s="65" t="str">
        <f>_xlfn.XLOOKUP(C164,'Sectors &amp; Company Names'!$B$2:$B$2814,'Sectors &amp; Company Names'!$A$2:$A$2814)</f>
        <v>COLUMBIA SPORTSWEAR CO COLM</v>
      </c>
      <c r="C164" s="65" t="s">
        <v>75</v>
      </c>
      <c r="D164" s="66">
        <v>3.3502760000000248E-3</v>
      </c>
      <c r="E164" s="67">
        <f t="shared" si="12"/>
        <v>32731381.89322716</v>
      </c>
      <c r="F164" s="67">
        <f t="shared" si="13"/>
        <v>34354737.627262652</v>
      </c>
      <c r="G164" s="71">
        <f t="shared" si="14"/>
        <v>1623355.7340354919</v>
      </c>
      <c r="H164" s="78">
        <f t="shared" si="15"/>
        <v>6.9390533960376199E-3</v>
      </c>
      <c r="I164" s="68">
        <v>86.7</v>
      </c>
      <c r="J164" s="68">
        <v>91</v>
      </c>
      <c r="K164" s="69">
        <v>23.476099999999999</v>
      </c>
      <c r="L164" s="70">
        <f t="shared" si="16"/>
        <v>4.959630911188001E-2</v>
      </c>
      <c r="M164" s="95">
        <f t="shared" si="17"/>
        <v>377524.58931057859</v>
      </c>
    </row>
    <row r="165" spans="1:13" ht="15" customHeight="1" x14ac:dyDescent="0.25">
      <c r="A165" s="65" t="str">
        <f>_xlfn.XLOOKUP(C165,'Sectors &amp; Company Names'!$B$2:$B$2814,'Sectors &amp; Company Names'!$C$2:$C$2814)</f>
        <v>Farm &amp; Construction Equipment</v>
      </c>
      <c r="B165" s="65" t="str">
        <f>_xlfn.XLOOKUP(C165,'Sectors &amp; Company Names'!$B$2:$B$2814,'Sectors &amp; Company Names'!$A$2:$A$2814)</f>
        <v>COLUMBUS MCKINNON CORP CMCO</v>
      </c>
      <c r="C165" s="65" t="s">
        <v>1178</v>
      </c>
      <c r="D165" s="66">
        <v>3.3124760000000238E-3</v>
      </c>
      <c r="E165" s="67">
        <f t="shared" si="12"/>
        <v>32362085.084377974</v>
      </c>
      <c r="F165" s="67">
        <f t="shared" si="13"/>
        <v>43355574.709644377</v>
      </c>
      <c r="G165" s="71">
        <f t="shared" si="14"/>
        <v>10993489.625266403</v>
      </c>
      <c r="H165" s="78">
        <f t="shared" si="15"/>
        <v>4.2663245298666164E-2</v>
      </c>
      <c r="I165" s="68">
        <v>14.13</v>
      </c>
      <c r="J165" s="68">
        <v>18.93</v>
      </c>
      <c r="K165" s="69">
        <v>59.602600000000002</v>
      </c>
      <c r="L165" s="70">
        <f t="shared" si="16"/>
        <v>0.33970276008492561</v>
      </c>
      <c r="M165" s="95">
        <f t="shared" si="17"/>
        <v>2290310.3385971673</v>
      </c>
    </row>
    <row r="166" spans="1:13" ht="15" customHeight="1" x14ac:dyDescent="0.25">
      <c r="A166" s="65" t="str">
        <f>_xlfn.XLOOKUP(C166,'Sectors &amp; Company Names'!$B$2:$B$2814,'Sectors &amp; Company Names'!$C$2:$C$2814)</f>
        <v>Pay TV</v>
      </c>
      <c r="B166" s="65" t="str">
        <f>_xlfn.XLOOKUP(C166,'Sectors &amp; Company Names'!$B$2:$B$2814,'Sectors &amp; Company Names'!$A$2:$A$2814)</f>
        <v>COMCAST CORP CL A CMCSA</v>
      </c>
      <c r="C166" s="65" t="s">
        <v>1928</v>
      </c>
      <c r="D166" s="66">
        <v>4.4421559999998734E-3</v>
      </c>
      <c r="E166" s="67">
        <f t="shared" si="12"/>
        <v>43398784.000268981</v>
      </c>
      <c r="F166" s="67">
        <f t="shared" si="13"/>
        <v>14050187.771769281</v>
      </c>
      <c r="G166" s="71">
        <f t="shared" si="14"/>
        <v>-29348596.228499699</v>
      </c>
      <c r="H166" s="78">
        <f t="shared" si="15"/>
        <v>-0.14880468636529409</v>
      </c>
      <c r="I166" s="68">
        <v>112.65</v>
      </c>
      <c r="J166" s="68">
        <v>36.47</v>
      </c>
      <c r="K166" s="69">
        <v>8.7616999999999994</v>
      </c>
      <c r="L166" s="70">
        <f t="shared" si="16"/>
        <v>-0.67625388371060813</v>
      </c>
      <c r="M166" s="95">
        <f t="shared" si="17"/>
        <v>385253.29782750981</v>
      </c>
    </row>
    <row r="167" spans="1:13" ht="15" customHeight="1" x14ac:dyDescent="0.25">
      <c r="A167" s="65" t="str">
        <f>_xlfn.XLOOKUP(C167,'Sectors &amp; Company Names'!$B$2:$B$2814,'Sectors &amp; Company Names'!$C$2:$C$2814)</f>
        <v>Banks - Regional - US</v>
      </c>
      <c r="B167" s="65" t="str">
        <f>_xlfn.XLOOKUP(C167,'Sectors &amp; Company Names'!$B$2:$B$2814,'Sectors &amp; Company Names'!$A$2:$A$2814)</f>
        <v>COMERICA INC CMA</v>
      </c>
      <c r="C167" s="65" t="s">
        <v>280</v>
      </c>
      <c r="D167" s="66">
        <v>4.3924759999998822E-3</v>
      </c>
      <c r="E167" s="67">
        <f t="shared" si="12"/>
        <v>42913422.480067298</v>
      </c>
      <c r="F167" s="67">
        <f t="shared" si="13"/>
        <v>230475279.65358564</v>
      </c>
      <c r="G167" s="71">
        <f t="shared" si="14"/>
        <v>187561857.17351836</v>
      </c>
      <c r="H167" s="78">
        <f t="shared" si="15"/>
        <v>0.27142331516531759</v>
      </c>
      <c r="I167" s="68">
        <v>12.22</v>
      </c>
      <c r="J167" s="68">
        <v>65.63</v>
      </c>
      <c r="K167" s="69">
        <v>13.067</v>
      </c>
      <c r="L167" s="70">
        <f t="shared" si="16"/>
        <v>4.3707037643207851</v>
      </c>
      <c r="M167" s="95">
        <f t="shared" si="17"/>
        <v>3511736.7004965055</v>
      </c>
    </row>
    <row r="168" spans="1:13" ht="15" customHeight="1" x14ac:dyDescent="0.25">
      <c r="A168" s="65" t="str">
        <f>_xlfn.XLOOKUP(C168,'Sectors &amp; Company Names'!$B$2:$B$2814,'Sectors &amp; Company Names'!$C$2:$C$2814)</f>
        <v>Steel</v>
      </c>
      <c r="B168" s="65" t="str">
        <f>_xlfn.XLOOKUP(C168,'Sectors &amp; Company Names'!$B$2:$B$2814,'Sectors &amp; Company Names'!$A$2:$A$2814)</f>
        <v>COMMERCIAL METALS CO CMC</v>
      </c>
      <c r="C168" s="65" t="s">
        <v>2757</v>
      </c>
      <c r="D168" s="66">
        <v>2.568356000000006E-3</v>
      </c>
      <c r="E168" s="67">
        <f t="shared" si="12"/>
        <v>25092213.618746907</v>
      </c>
      <c r="F168" s="67">
        <f t="shared" si="13"/>
        <v>5772230.8676881287</v>
      </c>
      <c r="G168" s="71">
        <f t="shared" si="14"/>
        <v>-19319982.75105878</v>
      </c>
      <c r="H168" s="78">
        <f t="shared" si="15"/>
        <v>-0.18935773098599484</v>
      </c>
      <c r="I168" s="68">
        <v>218.57</v>
      </c>
      <c r="J168" s="68">
        <v>50.28</v>
      </c>
      <c r="K168" s="69">
        <v>45.191800000000001</v>
      </c>
      <c r="L168" s="70">
        <f t="shared" si="16"/>
        <v>-0.76995928077961295</v>
      </c>
      <c r="M168" s="95">
        <f t="shared" si="17"/>
        <v>114801.72767876151</v>
      </c>
    </row>
    <row r="169" spans="1:13" ht="15" customHeight="1" x14ac:dyDescent="0.25">
      <c r="A169" s="65" t="str">
        <f>_xlfn.XLOOKUP(C169,'Sectors &amp; Company Names'!$B$2:$B$2814,'Sectors &amp; Company Names'!$C$2:$C$2814)</f>
        <v>REIT - Healthcare Facilities</v>
      </c>
      <c r="B169" s="65" t="str">
        <f>_xlfn.XLOOKUP(C169,'Sectors &amp; Company Names'!$B$2:$B$2814,'Sectors &amp; Company Names'!$A$2:$A$2814)</f>
        <v>COMMUNITY HEALTHCARE TR CHCT</v>
      </c>
      <c r="C169" s="65" t="s">
        <v>2070</v>
      </c>
      <c r="D169" s="66">
        <v>2.9247560000000149E-3</v>
      </c>
      <c r="E169" s="67">
        <f t="shared" si="12"/>
        <v>28574154.959324922</v>
      </c>
      <c r="F169" s="67">
        <f t="shared" si="13"/>
        <v>13449685.791908465</v>
      </c>
      <c r="G169" s="71">
        <f t="shared" si="14"/>
        <v>-15124469.167416457</v>
      </c>
      <c r="H169" s="78">
        <f t="shared" si="15"/>
        <v>-0.10205778023049661</v>
      </c>
      <c r="I169" s="68">
        <v>38.9</v>
      </c>
      <c r="J169" s="68">
        <v>18.309999999999999</v>
      </c>
      <c r="K169" s="65">
        <v>0</v>
      </c>
      <c r="L169" s="70">
        <f t="shared" si="16"/>
        <v>-0.52930591259640103</v>
      </c>
      <c r="M169" s="95">
        <f t="shared" si="17"/>
        <v>734554.11206490803</v>
      </c>
    </row>
    <row r="170" spans="1:13" ht="15" customHeight="1" x14ac:dyDescent="0.25">
      <c r="A170" s="65" t="str">
        <f>_xlfn.XLOOKUP(C170,'Sectors &amp; Company Names'!$B$2:$B$2814,'Sectors &amp; Company Names'!$C$2:$C$2814)</f>
        <v>Business Services</v>
      </c>
      <c r="B170" s="65" t="str">
        <f>_xlfn.XLOOKUP(C170,'Sectors &amp; Company Names'!$B$2:$B$2814,'Sectors &amp; Company Names'!$A$2:$A$2814)</f>
        <v>CONDUENT INC CNDT</v>
      </c>
      <c r="C170" s="65" t="s">
        <v>678</v>
      </c>
      <c r="D170" s="66">
        <v>2.1309559999999959E-3</v>
      </c>
      <c r="E170" s="67">
        <f t="shared" si="12"/>
        <v>20818921.973492071</v>
      </c>
      <c r="F170" s="67">
        <f t="shared" si="13"/>
        <v>2744146.1300736484</v>
      </c>
      <c r="G170" s="71">
        <f t="shared" si="14"/>
        <v>-18074775.843418423</v>
      </c>
      <c r="H170" s="78">
        <f t="shared" si="15"/>
        <v>-0.25135069087541495</v>
      </c>
      <c r="I170" s="68">
        <v>28.45</v>
      </c>
      <c r="J170" s="68">
        <v>3.75</v>
      </c>
      <c r="K170" s="69">
        <v>1.7702</v>
      </c>
      <c r="L170" s="70">
        <f t="shared" si="16"/>
        <v>-0.86818980667838308</v>
      </c>
      <c r="M170" s="95">
        <f t="shared" si="17"/>
        <v>731772.30135297286</v>
      </c>
    </row>
    <row r="171" spans="1:13" ht="15" customHeight="1" x14ac:dyDescent="0.25">
      <c r="A171" s="65" t="str">
        <f>_xlfn.XLOOKUP(C171,'Sectors &amp; Company Names'!$B$2:$B$2814,'Sectors &amp; Company Names'!$C$2:$C$2814)</f>
        <v>Medical Devices</v>
      </c>
      <c r="B171" s="65" t="str">
        <f>_xlfn.XLOOKUP(C171,'Sectors &amp; Company Names'!$B$2:$B$2814,'Sectors &amp; Company Names'!$A$2:$A$2814)</f>
        <v>CONMED CORP CNMD</v>
      </c>
      <c r="C171" s="65" t="s">
        <v>1642</v>
      </c>
      <c r="D171" s="66">
        <v>2.8545560000000129E-3</v>
      </c>
      <c r="E171" s="67">
        <f t="shared" si="12"/>
        <v>27888318.028605007</v>
      </c>
      <c r="F171" s="67">
        <f t="shared" si="13"/>
        <v>39605172.406119369</v>
      </c>
      <c r="G171" s="71">
        <f t="shared" si="14"/>
        <v>11716854.377514362</v>
      </c>
      <c r="H171" s="78">
        <f t="shared" si="15"/>
        <v>5.1384013994924205E-2</v>
      </c>
      <c r="I171" s="68">
        <v>43.01</v>
      </c>
      <c r="J171" s="68">
        <v>61.08</v>
      </c>
      <c r="K171" s="69">
        <v>14.4284</v>
      </c>
      <c r="L171" s="70">
        <f t="shared" si="16"/>
        <v>0.42013485235991632</v>
      </c>
      <c r="M171" s="95">
        <f t="shared" si="17"/>
        <v>648414.74142304144</v>
      </c>
    </row>
    <row r="172" spans="1:13" ht="15" customHeight="1" x14ac:dyDescent="0.25">
      <c r="A172" s="65" t="str">
        <f>_xlfn.XLOOKUP(C172,'Sectors &amp; Company Names'!$B$2:$B$2814,'Sectors &amp; Company Names'!$C$2:$C$2814)</f>
        <v>Oil &amp; Gas E&amp;P</v>
      </c>
      <c r="B172" s="65" t="str">
        <f>_xlfn.XLOOKUP(C172,'Sectors &amp; Company Names'!$B$2:$B$2814,'Sectors &amp; Company Names'!$A$2:$A$2814)</f>
        <v>CONOCOPHILLIPS COP</v>
      </c>
      <c r="C172" s="65" t="s">
        <v>1764</v>
      </c>
      <c r="D172" s="66">
        <v>1.9451959999999999E-3</v>
      </c>
      <c r="E172" s="67">
        <f t="shared" si="12"/>
        <v>19004091.941433311</v>
      </c>
      <c r="F172" s="67">
        <f t="shared" si="13"/>
        <v>60938047.515832528</v>
      </c>
      <c r="G172" s="71">
        <f t="shared" si="14"/>
        <v>41933955.574399218</v>
      </c>
      <c r="H172" s="78">
        <f t="shared" si="15"/>
        <v>0.18111349141553812</v>
      </c>
      <c r="I172" s="68">
        <v>30.57</v>
      </c>
      <c r="J172" s="68">
        <v>98.025000000000006</v>
      </c>
      <c r="K172" s="69">
        <v>12.591900000000001</v>
      </c>
      <c r="L172" s="70">
        <f t="shared" si="16"/>
        <v>2.2065750736015706</v>
      </c>
      <c r="M172" s="95">
        <f t="shared" si="17"/>
        <v>621658.22510413185</v>
      </c>
    </row>
    <row r="173" spans="1:13" ht="15" customHeight="1" x14ac:dyDescent="0.25">
      <c r="A173" s="65" t="str">
        <f>_xlfn.XLOOKUP(C173,'Sectors &amp; Company Names'!$B$2:$B$2814,'Sectors &amp; Company Names'!$C$2:$C$2814)</f>
        <v>Oil &amp; Gas E&amp;P</v>
      </c>
      <c r="B173" s="65" t="str">
        <f>_xlfn.XLOOKUP(C173,'Sectors &amp; Company Names'!$B$2:$B$2814,'Sectors &amp; Company Names'!$A$2:$A$2814)</f>
        <v>CONSOL ENERGY INC CNX</v>
      </c>
      <c r="C173" s="65" t="s">
        <v>1765</v>
      </c>
      <c r="D173" s="66">
        <v>2.1352759999999959E-3</v>
      </c>
      <c r="E173" s="67">
        <f t="shared" si="12"/>
        <v>20861127.323074833</v>
      </c>
      <c r="F173" s="67">
        <f t="shared" si="13"/>
        <v>377646.38632283406</v>
      </c>
      <c r="G173" s="71">
        <f t="shared" si="14"/>
        <v>-20483480.936751999</v>
      </c>
      <c r="H173" s="78">
        <f t="shared" si="15"/>
        <v>-0.43622372706011936</v>
      </c>
      <c r="I173" s="68">
        <v>1624.88</v>
      </c>
      <c r="J173" s="68">
        <v>29.414999999999999</v>
      </c>
      <c r="K173" s="65">
        <v>0</v>
      </c>
      <c r="L173" s="70">
        <f t="shared" si="16"/>
        <v>-0.98189712471074786</v>
      </c>
      <c r="M173" s="95">
        <f t="shared" si="17"/>
        <v>12838.564892838147</v>
      </c>
    </row>
    <row r="174" spans="1:13" ht="15" customHeight="1" x14ac:dyDescent="0.25">
      <c r="A174" s="65" t="str">
        <f>_xlfn.XLOOKUP(C174,'Sectors &amp; Company Names'!$B$2:$B$2814,'Sectors &amp; Company Names'!$C$2:$C$2814)</f>
        <v>Telecom Services</v>
      </c>
      <c r="B174" s="65" t="str">
        <f>_xlfn.XLOOKUP(C174,'Sectors &amp; Company Names'!$B$2:$B$2814,'Sectors &amp; Company Names'!$A$2:$A$2814)</f>
        <v>CONSOLIDATED COMM CNSL</v>
      </c>
      <c r="C174" s="65" t="s">
        <v>2778</v>
      </c>
      <c r="D174" s="66">
        <v>3.9496759999999506E-3</v>
      </c>
      <c r="E174" s="67">
        <f t="shared" si="12"/>
        <v>38587374.147834778</v>
      </c>
      <c r="F174" s="67">
        <f t="shared" si="13"/>
        <v>9160625.7107715886</v>
      </c>
      <c r="G174" s="71">
        <f t="shared" si="14"/>
        <v>-29426748.437063187</v>
      </c>
      <c r="H174" s="78">
        <f t="shared" si="15"/>
        <v>-0.1857029814254898</v>
      </c>
      <c r="I174" s="68">
        <v>13.69</v>
      </c>
      <c r="J174" s="68">
        <v>3.25</v>
      </c>
      <c r="K174" s="69">
        <v>65</v>
      </c>
      <c r="L174" s="70">
        <f t="shared" si="16"/>
        <v>-0.7626004382761139</v>
      </c>
      <c r="M174" s="95">
        <f t="shared" si="17"/>
        <v>2818654.0648527965</v>
      </c>
    </row>
    <row r="175" spans="1:13" ht="15" customHeight="1" x14ac:dyDescent="0.25">
      <c r="A175" s="65" t="str">
        <f>_xlfn.XLOOKUP(C175,'Sectors &amp; Company Names'!$B$2:$B$2814,'Sectors &amp; Company Names'!$C$2:$C$2814)</f>
        <v>Medical Instruments &amp; Supplies</v>
      </c>
      <c r="B175" s="65" t="str">
        <f>_xlfn.XLOOKUP(C175,'Sectors &amp; Company Names'!$B$2:$B$2814,'Sectors &amp; Company Names'!$A$2:$A$2814)</f>
        <v>COOPER COMPANIES INC COO</v>
      </c>
      <c r="C175" s="65" t="s">
        <v>1711</v>
      </c>
      <c r="D175" s="66">
        <v>3.8438359999999673E-3</v>
      </c>
      <c r="E175" s="67">
        <f t="shared" si="12"/>
        <v>37553343.083057247</v>
      </c>
      <c r="F175" s="67">
        <f t="shared" si="13"/>
        <v>41702909.777673259</v>
      </c>
      <c r="G175" s="71">
        <f t="shared" si="14"/>
        <v>4149566.6946160123</v>
      </c>
      <c r="H175" s="78">
        <f t="shared" si="15"/>
        <v>1.5085294516953063E-2</v>
      </c>
      <c r="I175" s="68">
        <v>79.73</v>
      </c>
      <c r="J175" s="68">
        <v>88.54</v>
      </c>
      <c r="K175" s="69">
        <v>45.2121</v>
      </c>
      <c r="L175" s="70">
        <f t="shared" si="16"/>
        <v>0.1104979305154898</v>
      </c>
      <c r="M175" s="95">
        <f t="shared" si="17"/>
        <v>471006.43525720865</v>
      </c>
    </row>
    <row r="176" spans="1:13" ht="15" customHeight="1" x14ac:dyDescent="0.25">
      <c r="A176" s="65" t="str">
        <f>_xlfn.XLOOKUP(C176,'Sectors &amp; Company Names'!$B$2:$B$2814,'Sectors &amp; Company Names'!$C$2:$C$2814)</f>
        <v>Auto &amp; Truck Dealerships</v>
      </c>
      <c r="B176" s="65" t="str">
        <f>_xlfn.XLOOKUP(C176,'Sectors &amp; Company Names'!$B$2:$B$2814,'Sectors &amp; Company Names'!$A$2:$A$2814)</f>
        <v>COPART INC CPRT</v>
      </c>
      <c r="C176" s="65" t="s">
        <v>156</v>
      </c>
      <c r="D176" s="66">
        <v>3.0392360000000176E-3</v>
      </c>
      <c r="E176" s="67">
        <f t="shared" si="12"/>
        <v>29692596.723268166</v>
      </c>
      <c r="F176" s="67">
        <f t="shared" si="13"/>
        <v>24029008.829755902</v>
      </c>
      <c r="G176" s="71">
        <f t="shared" si="14"/>
        <v>-5663587.8935122639</v>
      </c>
      <c r="H176" s="78">
        <f t="shared" si="15"/>
        <v>-2.9781239236623791E-2</v>
      </c>
      <c r="I176" s="68">
        <v>70.2</v>
      </c>
      <c r="J176" s="68">
        <v>56.81</v>
      </c>
      <c r="K176" s="69">
        <v>38.0105</v>
      </c>
      <c r="L176" s="70">
        <f t="shared" si="16"/>
        <v>-0.19074074074074074</v>
      </c>
      <c r="M176" s="95">
        <f t="shared" si="17"/>
        <v>422971.46329441824</v>
      </c>
    </row>
    <row r="177" spans="1:13" ht="15" customHeight="1" x14ac:dyDescent="0.25">
      <c r="A177" s="65" t="str">
        <f>_xlfn.XLOOKUP(C177,'Sectors &amp; Company Names'!$B$2:$B$2814,'Sectors &amp; Company Names'!$C$2:$C$2814)</f>
        <v>Biotechnology</v>
      </c>
      <c r="B177" s="65" t="str">
        <f>_xlfn.XLOOKUP(C177,'Sectors &amp; Company Names'!$B$2:$B$2814,'Sectors &amp; Company Names'!$A$2:$A$2814)</f>
        <v>CORCEPT THERAPEUTICS INC CORT</v>
      </c>
      <c r="C177" s="65" t="s">
        <v>520</v>
      </c>
      <c r="D177" s="66">
        <v>2.7703160000000109E-3</v>
      </c>
      <c r="E177" s="67">
        <f t="shared" si="12"/>
        <v>27065313.711741116</v>
      </c>
      <c r="F177" s="67">
        <f t="shared" si="13"/>
        <v>41670025.493106842</v>
      </c>
      <c r="G177" s="71">
        <f t="shared" si="14"/>
        <v>14604711.781365726</v>
      </c>
      <c r="H177" s="78">
        <f t="shared" si="15"/>
        <v>6.3586845367444855E-2</v>
      </c>
      <c r="I177" s="68">
        <v>41.53</v>
      </c>
      <c r="J177" s="68">
        <v>63.94</v>
      </c>
      <c r="K177" s="69">
        <v>50.043300000000002</v>
      </c>
      <c r="L177" s="70">
        <f t="shared" si="16"/>
        <v>0.53960992053936907</v>
      </c>
      <c r="M177" s="95">
        <f t="shared" si="17"/>
        <v>651705.12188155844</v>
      </c>
    </row>
    <row r="178" spans="1:13" ht="15" customHeight="1" x14ac:dyDescent="0.25">
      <c r="A178" s="65" t="str">
        <f>_xlfn.XLOOKUP(C178,'Sectors &amp; Company Names'!$B$2:$B$2814,'Sectors &amp; Company Names'!$C$2:$C$2814)</f>
        <v>Electronic Components</v>
      </c>
      <c r="B178" s="65" t="str">
        <f>_xlfn.XLOOKUP(C178,'Sectors &amp; Company Names'!$B$2:$B$2814,'Sectors &amp; Company Names'!$A$2:$A$2814)</f>
        <v>CORNING INC GLW</v>
      </c>
      <c r="C178" s="65" t="s">
        <v>1119</v>
      </c>
      <c r="D178" s="66">
        <v>3.3815960000000258E-3</v>
      </c>
      <c r="E178" s="67">
        <f t="shared" si="12"/>
        <v>33037370.6777022</v>
      </c>
      <c r="F178" s="67">
        <f t="shared" si="13"/>
        <v>111823842.07532181</v>
      </c>
      <c r="G178" s="71">
        <f t="shared" si="14"/>
        <v>78786471.397619605</v>
      </c>
      <c r="H178" s="78">
        <f t="shared" si="15"/>
        <v>0.19027411901329061</v>
      </c>
      <c r="I178" s="68">
        <v>15.1</v>
      </c>
      <c r="J178" s="68">
        <v>51.11</v>
      </c>
      <c r="K178" s="69">
        <v>89.077799999999996</v>
      </c>
      <c r="L178" s="70">
        <f t="shared" si="16"/>
        <v>2.3847682119205298</v>
      </c>
      <c r="M178" s="95">
        <f t="shared" si="17"/>
        <v>2187905.3428941853</v>
      </c>
    </row>
    <row r="179" spans="1:13" ht="15" customHeight="1" x14ac:dyDescent="0.25">
      <c r="A179" s="65" t="str">
        <f>_xlfn.XLOOKUP(C179,'Sectors &amp; Company Names'!$B$2:$B$2814,'Sectors &amp; Company Names'!$C$2:$C$2814)</f>
        <v>Insurance Brokers</v>
      </c>
      <c r="B179" s="65" t="str">
        <f>_xlfn.XLOOKUP(C179,'Sectors &amp; Company Names'!$B$2:$B$2814,'Sectors &amp; Company Names'!$A$2:$A$2814)</f>
        <v>CORVEL CORP CRVL</v>
      </c>
      <c r="C179" s="65" t="s">
        <v>1469</v>
      </c>
      <c r="D179" s="66">
        <v>2.2205959999999979E-3</v>
      </c>
      <c r="E179" s="67">
        <f t="shared" si="12"/>
        <v>21694682.977334417</v>
      </c>
      <c r="F179" s="67">
        <f t="shared" si="13"/>
        <v>103751019.81106599</v>
      </c>
      <c r="G179" s="71">
        <f t="shared" si="14"/>
        <v>82056336.833731562</v>
      </c>
      <c r="H179" s="78">
        <f t="shared" si="15"/>
        <v>0.25052188086535288</v>
      </c>
      <c r="I179" s="68">
        <v>22.97</v>
      </c>
      <c r="J179" s="68">
        <v>109.85</v>
      </c>
      <c r="K179" s="69">
        <v>63.993899999999996</v>
      </c>
      <c r="L179" s="70">
        <f t="shared" si="16"/>
        <v>3.7823247714410102</v>
      </c>
      <c r="M179" s="95">
        <f t="shared" si="17"/>
        <v>944479.0151212198</v>
      </c>
    </row>
    <row r="180" spans="1:13" ht="15" customHeight="1" x14ac:dyDescent="0.25">
      <c r="A180" s="65" t="str">
        <f>_xlfn.XLOOKUP(C180,'Sectors &amp; Company Names'!$B$2:$B$2814,'Sectors &amp; Company Names'!$C$2:$C$2814)</f>
        <v>Integrated Shipping &amp; Logistics</v>
      </c>
      <c r="B180" s="65" t="str">
        <f>_xlfn.XLOOKUP(C180,'Sectors &amp; Company Names'!$B$2:$B$2814,'Sectors &amp; Company Names'!$A$2:$A$2814)</f>
        <v>COSTAMARE INC CMRE</v>
      </c>
      <c r="C180" s="65" t="s">
        <v>1477</v>
      </c>
      <c r="D180" s="66">
        <v>3.4345160000000268E-3</v>
      </c>
      <c r="E180" s="67">
        <f t="shared" si="12"/>
        <v>33554386.210091051</v>
      </c>
      <c r="F180" s="67">
        <f t="shared" si="13"/>
        <v>3660553.8699666928</v>
      </c>
      <c r="G180" s="71">
        <f t="shared" si="14"/>
        <v>-29893832.340124357</v>
      </c>
      <c r="H180" s="78">
        <f t="shared" si="15"/>
        <v>-0.27131051867636746</v>
      </c>
      <c r="I180" s="68">
        <v>242.82</v>
      </c>
      <c r="J180" s="68">
        <v>26.49</v>
      </c>
      <c r="K180" s="65">
        <v>0</v>
      </c>
      <c r="L180" s="70">
        <f t="shared" si="16"/>
        <v>-0.89090684457622926</v>
      </c>
      <c r="M180" s="95">
        <f t="shared" si="17"/>
        <v>138186.25405687781</v>
      </c>
    </row>
    <row r="181" spans="1:13" ht="15" customHeight="1" x14ac:dyDescent="0.25">
      <c r="A181" s="65" t="str">
        <f>_xlfn.XLOOKUP(C181,'Sectors &amp; Company Names'!$B$2:$B$2814,'Sectors &amp; Company Names'!$C$2:$C$2814)</f>
        <v>Discount Stores</v>
      </c>
      <c r="B181" s="65" t="str">
        <f>_xlfn.XLOOKUP(C181,'Sectors &amp; Company Names'!$B$2:$B$2814,'Sectors &amp; Company Names'!$A$2:$A$2814)</f>
        <v>COSTCO WHOLESALE CORP COST</v>
      </c>
      <c r="C181" s="65" t="s">
        <v>964</v>
      </c>
      <c r="D181" s="66">
        <v>2.3890760000000017E-3</v>
      </c>
      <c r="E181" s="67">
        <f t="shared" si="12"/>
        <v>23340691.611062206</v>
      </c>
      <c r="F181" s="67">
        <f t="shared" si="13"/>
        <v>137891068.0622741</v>
      </c>
      <c r="G181" s="71">
        <f t="shared" si="14"/>
        <v>114550376.4512119</v>
      </c>
      <c r="H181" s="78">
        <f t="shared" si="15"/>
        <v>0.28885245209516053</v>
      </c>
      <c r="I181" s="68">
        <v>174.1</v>
      </c>
      <c r="J181" s="68">
        <v>1028.54</v>
      </c>
      <c r="K181" s="69">
        <v>60.777299999999997</v>
      </c>
      <c r="L181" s="70">
        <f t="shared" si="16"/>
        <v>4.9077541642734062</v>
      </c>
      <c r="M181" s="95">
        <f t="shared" si="17"/>
        <v>134064.85704228721</v>
      </c>
    </row>
    <row r="182" spans="1:13" ht="15" customHeight="1" x14ac:dyDescent="0.25">
      <c r="A182" s="65" t="str">
        <f>_xlfn.XLOOKUP(C182,'Sectors &amp; Company Names'!$B$2:$B$2814,'Sectors &amp; Company Names'!$C$2:$C$2814)</f>
        <v>REIT - Diversified</v>
      </c>
      <c r="B182" s="65" t="str">
        <f>_xlfn.XLOOKUP(C182,'Sectors &amp; Company Names'!$B$2:$B$2814,'Sectors &amp; Company Names'!$A$2:$A$2814)</f>
        <v>COUSINS PROPERTIES INC CUZ</v>
      </c>
      <c r="C182" s="65" t="s">
        <v>2035</v>
      </c>
      <c r="D182" s="66">
        <v>3.1504760000000201E-3</v>
      </c>
      <c r="E182" s="67">
        <f t="shared" si="12"/>
        <v>30779384.475024331</v>
      </c>
      <c r="F182" s="67">
        <f t="shared" si="13"/>
        <v>14168880.916380834</v>
      </c>
      <c r="G182" s="71">
        <f t="shared" si="14"/>
        <v>-16610503.558643498</v>
      </c>
      <c r="H182" s="78">
        <f t="shared" si="15"/>
        <v>-0.10490744334994717</v>
      </c>
      <c r="I182" s="68">
        <v>65.930000000000007</v>
      </c>
      <c r="J182" s="68">
        <v>30.35</v>
      </c>
      <c r="K182" s="69">
        <v>101.2915</v>
      </c>
      <c r="L182" s="70">
        <f t="shared" si="16"/>
        <v>-0.53966327923555291</v>
      </c>
      <c r="M182" s="95">
        <f t="shared" si="17"/>
        <v>466849.45358750684</v>
      </c>
    </row>
    <row r="183" spans="1:13" ht="15" customHeight="1" x14ac:dyDescent="0.25">
      <c r="A183" s="65" t="str">
        <f>_xlfn.XLOOKUP(C183,'Sectors &amp; Company Names'!$B$2:$B$2814,'Sectors &amp; Company Names'!$C$2:$C$2814)</f>
        <v>Credit Services</v>
      </c>
      <c r="B183" s="65" t="str">
        <f>_xlfn.XLOOKUP(C183,'Sectors &amp; Company Names'!$B$2:$B$2814,'Sectors &amp; Company Names'!$A$2:$A$2814)</f>
        <v>CREDIT ACCEP CORP MICH CACC</v>
      </c>
      <c r="C183" s="65" t="s">
        <v>880</v>
      </c>
      <c r="D183" s="66">
        <v>2.6331560000000076E-3</v>
      </c>
      <c r="E183" s="67">
        <f t="shared" si="12"/>
        <v>25725293.862488363</v>
      </c>
      <c r="F183" s="67">
        <f t="shared" si="13"/>
        <v>105978210.35002682</v>
      </c>
      <c r="G183" s="71">
        <f t="shared" si="14"/>
        <v>80252916.487538457</v>
      </c>
      <c r="H183" s="78">
        <f t="shared" si="15"/>
        <v>0.22415554823743489</v>
      </c>
      <c r="I183" s="68">
        <v>120.39</v>
      </c>
      <c r="J183" s="68">
        <v>495.96</v>
      </c>
      <c r="K183" s="69">
        <v>24.9634</v>
      </c>
      <c r="L183" s="70">
        <f t="shared" si="16"/>
        <v>3.1196112633939697</v>
      </c>
      <c r="M183" s="95">
        <f t="shared" si="17"/>
        <v>213682.97917176149</v>
      </c>
    </row>
    <row r="184" spans="1:13" ht="15" customHeight="1" x14ac:dyDescent="0.25">
      <c r="A184" s="65" t="str">
        <f>_xlfn.XLOOKUP(C184,'Sectors &amp; Company Names'!$B$2:$B$2814,'Sectors &amp; Company Names'!$C$2:$C$2814)</f>
        <v>Footwear &amp; Accessories</v>
      </c>
      <c r="B184" s="65" t="str">
        <f>_xlfn.XLOOKUP(C184,'Sectors &amp; Company Names'!$B$2:$B$2814,'Sectors &amp; Company Names'!$A$2:$A$2814)</f>
        <v>CROCS INC CROX</v>
      </c>
      <c r="C184" s="65" t="s">
        <v>1211</v>
      </c>
      <c r="D184" s="66">
        <v>3.5338760000000161E-3</v>
      </c>
      <c r="E184" s="67">
        <f t="shared" si="12"/>
        <v>34525109.250494495</v>
      </c>
      <c r="F184" s="67">
        <f t="shared" si="13"/>
        <v>57568550.304768853</v>
      </c>
      <c r="G184" s="71">
        <f t="shared" si="14"/>
        <v>23043441.054274358</v>
      </c>
      <c r="H184" s="78">
        <f t="shared" si="15"/>
        <v>7.5775035160833726E-2</v>
      </c>
      <c r="I184" s="68">
        <v>64.650000000000006</v>
      </c>
      <c r="J184" s="68">
        <v>107.8</v>
      </c>
      <c r="K184" s="69">
        <v>6.7332000000000001</v>
      </c>
      <c r="L184" s="70">
        <f t="shared" si="16"/>
        <v>0.6674400618716162</v>
      </c>
      <c r="M184" s="95">
        <f t="shared" si="17"/>
        <v>534031.07889395964</v>
      </c>
    </row>
    <row r="185" spans="1:13" ht="15" customHeight="1" x14ac:dyDescent="0.25">
      <c r="A185" s="65" t="str">
        <f>_xlfn.XLOOKUP(C185,'Sectors &amp; Company Names'!$B$2:$B$2814,'Sectors &amp; Company Names'!$C$2:$C$2814)</f>
        <v>Railroads</v>
      </c>
      <c r="B185" s="65" t="str">
        <f>_xlfn.XLOOKUP(C185,'Sectors &amp; Company Names'!$B$2:$B$2814,'Sectors &amp; Company Names'!$A$2:$A$2814)</f>
        <v>CSX CORP CSX</v>
      </c>
      <c r="C185" s="65" t="s">
        <v>1969</v>
      </c>
      <c r="D185" s="66">
        <v>2.2843159999999993E-3</v>
      </c>
      <c r="E185" s="67">
        <f t="shared" si="12"/>
        <v>22317211.883680183</v>
      </c>
      <c r="F185" s="67">
        <f t="shared" si="13"/>
        <v>71960265.130396783</v>
      </c>
      <c r="G185" s="71">
        <f t="shared" si="14"/>
        <v>49643053.246716604</v>
      </c>
      <c r="H185" s="78">
        <f t="shared" si="15"/>
        <v>0.18205073362581392</v>
      </c>
      <c r="I185" s="68">
        <v>10.07</v>
      </c>
      <c r="J185" s="68">
        <v>32.47</v>
      </c>
      <c r="K185" s="69">
        <v>18.067900000000002</v>
      </c>
      <c r="L185" s="70">
        <f t="shared" si="16"/>
        <v>2.2244289970208539</v>
      </c>
      <c r="M185" s="95">
        <f t="shared" si="17"/>
        <v>2216207.7342284196</v>
      </c>
    </row>
    <row r="186" spans="1:13" ht="15" customHeight="1" x14ac:dyDescent="0.25">
      <c r="A186" s="65" t="str">
        <f>_xlfn.XLOOKUP(C186,'Sectors &amp; Company Names'!$B$2:$B$2814,'Sectors &amp; Company Names'!$C$2:$C$2814)</f>
        <v>REIT - Industrial</v>
      </c>
      <c r="B186" s="65" t="str">
        <f>_xlfn.XLOOKUP(C186,'Sectors &amp; Company Names'!$B$2:$B$2814,'Sectors &amp; Company Names'!$A$2:$A$2814)</f>
        <v>CUBESMART CUBE</v>
      </c>
      <c r="C186" s="65" t="s">
        <v>2107</v>
      </c>
      <c r="D186" s="66">
        <v>2.9506760000000153E-3</v>
      </c>
      <c r="E186" s="67">
        <f t="shared" si="12"/>
        <v>28827387.056821506</v>
      </c>
      <c r="F186" s="67">
        <f t="shared" si="13"/>
        <v>36797569.032167301</v>
      </c>
      <c r="G186" s="71">
        <f t="shared" si="14"/>
        <v>7970181.9753457941</v>
      </c>
      <c r="H186" s="78">
        <f t="shared" si="15"/>
        <v>3.5487440400740367E-2</v>
      </c>
      <c r="I186" s="68">
        <v>32.950000000000003</v>
      </c>
      <c r="J186" s="68">
        <v>42.06</v>
      </c>
      <c r="K186" s="69">
        <v>23.409800000000001</v>
      </c>
      <c r="L186" s="70">
        <f t="shared" si="16"/>
        <v>0.27647951441578145</v>
      </c>
      <c r="M186" s="95">
        <f t="shared" si="17"/>
        <v>874882.76348471944</v>
      </c>
    </row>
    <row r="187" spans="1:13" ht="15" customHeight="1" x14ac:dyDescent="0.25">
      <c r="A187" s="65" t="str">
        <f>_xlfn.XLOOKUP(C187,'Sectors &amp; Company Names'!$B$2:$B$2814,'Sectors &amp; Company Names'!$C$2:$C$2814)</f>
        <v>Diversified Industrials</v>
      </c>
      <c r="B187" s="65" t="str">
        <f>_xlfn.XLOOKUP(C187,'Sectors &amp; Company Names'!$B$2:$B$2814,'Sectors &amp; Company Names'!$A$2:$A$2814)</f>
        <v>CUMMINS INC CMI</v>
      </c>
      <c r="C187" s="65" t="s">
        <v>992</v>
      </c>
      <c r="D187" s="66">
        <v>2.7681560000000108E-3</v>
      </c>
      <c r="E187" s="67">
        <f t="shared" si="12"/>
        <v>27044211.036949731</v>
      </c>
      <c r="F187" s="67">
        <f t="shared" si="13"/>
        <v>1674191461.7015414</v>
      </c>
      <c r="G187" s="71">
        <f t="shared" si="14"/>
        <v>1647147250.6645918</v>
      </c>
      <c r="H187" s="78">
        <f t="shared" si="15"/>
        <v>0.80285809301892486</v>
      </c>
      <c r="I187" s="68">
        <v>5.94</v>
      </c>
      <c r="J187" s="68">
        <v>367.72</v>
      </c>
      <c r="K187" s="69">
        <v>12.9977</v>
      </c>
      <c r="L187" s="70">
        <f t="shared" si="16"/>
        <v>60.90572390572391</v>
      </c>
      <c r="M187" s="95">
        <f t="shared" si="17"/>
        <v>4552897.4809679687</v>
      </c>
    </row>
    <row r="188" spans="1:13" ht="15" customHeight="1" x14ac:dyDescent="0.25">
      <c r="A188" s="65" t="str">
        <f>_xlfn.XLOOKUP(C188,'Sectors &amp; Company Names'!$B$2:$B$2814,'Sectors &amp; Company Names'!$C$2:$C$2814)</f>
        <v>Diversified Industrials</v>
      </c>
      <c r="B188" s="65" t="str">
        <f>_xlfn.XLOOKUP(C188,'Sectors &amp; Company Names'!$B$2:$B$2814,'Sectors &amp; Company Names'!$A$2:$A$2814)</f>
        <v>CURTISS WRIGHT CORP CW</v>
      </c>
      <c r="C188" s="65" t="s">
        <v>993</v>
      </c>
      <c r="D188" s="66">
        <v>1.776716E-3</v>
      </c>
      <c r="E188" s="67">
        <f t="shared" si="12"/>
        <v>17358083.307705559</v>
      </c>
      <c r="F188" s="67">
        <f t="shared" si="13"/>
        <v>667022472.03966498</v>
      </c>
      <c r="G188" s="71">
        <f t="shared" si="14"/>
        <v>649664388.73195946</v>
      </c>
      <c r="H188" s="78">
        <f t="shared" si="15"/>
        <v>0.68413521408319533</v>
      </c>
      <c r="I188" s="68">
        <v>8.31</v>
      </c>
      <c r="J188" s="68">
        <v>319.33</v>
      </c>
      <c r="K188" s="69">
        <v>29.948599999999999</v>
      </c>
      <c r="L188" s="70">
        <f t="shared" si="16"/>
        <v>37.427196149217806</v>
      </c>
      <c r="M188" s="95">
        <f t="shared" si="17"/>
        <v>2088818.6892545801</v>
      </c>
    </row>
    <row r="189" spans="1:13" ht="15" customHeight="1" x14ac:dyDescent="0.25">
      <c r="A189" s="65" t="str">
        <f>_xlfn.XLOOKUP(C189,'Sectors &amp; Company Names'!$B$2:$B$2814,'Sectors &amp; Company Names'!$C$2:$C$2814)</f>
        <v>Health Care Plans</v>
      </c>
      <c r="B189" s="65" t="str">
        <f>_xlfn.XLOOKUP(C189,'Sectors &amp; Company Names'!$B$2:$B$2814,'Sectors &amp; Company Names'!$A$2:$A$2814)</f>
        <v>CVS HEALTH CORPORATION CVS</v>
      </c>
      <c r="C189" s="65" t="s">
        <v>1244</v>
      </c>
      <c r="D189" s="66">
        <v>3.7077559999999883E-3</v>
      </c>
      <c r="E189" s="67">
        <f t="shared" si="12"/>
        <v>36223874.571200423</v>
      </c>
      <c r="F189" s="67">
        <f t="shared" si="13"/>
        <v>341340356.53631169</v>
      </c>
      <c r="G189" s="71">
        <f t="shared" si="14"/>
        <v>305116481.96511126</v>
      </c>
      <c r="H189" s="78">
        <f t="shared" si="15"/>
        <v>0.37774990868564418</v>
      </c>
      <c r="I189" s="68">
        <v>6.76</v>
      </c>
      <c r="J189" s="68">
        <v>63.7</v>
      </c>
      <c r="K189" s="69">
        <v>17.316299999999998</v>
      </c>
      <c r="L189" s="70">
        <f t="shared" si="16"/>
        <v>8.4230769230769234</v>
      </c>
      <c r="M189" s="95">
        <f t="shared" si="17"/>
        <v>5358561.3271006541</v>
      </c>
    </row>
    <row r="190" spans="1:13" ht="15" customHeight="1" x14ac:dyDescent="0.25">
      <c r="A190" s="65" t="str">
        <f>_xlfn.XLOOKUP(C190,'Sectors &amp; Company Names'!$B$2:$B$2814,'Sectors &amp; Company Names'!$C$2:$C$2814)</f>
        <v>Biotechnology</v>
      </c>
      <c r="B190" s="65" t="str">
        <f>_xlfn.XLOOKUP(C190,'Sectors &amp; Company Names'!$B$2:$B$2814,'Sectors &amp; Company Names'!$A$2:$A$2814)</f>
        <v>CYTOKINETICS INC CYTK</v>
      </c>
      <c r="C190" s="65" t="s">
        <v>522</v>
      </c>
      <c r="D190" s="66">
        <v>2.3879960000000016E-3</v>
      </c>
      <c r="E190" s="67">
        <f t="shared" si="12"/>
        <v>23330140.273666516</v>
      </c>
      <c r="F190" s="67">
        <f t="shared" si="13"/>
        <v>43826836.754753955</v>
      </c>
      <c r="G190" s="71">
        <f t="shared" si="14"/>
        <v>20496696.481087439</v>
      </c>
      <c r="H190" s="78">
        <f t="shared" si="15"/>
        <v>9.4252479701865566E-2</v>
      </c>
      <c r="I190" s="68">
        <v>26.76</v>
      </c>
      <c r="J190" s="68">
        <v>50.27</v>
      </c>
      <c r="K190" s="69">
        <v>0</v>
      </c>
      <c r="L190" s="70">
        <f t="shared" si="16"/>
        <v>0.87855007473841551</v>
      </c>
      <c r="M190" s="95">
        <f t="shared" si="17"/>
        <v>871828.85925510153</v>
      </c>
    </row>
    <row r="191" spans="1:13" ht="15" customHeight="1" x14ac:dyDescent="0.25">
      <c r="A191" s="65" t="str">
        <f>_xlfn.XLOOKUP(C191,'Sectors &amp; Company Names'!$B$2:$B$2814,'Sectors &amp; Company Names'!$C$2:$C$2814)</f>
        <v>Publishing</v>
      </c>
      <c r="B191" s="65" t="str">
        <f>_xlfn.XLOOKUP(C191,'Sectors &amp; Company Names'!$B$2:$B$2814,'Sectors &amp; Company Names'!$A$2:$A$2814)</f>
        <v>DAILY JOURNAL CORP DJCO</v>
      </c>
      <c r="C191" s="65" t="s">
        <v>1956</v>
      </c>
      <c r="D191" s="66">
        <v>4.0490359999999356E-3</v>
      </c>
      <c r="E191" s="67">
        <f t="shared" si="12"/>
        <v>39558097.188238174</v>
      </c>
      <c r="F191" s="67">
        <f t="shared" si="13"/>
        <v>1047563621.9983795</v>
      </c>
      <c r="G191" s="71">
        <f t="shared" si="14"/>
        <v>1008005524.8101413</v>
      </c>
      <c r="H191" s="78">
        <f t="shared" si="15"/>
        <v>0.59690050911004833</v>
      </c>
      <c r="I191" s="68">
        <v>15.53</v>
      </c>
      <c r="J191" s="68">
        <v>411.26</v>
      </c>
      <c r="K191" s="69">
        <v>7.3334000000000001</v>
      </c>
      <c r="L191" s="70">
        <f t="shared" si="16"/>
        <v>25.481648422408245</v>
      </c>
      <c r="M191" s="95">
        <f t="shared" si="17"/>
        <v>2547205.227832465</v>
      </c>
    </row>
    <row r="192" spans="1:13" ht="15" customHeight="1" x14ac:dyDescent="0.25">
      <c r="A192" s="65" t="str">
        <f>_xlfn.XLOOKUP(C192,'Sectors &amp; Company Names'!$B$2:$B$2814,'Sectors &amp; Company Names'!$C$2:$C$2814)</f>
        <v>Auto Parts</v>
      </c>
      <c r="B192" s="65" t="str">
        <f>_xlfn.XLOOKUP(C192,'Sectors &amp; Company Names'!$B$2:$B$2814,'Sectors &amp; Company Names'!$A$2:$A$2814)</f>
        <v>DANA INCORPORATED DAN</v>
      </c>
      <c r="C192" s="65" t="s">
        <v>180</v>
      </c>
      <c r="D192" s="66">
        <v>4.4626759999998713E-3</v>
      </c>
      <c r="E192" s="67">
        <f t="shared" si="12"/>
        <v>43599259.410787083</v>
      </c>
      <c r="F192" s="67">
        <f t="shared" si="13"/>
        <v>69767596.378389403</v>
      </c>
      <c r="G192" s="71">
        <f t="shared" si="14"/>
        <v>26168336.96760232</v>
      </c>
      <c r="H192" s="78">
        <f t="shared" si="15"/>
        <v>6.9468030939394909E-2</v>
      </c>
      <c r="I192" s="68">
        <v>9.93</v>
      </c>
      <c r="J192" s="68">
        <v>15.89</v>
      </c>
      <c r="K192" s="65">
        <v>0</v>
      </c>
      <c r="L192" s="70">
        <f t="shared" si="16"/>
        <v>0.60020140986908366</v>
      </c>
      <c r="M192" s="95">
        <f t="shared" si="17"/>
        <v>4390660.5650339462</v>
      </c>
    </row>
    <row r="193" spans="1:13" ht="15" customHeight="1" x14ac:dyDescent="0.25">
      <c r="A193" s="65" t="str">
        <f>_xlfn.XLOOKUP(C193,'Sectors &amp; Company Names'!$B$2:$B$2814,'Sectors &amp; Company Names'!$C$2:$C$2814)</f>
        <v>Diagnostics &amp; Research</v>
      </c>
      <c r="B193" s="65" t="str">
        <f>_xlfn.XLOOKUP(C193,'Sectors &amp; Company Names'!$B$2:$B$2814,'Sectors &amp; Company Names'!$A$2:$A$2814)</f>
        <v>DANAHER CORP DHR</v>
      </c>
      <c r="C193" s="65" t="s">
        <v>918</v>
      </c>
      <c r="D193" s="66">
        <v>3.5349560000000157E-3</v>
      </c>
      <c r="E193" s="67">
        <f t="shared" si="12"/>
        <v>34535660.587890178</v>
      </c>
      <c r="F193" s="67">
        <f t="shared" si="13"/>
        <v>424648698.00964195</v>
      </c>
      <c r="G193" s="71">
        <f t="shared" si="14"/>
        <v>390113037.42175174</v>
      </c>
      <c r="H193" s="78">
        <f t="shared" si="15"/>
        <v>0.43113396826061257</v>
      </c>
      <c r="I193" s="68">
        <v>17.03</v>
      </c>
      <c r="J193" s="68">
        <v>209.4</v>
      </c>
      <c r="K193" s="69">
        <v>40.064500000000002</v>
      </c>
      <c r="L193" s="70">
        <f t="shared" si="16"/>
        <v>11.295948326482677</v>
      </c>
      <c r="M193" s="95">
        <f t="shared" si="17"/>
        <v>2027930.7450317189</v>
      </c>
    </row>
    <row r="194" spans="1:13" ht="15" customHeight="1" x14ac:dyDescent="0.25">
      <c r="A194" s="65" t="str">
        <f>_xlfn.XLOOKUP(C194,'Sectors &amp; Company Names'!$B$2:$B$2814,'Sectors &amp; Company Names'!$C$2:$C$2814)</f>
        <v>Medical Care</v>
      </c>
      <c r="B194" s="65" t="str">
        <f>_xlfn.XLOOKUP(C194,'Sectors &amp; Company Names'!$B$2:$B$2814,'Sectors &amp; Company Names'!$A$2:$A$2814)</f>
        <v>DAVITA INC DVA</v>
      </c>
      <c r="C194" s="65" t="s">
        <v>1617</v>
      </c>
      <c r="D194" s="66">
        <v>3.3049160000000236E-3</v>
      </c>
      <c r="E194" s="67">
        <f t="shared" si="12"/>
        <v>32288225.722608138</v>
      </c>
      <c r="F194" s="67">
        <f t="shared" si="13"/>
        <v>29734272.309410296</v>
      </c>
      <c r="G194" s="71">
        <f t="shared" si="14"/>
        <v>-2553953.4131978415</v>
      </c>
      <c r="H194" s="78">
        <f t="shared" si="15"/>
        <v>-1.1702741756119295E-2</v>
      </c>
      <c r="I194" s="68">
        <v>154.87</v>
      </c>
      <c r="J194" s="68">
        <v>142.62</v>
      </c>
      <c r="K194" s="69">
        <v>13.2599</v>
      </c>
      <c r="L194" s="70">
        <f t="shared" si="16"/>
        <v>-7.9098598824820815E-2</v>
      </c>
      <c r="M194" s="95">
        <f t="shared" si="17"/>
        <v>208485.99291410949</v>
      </c>
    </row>
    <row r="195" spans="1:13" ht="15" customHeight="1" x14ac:dyDescent="0.25">
      <c r="A195" s="65" t="str">
        <f>_xlfn.XLOOKUP(C195,'Sectors &amp; Company Names'!$B$2:$B$2814,'Sectors &amp; Company Names'!$C$2:$C$2814)</f>
        <v>Footwear &amp; Accessories</v>
      </c>
      <c r="B195" s="65" t="str">
        <f>_xlfn.XLOOKUP(C195,'Sectors &amp; Company Names'!$B$2:$B$2814,'Sectors &amp; Company Names'!$A$2:$A$2814)</f>
        <v>DECKERS OUTDOOR CORP DECK</v>
      </c>
      <c r="C195" s="65" t="s">
        <v>1212</v>
      </c>
      <c r="D195" s="66">
        <v>3.8654359999999639E-3</v>
      </c>
      <c r="E195" s="67">
        <f t="shared" si="12"/>
        <v>37764369.830971032</v>
      </c>
      <c r="F195" s="67">
        <f t="shared" si="13"/>
        <v>49668429.470617317</v>
      </c>
      <c r="G195" s="71">
        <f t="shared" si="14"/>
        <v>11904059.639646284</v>
      </c>
      <c r="H195" s="78">
        <f t="shared" si="15"/>
        <v>3.9919545181251959E-2</v>
      </c>
      <c r="I195" s="68">
        <v>111.7</v>
      </c>
      <c r="J195" s="68">
        <v>146.91</v>
      </c>
      <c r="K195" s="69">
        <v>23.614999999999998</v>
      </c>
      <c r="L195" s="70">
        <f t="shared" si="16"/>
        <v>0.31521933751119063</v>
      </c>
      <c r="M195" s="95">
        <f t="shared" si="17"/>
        <v>338087.4649146914</v>
      </c>
    </row>
    <row r="196" spans="1:13" ht="15" customHeight="1" x14ac:dyDescent="0.25">
      <c r="A196" s="65" t="str">
        <f>_xlfn.XLOOKUP(C196,'Sectors &amp; Company Names'!$B$2:$B$2814,'Sectors &amp; Company Names'!$C$2:$C$2814)</f>
        <v>Farm &amp; Construction Equipment</v>
      </c>
      <c r="B196" s="65" t="str">
        <f>_xlfn.XLOOKUP(C196,'Sectors &amp; Company Names'!$B$2:$B$2814,'Sectors &amp; Company Names'!$A$2:$A$2814)</f>
        <v>DEERE &amp; CO DE</v>
      </c>
      <c r="C196" s="65" t="s">
        <v>1179</v>
      </c>
      <c r="D196" s="66">
        <v>3.3113960000000242E-3</v>
      </c>
      <c r="E196" s="67">
        <f t="shared" si="12"/>
        <v>32351533.746982288</v>
      </c>
      <c r="F196" s="67">
        <f t="shared" si="13"/>
        <v>221725483.80334008</v>
      </c>
      <c r="G196" s="71">
        <f t="shared" si="14"/>
        <v>189373950.0563578</v>
      </c>
      <c r="H196" s="78">
        <f t="shared" si="15"/>
        <v>0.31648904050655391</v>
      </c>
      <c r="I196" s="68">
        <v>71.599999999999994</v>
      </c>
      <c r="J196" s="68">
        <v>490.72</v>
      </c>
      <c r="K196" s="69">
        <v>21.509499999999999</v>
      </c>
      <c r="L196" s="70">
        <f t="shared" si="16"/>
        <v>5.8536312849162018</v>
      </c>
      <c r="M196" s="95">
        <f t="shared" si="17"/>
        <v>451837.0635053392</v>
      </c>
    </row>
    <row r="197" spans="1:13" ht="15" customHeight="1" x14ac:dyDescent="0.25">
      <c r="A197" s="65" t="str">
        <f>_xlfn.XLOOKUP(C197,'Sectors &amp; Company Names'!$B$2:$B$2814,'Sectors &amp; Company Names'!$C$2:$C$2814)</f>
        <v>Business Services</v>
      </c>
      <c r="B197" s="65" t="str">
        <f>_xlfn.XLOOKUP(C197,'Sectors &amp; Company Names'!$B$2:$B$2814,'Sectors &amp; Company Names'!$A$2:$A$2814)</f>
        <v>DELUXE CORP DLX</v>
      </c>
      <c r="C197" s="65" t="s">
        <v>694</v>
      </c>
      <c r="D197" s="66">
        <v>3.9874759999999447E-3</v>
      </c>
      <c r="E197" s="67">
        <f t="shared" si="12"/>
        <v>38956670.956683889</v>
      </c>
      <c r="F197" s="67">
        <f t="shared" si="13"/>
        <v>4315928.7712336779</v>
      </c>
      <c r="G197" s="71">
        <f t="shared" si="14"/>
        <v>-34640742.185450211</v>
      </c>
      <c r="H197" s="78">
        <f t="shared" si="15"/>
        <v>-0.26970400527438354</v>
      </c>
      <c r="I197" s="68">
        <v>154.71</v>
      </c>
      <c r="J197" s="68">
        <v>17.14</v>
      </c>
      <c r="K197" s="69">
        <v>13.765499999999999</v>
      </c>
      <c r="L197" s="70">
        <f t="shared" si="16"/>
        <v>-0.88921207420334814</v>
      </c>
      <c r="M197" s="95">
        <f t="shared" si="17"/>
        <v>251804.47906847595</v>
      </c>
    </row>
    <row r="198" spans="1:13" ht="15" customHeight="1" x14ac:dyDescent="0.25">
      <c r="A198" s="65" t="str">
        <f>_xlfn.XLOOKUP(C198,'Sectors &amp; Company Names'!$B$2:$B$2814,'Sectors &amp; Company Names'!$C$2:$C$2814)</f>
        <v>Restaurants</v>
      </c>
      <c r="B198" s="65" t="str">
        <f>_xlfn.XLOOKUP(C198,'Sectors &amp; Company Names'!$B$2:$B$2814,'Sectors &amp; Company Names'!$A$2:$A$2814)</f>
        <v>DENNYS CORP DENN</v>
      </c>
      <c r="C198" s="65" t="s">
        <v>2299</v>
      </c>
      <c r="D198" s="66">
        <v>2.1298759999999958E-3</v>
      </c>
      <c r="E198" s="67">
        <f t="shared" si="12"/>
        <v>20808370.636096381</v>
      </c>
      <c r="F198" s="67">
        <f t="shared" si="13"/>
        <v>2759370.8886997378</v>
      </c>
      <c r="G198" s="71">
        <f t="shared" si="14"/>
        <v>-18048999.747396644</v>
      </c>
      <c r="H198" s="78">
        <f t="shared" si="15"/>
        <v>-0.2507044673161436</v>
      </c>
      <c r="I198" s="68">
        <v>41.4</v>
      </c>
      <c r="J198" s="68">
        <v>5.49</v>
      </c>
      <c r="K198" s="69">
        <v>15.9091</v>
      </c>
      <c r="L198" s="70">
        <f t="shared" si="16"/>
        <v>-0.86739130434782608</v>
      </c>
      <c r="M198" s="95">
        <f t="shared" si="17"/>
        <v>502617.64821488847</v>
      </c>
    </row>
    <row r="199" spans="1:13" ht="15" customHeight="1" x14ac:dyDescent="0.25">
      <c r="A199" s="65" t="str">
        <f>_xlfn.XLOOKUP(C199,'Sectors &amp; Company Names'!$B$2:$B$2814,'Sectors &amp; Company Names'!$C$2:$C$2814)</f>
        <v>Oil &amp; Gas E&amp;P</v>
      </c>
      <c r="B199" s="65" t="str">
        <f>_xlfn.XLOOKUP(C199,'Sectors &amp; Company Names'!$B$2:$B$2814,'Sectors &amp; Company Names'!$A$2:$A$2814)</f>
        <v>DEVON ENERGY CORP DVN</v>
      </c>
      <c r="C199" s="65" t="s">
        <v>1768</v>
      </c>
      <c r="D199" s="66">
        <v>2.3426360000000008E-3</v>
      </c>
      <c r="E199" s="67">
        <f t="shared" si="12"/>
        <v>22886984.103047498</v>
      </c>
      <c r="F199" s="67">
        <f t="shared" si="13"/>
        <v>74935451.867419213</v>
      </c>
      <c r="G199" s="71">
        <f t="shared" si="14"/>
        <v>52048467.764371715</v>
      </c>
      <c r="H199" s="78">
        <f t="shared" si="15"/>
        <v>0.18463766715363805</v>
      </c>
      <c r="I199" s="68">
        <v>11.49</v>
      </c>
      <c r="J199" s="68">
        <v>37.619999999999997</v>
      </c>
      <c r="K199" s="69">
        <v>8.1109000000000009</v>
      </c>
      <c r="L199" s="70">
        <f t="shared" si="16"/>
        <v>2.2741514360313313</v>
      </c>
      <c r="M199" s="95">
        <f t="shared" si="17"/>
        <v>1991904.6216751521</v>
      </c>
    </row>
    <row r="200" spans="1:13" ht="15" customHeight="1" x14ac:dyDescent="0.25">
      <c r="A200" s="65" t="str">
        <f>_xlfn.XLOOKUP(C200,'Sectors &amp; Company Names'!$B$2:$B$2814,'Sectors &amp; Company Names'!$C$2:$C$2814)</f>
        <v>Diagnostics &amp; Research</v>
      </c>
      <c r="B200" s="65" t="str">
        <f>_xlfn.XLOOKUP(C200,'Sectors &amp; Company Names'!$B$2:$B$2814,'Sectors &amp; Company Names'!$A$2:$A$2814)</f>
        <v>DEXCOM INC DXCM</v>
      </c>
      <c r="C200" s="65" t="s">
        <v>931</v>
      </c>
      <c r="D200" s="66">
        <v>2.7670760000000111E-3</v>
      </c>
      <c r="E200" s="67">
        <f t="shared" si="12"/>
        <v>27033659.699554045</v>
      </c>
      <c r="F200" s="67">
        <f t="shared" si="13"/>
        <v>15001434.802663941</v>
      </c>
      <c r="G200" s="71">
        <f t="shared" si="14"/>
        <v>-12032224.896890104</v>
      </c>
      <c r="H200" s="78">
        <f t="shared" si="15"/>
        <v>-8.0691794329393995E-2</v>
      </c>
      <c r="I200" s="68">
        <v>160.06</v>
      </c>
      <c r="J200" s="68">
        <v>88.82</v>
      </c>
      <c r="K200" s="69">
        <v>63.561799999999998</v>
      </c>
      <c r="L200" s="70">
        <f t="shared" si="16"/>
        <v>-0.4450830938398101</v>
      </c>
      <c r="M200" s="95">
        <f t="shared" si="17"/>
        <v>168897.03673343777</v>
      </c>
    </row>
    <row r="201" spans="1:13" ht="15" customHeight="1" x14ac:dyDescent="0.25">
      <c r="A201" s="65" t="str">
        <f>_xlfn.XLOOKUP(C201,'Sectors &amp; Company Names'!$B$2:$B$2814,'Sectors &amp; Company Names'!$C$2:$C$2814)</f>
        <v>REIT - Hotel &amp; Motel</v>
      </c>
      <c r="B201" s="65" t="str">
        <f>_xlfn.XLOOKUP(C201,'Sectors &amp; Company Names'!$B$2:$B$2814,'Sectors &amp; Company Names'!$A$2:$A$2814)</f>
        <v>DIAMONDROCK HOSPITALITY DRH</v>
      </c>
      <c r="C201" s="65" t="s">
        <v>2094</v>
      </c>
      <c r="D201" s="66">
        <v>3.5057960000000202E-3</v>
      </c>
      <c r="E201" s="67">
        <f t="shared" ref="E201:E264" si="18">+$J$3*D201</f>
        <v>34250774.478206575</v>
      </c>
      <c r="F201" s="67">
        <f t="shared" ref="F201:F264" si="19">(L201+1)*E201</f>
        <v>5556191.631418217</v>
      </c>
      <c r="G201" s="71">
        <f t="shared" ref="G201:G264" si="20">F201-E201</f>
        <v>-28694582.846788358</v>
      </c>
      <c r="H201" s="78">
        <f t="shared" ref="H201:H264" si="21">((F201/E201)^(1/7))-1</f>
        <v>-0.22881581075569069</v>
      </c>
      <c r="I201" s="68">
        <v>50.61</v>
      </c>
      <c r="J201" s="68">
        <v>8.2100000000000009</v>
      </c>
      <c r="K201" s="69">
        <v>29.367599999999999</v>
      </c>
      <c r="L201" s="70">
        <f t="shared" ref="L201:L264" si="22">+(J201-I201)/I201</f>
        <v>-0.83777909504050585</v>
      </c>
      <c r="M201" s="95">
        <f t="shared" ref="M201:M264" si="23">F201/J201</f>
        <v>676759.02940538572</v>
      </c>
    </row>
    <row r="202" spans="1:13" ht="15" customHeight="1" x14ac:dyDescent="0.25">
      <c r="A202" s="65" t="str">
        <f>_xlfn.XLOOKUP(C202,'Sectors &amp; Company Names'!$B$2:$B$2814,'Sectors &amp; Company Names'!$C$2:$C$2814)</f>
        <v>Department Stores</v>
      </c>
      <c r="B202" s="65" t="str">
        <f>_xlfn.XLOOKUP(C202,'Sectors &amp; Company Names'!$B$2:$B$2814,'Sectors &amp; Company Names'!$A$2:$A$2814)</f>
        <v>DILLARDS INC DDS</v>
      </c>
      <c r="C202" s="65" t="s">
        <v>912</v>
      </c>
      <c r="D202" s="66">
        <v>3.6796759999999928E-3</v>
      </c>
      <c r="E202" s="67">
        <f t="shared" si="18"/>
        <v>35949539.79891251</v>
      </c>
      <c r="F202" s="67">
        <f t="shared" si="19"/>
        <v>1285256546.2887197</v>
      </c>
      <c r="G202" s="71">
        <f t="shared" si="20"/>
        <v>1249307006.4898071</v>
      </c>
      <c r="H202" s="78">
        <f t="shared" si="21"/>
        <v>0.66686143400218634</v>
      </c>
      <c r="I202" s="68">
        <v>13.37</v>
      </c>
      <c r="J202" s="68">
        <v>478</v>
      </c>
      <c r="K202" s="69">
        <v>12.2372</v>
      </c>
      <c r="L202" s="70">
        <f t="shared" si="22"/>
        <v>34.751682872101725</v>
      </c>
      <c r="M202" s="95">
        <f t="shared" si="23"/>
        <v>2688821.2265454386</v>
      </c>
    </row>
    <row r="203" spans="1:13" ht="15" customHeight="1" x14ac:dyDescent="0.25">
      <c r="A203" s="65" t="str">
        <f>_xlfn.XLOOKUP(C203,'Sectors &amp; Company Names'!$B$2:$B$2814,'Sectors &amp; Company Names'!$C$2:$C$2814)</f>
        <v>Semiconductors</v>
      </c>
      <c r="B203" s="65" t="str">
        <f>_xlfn.XLOOKUP(C203,'Sectors &amp; Company Names'!$B$2:$B$2814,'Sectors &amp; Company Names'!$A$2:$A$2814)</f>
        <v>DIODES INC DIOD</v>
      </c>
      <c r="C203" s="65" t="s">
        <v>2436</v>
      </c>
      <c r="D203" s="66">
        <v>3.7574359999999808E-3</v>
      </c>
      <c r="E203" s="67">
        <f t="shared" si="18"/>
        <v>36709236.091402121</v>
      </c>
      <c r="F203" s="67">
        <f t="shared" si="19"/>
        <v>76704848.81654416</v>
      </c>
      <c r="G203" s="71">
        <f t="shared" si="20"/>
        <v>39995612.725142039</v>
      </c>
      <c r="H203" s="78">
        <f t="shared" si="21"/>
        <v>0.11101792878107108</v>
      </c>
      <c r="I203" s="68">
        <v>26.92</v>
      </c>
      <c r="J203" s="68">
        <v>56.25</v>
      </c>
      <c r="K203" s="69">
        <v>59.1235</v>
      </c>
      <c r="L203" s="70">
        <f t="shared" si="22"/>
        <v>1.0895245170876671</v>
      </c>
      <c r="M203" s="95">
        <f t="shared" si="23"/>
        <v>1363641.7567385628</v>
      </c>
    </row>
    <row r="204" spans="1:13" ht="15" customHeight="1" x14ac:dyDescent="0.25">
      <c r="A204" s="65" t="str">
        <f>_xlfn.XLOOKUP(C204,'Sectors &amp; Company Names'!$B$2:$B$2814,'Sectors &amp; Company Names'!$C$2:$C$2814)</f>
        <v>Credit Services</v>
      </c>
      <c r="B204" s="65" t="str">
        <f>_xlfn.XLOOKUP(C204,'Sectors &amp; Company Names'!$B$2:$B$2814,'Sectors &amp; Company Names'!$A$2:$A$2814)</f>
        <v>DISCOVER FINANCIAL SRVC DFS</v>
      </c>
      <c r="C204" s="65" t="s">
        <v>881</v>
      </c>
      <c r="D204" s="66">
        <v>4.010155999999941E-3</v>
      </c>
      <c r="E204" s="67">
        <f t="shared" si="18"/>
        <v>39178249.041993357</v>
      </c>
      <c r="F204" s="67">
        <f t="shared" si="19"/>
        <v>814774065.27374458</v>
      </c>
      <c r="G204" s="71">
        <f t="shared" si="20"/>
        <v>775595816.2317512</v>
      </c>
      <c r="H204" s="78">
        <f t="shared" si="21"/>
        <v>0.54271107147183972</v>
      </c>
      <c r="I204" s="68">
        <v>9.39</v>
      </c>
      <c r="J204" s="68">
        <v>195.28</v>
      </c>
      <c r="K204" s="69">
        <v>11.014900000000001</v>
      </c>
      <c r="L204" s="70">
        <f t="shared" si="22"/>
        <v>19.796592119275822</v>
      </c>
      <c r="M204" s="95">
        <f t="shared" si="23"/>
        <v>4172337.4911601013</v>
      </c>
    </row>
    <row r="205" spans="1:13" ht="15" customHeight="1" x14ac:dyDescent="0.25">
      <c r="A205" s="65" t="str">
        <f>_xlfn.XLOOKUP(C205,'Sectors &amp; Company Names'!$B$2:$B$2814,'Sectors &amp; Company Names'!$C$2:$C$2814)</f>
        <v>Pay TV</v>
      </c>
      <c r="B205" s="65" t="str">
        <f>_xlfn.XLOOKUP(C205,'Sectors &amp; Company Names'!$B$2:$B$2814,'Sectors &amp; Company Names'!$A$2:$A$2814)</f>
        <v>DISH NETWORK CORP DISH</v>
      </c>
      <c r="C205" s="65" t="s">
        <v>1929</v>
      </c>
      <c r="D205" s="66">
        <v>1.7551160000000001E-3</v>
      </c>
      <c r="E205" s="67">
        <f t="shared" si="18"/>
        <v>17147056.559791747</v>
      </c>
      <c r="F205" s="67">
        <f t="shared" si="19"/>
        <v>41444.706477098684</v>
      </c>
      <c r="G205" s="71">
        <f t="shared" si="20"/>
        <v>-17105611.853314649</v>
      </c>
      <c r="H205" s="78">
        <f t="shared" si="21"/>
        <v>-0.57715345736626278</v>
      </c>
      <c r="I205" s="68">
        <v>31.03</v>
      </c>
      <c r="J205" s="68">
        <v>7.4999999999999997E-2</v>
      </c>
      <c r="K205" s="65">
        <v>0</v>
      </c>
      <c r="L205" s="70">
        <f t="shared" si="22"/>
        <v>-0.99758298420883018</v>
      </c>
      <c r="M205" s="95">
        <f t="shared" si="23"/>
        <v>552596.0863613158</v>
      </c>
    </row>
    <row r="206" spans="1:13" ht="15" customHeight="1" x14ac:dyDescent="0.25">
      <c r="A206" s="65" t="str">
        <f>_xlfn.XLOOKUP(C206,'Sectors &amp; Company Names'!$B$2:$B$2814,'Sectors &amp; Company Names'!$C$2:$C$2814)</f>
        <v>Media - Diversified</v>
      </c>
      <c r="B206" s="65" t="str">
        <f>_xlfn.XLOOKUP(C206,'Sectors &amp; Company Names'!$B$2:$B$2814,'Sectors &amp; Company Names'!$A$2:$A$2814)</f>
        <v>DISNEY WALT CO DIS</v>
      </c>
      <c r="C206" s="65" t="s">
        <v>1604</v>
      </c>
      <c r="D206" s="66">
        <v>3.0079160000000167E-3</v>
      </c>
      <c r="E206" s="67">
        <f t="shared" si="18"/>
        <v>29386607.938793126</v>
      </c>
      <c r="F206" s="67">
        <f t="shared" si="19"/>
        <v>16010132.393029463</v>
      </c>
      <c r="G206" s="71">
        <f t="shared" si="20"/>
        <v>-13376475.545763664</v>
      </c>
      <c r="H206" s="78">
        <f t="shared" si="21"/>
        <v>-8.3102516812000982E-2</v>
      </c>
      <c r="I206" s="68">
        <v>199.73</v>
      </c>
      <c r="J206" s="68">
        <v>108.815</v>
      </c>
      <c r="K206" s="69">
        <v>35.7166</v>
      </c>
      <c r="L206" s="70">
        <f t="shared" si="22"/>
        <v>-0.45518950583287437</v>
      </c>
      <c r="M206" s="95">
        <f t="shared" si="23"/>
        <v>147131.66744501644</v>
      </c>
    </row>
    <row r="207" spans="1:13" ht="15" customHeight="1" x14ac:dyDescent="0.25">
      <c r="A207" s="65" t="str">
        <f>_xlfn.XLOOKUP(C207,'Sectors &amp; Company Names'!$B$2:$B$2814,'Sectors &amp; Company Names'!$C$2:$C$2814)</f>
        <v>Discount Stores</v>
      </c>
      <c r="B207" s="65" t="str">
        <f>_xlfn.XLOOKUP(C207,'Sectors &amp; Company Names'!$B$2:$B$2814,'Sectors &amp; Company Names'!$A$2:$A$2814)</f>
        <v>DOLLAR GENERAL CORP DG</v>
      </c>
      <c r="C207" s="65" t="s">
        <v>965</v>
      </c>
      <c r="D207" s="66">
        <v>3.2563160000000225E-3</v>
      </c>
      <c r="E207" s="67">
        <f t="shared" si="18"/>
        <v>31813415.539802045</v>
      </c>
      <c r="F207" s="67">
        <f t="shared" si="19"/>
        <v>142973232.19063976</v>
      </c>
      <c r="G207" s="71">
        <f t="shared" si="20"/>
        <v>111159816.65083772</v>
      </c>
      <c r="H207" s="78">
        <f t="shared" si="21"/>
        <v>0.23946686058039623</v>
      </c>
      <c r="I207" s="68">
        <v>17</v>
      </c>
      <c r="J207" s="68">
        <v>76.400000000000006</v>
      </c>
      <c r="K207" s="69">
        <v>12.6579</v>
      </c>
      <c r="L207" s="70">
        <f t="shared" si="22"/>
        <v>3.494117647058824</v>
      </c>
      <c r="M207" s="95">
        <f t="shared" si="23"/>
        <v>1871377.3846942375</v>
      </c>
    </row>
    <row r="208" spans="1:13" ht="15" customHeight="1" x14ac:dyDescent="0.25">
      <c r="A208" s="65" t="str">
        <f>_xlfn.XLOOKUP(C208,'Sectors &amp; Company Names'!$B$2:$B$2814,'Sectors &amp; Company Names'!$C$2:$C$2814)</f>
        <v>Diversified Industrials</v>
      </c>
      <c r="B208" s="65" t="str">
        <f>_xlfn.XLOOKUP(C208,'Sectors &amp; Company Names'!$B$2:$B$2814,'Sectors &amp; Company Names'!$A$2:$A$2814)</f>
        <v>DOVER CORP DOV</v>
      </c>
      <c r="C208" s="65" t="s">
        <v>995</v>
      </c>
      <c r="D208" s="66">
        <v>4.0241959999999391E-3</v>
      </c>
      <c r="E208" s="67">
        <f t="shared" si="18"/>
        <v>39315416.428137317</v>
      </c>
      <c r="F208" s="67">
        <f t="shared" si="19"/>
        <v>222713590.33186597</v>
      </c>
      <c r="G208" s="71">
        <f t="shared" si="20"/>
        <v>183398173.90372866</v>
      </c>
      <c r="H208" s="78">
        <f t="shared" si="21"/>
        <v>0.28114324573333871</v>
      </c>
      <c r="I208" s="68">
        <v>35.53</v>
      </c>
      <c r="J208" s="68">
        <v>201.27</v>
      </c>
      <c r="K208" s="69">
        <v>18.950700000000001</v>
      </c>
      <c r="L208" s="70">
        <f t="shared" si="22"/>
        <v>4.6647903180410921</v>
      </c>
      <c r="M208" s="95">
        <f t="shared" si="23"/>
        <v>1106541.4136824463</v>
      </c>
    </row>
    <row r="209" spans="1:13" ht="15" customHeight="1" x14ac:dyDescent="0.25">
      <c r="A209" s="65" t="str">
        <f>_xlfn.XLOOKUP(C209,'Sectors &amp; Company Names'!$B$2:$B$2814,'Sectors &amp; Company Names'!$C$2:$C$2814)</f>
        <v>Chemicals</v>
      </c>
      <c r="B209" s="65" t="str">
        <f>_xlfn.XLOOKUP(C209,'Sectors &amp; Company Names'!$B$2:$B$2814,'Sectors &amp; Company Names'!$A$2:$A$2814)</f>
        <v>DOW CHEMICAL CO DOW</v>
      </c>
      <c r="C209" s="65" t="s">
        <v>778</v>
      </c>
      <c r="D209" s="66">
        <v>3.352436000000025E-3</v>
      </c>
      <c r="E209" s="67">
        <f t="shared" si="18"/>
        <v>32752484.568018541</v>
      </c>
      <c r="F209" s="67">
        <f t="shared" si="19"/>
        <v>64977766.165123299</v>
      </c>
      <c r="G209" s="71">
        <f t="shared" si="20"/>
        <v>32225281.597104758</v>
      </c>
      <c r="H209" s="78">
        <f t="shared" si="21"/>
        <v>0.10281567993194929</v>
      </c>
      <c r="I209" s="68">
        <v>19.88</v>
      </c>
      <c r="J209" s="68">
        <v>39.44</v>
      </c>
      <c r="K209" s="69">
        <v>24.9313</v>
      </c>
      <c r="L209" s="70">
        <f t="shared" si="22"/>
        <v>0.98390342052313884</v>
      </c>
      <c r="M209" s="95">
        <f t="shared" si="23"/>
        <v>1647509.2841055605</v>
      </c>
    </row>
    <row r="210" spans="1:13" ht="15" customHeight="1" x14ac:dyDescent="0.25">
      <c r="A210" s="65" t="str">
        <f>_xlfn.XLOOKUP(C210,'Sectors &amp; Company Names'!$B$2:$B$2814,'Sectors &amp; Company Names'!$C$2:$C$2814)</f>
        <v>Utilities - Regulated Electric</v>
      </c>
      <c r="B210" s="65" t="str">
        <f>_xlfn.XLOOKUP(C210,'Sectors &amp; Company Names'!$B$2:$B$2814,'Sectors &amp; Company Names'!$A$2:$A$2814)</f>
        <v>DTE ENERGY CO DTE</v>
      </c>
      <c r="C210" s="65" t="s">
        <v>2884</v>
      </c>
      <c r="D210" s="66">
        <v>2.4916760000000043E-3</v>
      </c>
      <c r="E210" s="67">
        <f t="shared" si="18"/>
        <v>24343068.663652848</v>
      </c>
      <c r="F210" s="67">
        <f t="shared" si="19"/>
        <v>214028268.3767778</v>
      </c>
      <c r="G210" s="71">
        <f t="shared" si="20"/>
        <v>189685199.71312496</v>
      </c>
      <c r="H210" s="78">
        <f t="shared" si="21"/>
        <v>0.36417733757370252</v>
      </c>
      <c r="I210" s="68">
        <v>15.06</v>
      </c>
      <c r="J210" s="68">
        <v>132.41</v>
      </c>
      <c r="K210" s="69">
        <v>19.382100000000001</v>
      </c>
      <c r="L210" s="70">
        <f t="shared" si="22"/>
        <v>7.7921646746347939</v>
      </c>
      <c r="M210" s="95">
        <f t="shared" si="23"/>
        <v>1616405.6217564973</v>
      </c>
    </row>
    <row r="211" spans="1:13" ht="15" customHeight="1" x14ac:dyDescent="0.25">
      <c r="A211" s="65" t="str">
        <f>_xlfn.XLOOKUP(C211,'Sectors &amp; Company Names'!$B$2:$B$2814,'Sectors &amp; Company Names'!$C$2:$C$2814)</f>
        <v>Agricultural Inputs</v>
      </c>
      <c r="B211" s="65" t="str">
        <f>_xlfn.XLOOKUP(C211,'Sectors &amp; Company Names'!$B$2:$B$2814,'Sectors &amp; Company Names'!$A$2:$A$2814)</f>
        <v>DU PONT E I DE NEMOURS DD</v>
      </c>
      <c r="C211" s="65" t="s">
        <v>47</v>
      </c>
      <c r="D211" s="66">
        <v>4.1311159999999226E-3</v>
      </c>
      <c r="E211" s="67">
        <f t="shared" si="18"/>
        <v>40359998.830310538</v>
      </c>
      <c r="F211" s="67">
        <f t="shared" si="19"/>
        <v>272155942.7298224</v>
      </c>
      <c r="G211" s="71">
        <f t="shared" si="20"/>
        <v>231795943.89951187</v>
      </c>
      <c r="H211" s="78">
        <f t="shared" si="21"/>
        <v>0.31343784352888648</v>
      </c>
      <c r="I211" s="68">
        <v>12.15</v>
      </c>
      <c r="J211" s="68">
        <v>81.93</v>
      </c>
      <c r="K211" s="69">
        <v>46.081800000000001</v>
      </c>
      <c r="L211" s="70">
        <f t="shared" si="22"/>
        <v>5.7432098765432098</v>
      </c>
      <c r="M211" s="95">
        <f t="shared" si="23"/>
        <v>3321810.6033177394</v>
      </c>
    </row>
    <row r="212" spans="1:13" ht="15" customHeight="1" x14ac:dyDescent="0.25">
      <c r="A212" s="65" t="str">
        <f>_xlfn.XLOOKUP(C212,'Sectors &amp; Company Names'!$B$2:$B$2814,'Sectors &amp; Company Names'!$C$2:$C$2814)</f>
        <v>Aerospace &amp; Defense</v>
      </c>
      <c r="B212" s="65" t="str">
        <f>_xlfn.XLOOKUP(C212,'Sectors &amp; Company Names'!$B$2:$B$2814,'Sectors &amp; Company Names'!$A$2:$A$2814)</f>
        <v>DUCOMMUN INC DCO</v>
      </c>
      <c r="C212" s="65" t="s">
        <v>23</v>
      </c>
      <c r="D212" s="66">
        <v>2.2249159999999978E-3</v>
      </c>
      <c r="E212" s="67">
        <f t="shared" si="18"/>
        <v>21736888.326917179</v>
      </c>
      <c r="F212" s="67">
        <f t="shared" si="19"/>
        <v>109587909.0094907</v>
      </c>
      <c r="G212" s="71">
        <f t="shared" si="20"/>
        <v>87851020.682573527</v>
      </c>
      <c r="H212" s="78">
        <f t="shared" si="21"/>
        <v>0.25998816725441798</v>
      </c>
      <c r="I212" s="68">
        <v>12.15</v>
      </c>
      <c r="J212" s="68">
        <v>61.255000000000003</v>
      </c>
      <c r="K212" s="69">
        <v>30.571200000000001</v>
      </c>
      <c r="L212" s="70">
        <f t="shared" si="22"/>
        <v>4.041563786008231</v>
      </c>
      <c r="M212" s="95">
        <f t="shared" si="23"/>
        <v>1789044.3067421548</v>
      </c>
    </row>
    <row r="213" spans="1:13" ht="15" customHeight="1" x14ac:dyDescent="0.25">
      <c r="A213" s="65" t="str">
        <f>_xlfn.XLOOKUP(C213,'Sectors &amp; Company Names'!$B$2:$B$2814,'Sectors &amp; Company Names'!$C$2:$C$2814)</f>
        <v>Utilities - Regulated Electric</v>
      </c>
      <c r="B213" s="65" t="str">
        <f>_xlfn.XLOOKUP(C213,'Sectors &amp; Company Names'!$B$2:$B$2814,'Sectors &amp; Company Names'!$A$2:$A$2814)</f>
        <v>DUKE ENERGY CORP DUK</v>
      </c>
      <c r="C213" s="65" t="s">
        <v>2885</v>
      </c>
      <c r="D213" s="66">
        <v>3.9831559999999452E-3</v>
      </c>
      <c r="E213" s="67">
        <f t="shared" si="18"/>
        <v>38914465.607101135</v>
      </c>
      <c r="F213" s="67">
        <f t="shared" si="19"/>
        <v>139410933.45901224</v>
      </c>
      <c r="G213" s="71">
        <f t="shared" si="20"/>
        <v>100496467.8519111</v>
      </c>
      <c r="H213" s="78">
        <f t="shared" si="21"/>
        <v>0.19996725449734076</v>
      </c>
      <c r="I213" s="68">
        <v>6.97</v>
      </c>
      <c r="J213" s="68">
        <v>24.97</v>
      </c>
      <c r="K213" s="65">
        <v>0</v>
      </c>
      <c r="L213" s="70">
        <f t="shared" si="22"/>
        <v>2.5824964131994261</v>
      </c>
      <c r="M213" s="95">
        <f t="shared" si="23"/>
        <v>5583137.1028839508</v>
      </c>
    </row>
    <row r="214" spans="1:13" ht="15" customHeight="1" x14ac:dyDescent="0.25">
      <c r="A214" s="65" t="str">
        <f>_xlfn.XLOOKUP(C214,'Sectors &amp; Company Names'!$B$2:$B$2814,'Sectors &amp; Company Names'!$C$2:$C$2814)</f>
        <v>Information Technology Services</v>
      </c>
      <c r="B214" s="65" t="str">
        <f>_xlfn.XLOOKUP(C214,'Sectors &amp; Company Names'!$B$2:$B$2814,'Sectors &amp; Company Names'!$A$2:$A$2814)</f>
        <v>DXC TECHNOLOGY COMPANY DXC</v>
      </c>
      <c r="C214" s="65" t="s">
        <v>1347</v>
      </c>
      <c r="D214" s="66">
        <v>3.742315999999983E-3</v>
      </c>
      <c r="E214" s="67">
        <f t="shared" si="18"/>
        <v>36561517.367862478</v>
      </c>
      <c r="F214" s="67">
        <f t="shared" si="19"/>
        <v>54264119.527151316</v>
      </c>
      <c r="G214" s="71">
        <f t="shared" si="20"/>
        <v>17702602.159288839</v>
      </c>
      <c r="H214" s="78">
        <f t="shared" si="21"/>
        <v>5.8030930789449542E-2</v>
      </c>
      <c r="I214" s="68">
        <v>13.28</v>
      </c>
      <c r="J214" s="68">
        <v>19.71</v>
      </c>
      <c r="K214" s="69">
        <v>57.4298</v>
      </c>
      <c r="L214" s="70">
        <f t="shared" si="22"/>
        <v>0.48418674698795194</v>
      </c>
      <c r="M214" s="95">
        <f t="shared" si="23"/>
        <v>2753126.3078209697</v>
      </c>
    </row>
    <row r="215" spans="1:13" ht="15" customHeight="1" x14ac:dyDescent="0.25">
      <c r="A215" s="65" t="str">
        <f>_xlfn.XLOOKUP(C215,'Sectors &amp; Company Names'!$B$2:$B$2814,'Sectors &amp; Company Names'!$C$2:$C$2814)</f>
        <v>Biotechnology</v>
      </c>
      <c r="B215" s="65" t="str">
        <f>_xlfn.XLOOKUP(C215,'Sectors &amp; Company Names'!$B$2:$B$2814,'Sectors &amp; Company Names'!$A$2:$A$2814)</f>
        <v>DYNAVAX TECHNOLOGIES DVAX</v>
      </c>
      <c r="C215" s="65" t="s">
        <v>523</v>
      </c>
      <c r="D215" s="66">
        <v>2.5219160000000047E-3</v>
      </c>
      <c r="E215" s="67">
        <f t="shared" si="18"/>
        <v>24638506.11073219</v>
      </c>
      <c r="F215" s="67">
        <f t="shared" si="19"/>
        <v>465929.74508132506</v>
      </c>
      <c r="G215" s="71">
        <f t="shared" si="20"/>
        <v>-24172576.365650866</v>
      </c>
      <c r="H215" s="78">
        <f t="shared" si="21"/>
        <v>-0.43269690605952427</v>
      </c>
      <c r="I215" s="68">
        <v>698.02</v>
      </c>
      <c r="J215" s="68">
        <v>13.2</v>
      </c>
      <c r="K215" s="69">
        <v>76.781300000000002</v>
      </c>
      <c r="L215" s="70">
        <f t="shared" si="22"/>
        <v>-0.98108936706684613</v>
      </c>
      <c r="M215" s="95">
        <f t="shared" si="23"/>
        <v>35297.707960706444</v>
      </c>
    </row>
    <row r="216" spans="1:13" ht="15" customHeight="1" x14ac:dyDescent="0.25">
      <c r="A216" s="65" t="str">
        <f>_xlfn.XLOOKUP(C216,'Sectors &amp; Company Names'!$B$2:$B$2814,'Sectors &amp; Company Names'!$C$2:$C$2814)</f>
        <v>Utilities - Independent Power Producers</v>
      </c>
      <c r="B216" s="65" t="str">
        <f>_xlfn.XLOOKUP(C216,'Sectors &amp; Company Names'!$B$2:$B$2814,'Sectors &amp; Company Names'!$A$2:$A$2814)</f>
        <v>DYNEGY INC DYN</v>
      </c>
      <c r="C216" s="65" t="s">
        <v>2868</v>
      </c>
      <c r="D216" s="66">
        <v>3.466916000000026E-3</v>
      </c>
      <c r="E216" s="67">
        <f t="shared" si="18"/>
        <v>33870926.331961766</v>
      </c>
      <c r="F216" s="67">
        <f t="shared" si="19"/>
        <v>9018543.6317227986</v>
      </c>
      <c r="G216" s="71">
        <f t="shared" si="20"/>
        <v>-24852382.700238965</v>
      </c>
      <c r="H216" s="78">
        <f t="shared" si="21"/>
        <v>-0.17224591292240199</v>
      </c>
      <c r="I216" s="68">
        <v>52.73</v>
      </c>
      <c r="J216" s="68">
        <v>14.04</v>
      </c>
      <c r="K216" s="69">
        <v>0</v>
      </c>
      <c r="L216" s="70">
        <f t="shared" si="22"/>
        <v>-0.73373791010809786</v>
      </c>
      <c r="M216" s="95">
        <f t="shared" si="23"/>
        <v>642346.4125158689</v>
      </c>
    </row>
    <row r="217" spans="1:13" ht="15" customHeight="1" x14ac:dyDescent="0.25">
      <c r="A217" s="65" t="str">
        <f>_xlfn.XLOOKUP(C217,'Sectors &amp; Company Names'!$B$2:$B$2814,'Sectors &amp; Company Names'!$C$2:$C$2814)</f>
        <v>Oil &amp; Gas E&amp;P</v>
      </c>
      <c r="B217" s="65" t="str">
        <f>_xlfn.XLOOKUP(C217,'Sectors &amp; Company Names'!$B$2:$B$2814,'Sectors &amp; Company Names'!$A$2:$A$2814)</f>
        <v>EARTHSTONE ENERGY INC ESTE</v>
      </c>
      <c r="C217" s="65" t="s">
        <v>1770</v>
      </c>
      <c r="D217" s="66">
        <v>3.5198360000000179E-3</v>
      </c>
      <c r="E217" s="67">
        <f t="shared" si="18"/>
        <v>34387941.864350535</v>
      </c>
      <c r="F217" s="67">
        <f t="shared" si="19"/>
        <v>27015083.647168938</v>
      </c>
      <c r="G217" s="71">
        <f t="shared" si="20"/>
        <v>-7372858.2171815969</v>
      </c>
      <c r="H217" s="78">
        <f t="shared" si="21"/>
        <v>-3.3885522041980809E-2</v>
      </c>
      <c r="I217" s="68">
        <v>42.84</v>
      </c>
      <c r="J217" s="68">
        <v>33.655000000000001</v>
      </c>
      <c r="K217" s="65">
        <v>0</v>
      </c>
      <c r="L217" s="70">
        <f t="shared" si="22"/>
        <v>-0.2144024276377218</v>
      </c>
      <c r="M217" s="95">
        <f t="shared" si="23"/>
        <v>802706.39272526931</v>
      </c>
    </row>
    <row r="218" spans="1:13" ht="15" customHeight="1" x14ac:dyDescent="0.25">
      <c r="A218" s="65" t="str">
        <f>_xlfn.XLOOKUP(C218,'Sectors &amp; Company Names'!$B$2:$B$2814,'Sectors &amp; Company Names'!$C$2:$C$2814)</f>
        <v>Chemicals</v>
      </c>
      <c r="B218" s="65" t="str">
        <f>_xlfn.XLOOKUP(C218,'Sectors &amp; Company Names'!$B$2:$B$2814,'Sectors &amp; Company Names'!$A$2:$A$2814)</f>
        <v>EASTMAN CHEMICAL CO EMN</v>
      </c>
      <c r="C218" s="65" t="s">
        <v>785</v>
      </c>
      <c r="D218" s="66">
        <v>3.3686360000000255E-3</v>
      </c>
      <c r="E218" s="67">
        <f t="shared" si="18"/>
        <v>32910754.628953908</v>
      </c>
      <c r="F218" s="67">
        <f t="shared" si="19"/>
        <v>125560857.90073395</v>
      </c>
      <c r="G218" s="71">
        <f t="shared" si="20"/>
        <v>92650103.271780044</v>
      </c>
      <c r="H218" s="78">
        <f t="shared" si="21"/>
        <v>0.21080380271628085</v>
      </c>
      <c r="I218" s="68">
        <v>26</v>
      </c>
      <c r="J218" s="68">
        <v>99.194999999999993</v>
      </c>
      <c r="K218" s="69">
        <v>12.711</v>
      </c>
      <c r="L218" s="70">
        <f t="shared" si="22"/>
        <v>2.8151923076923073</v>
      </c>
      <c r="M218" s="95">
        <f t="shared" si="23"/>
        <v>1265798.2549597656</v>
      </c>
    </row>
    <row r="219" spans="1:13" ht="15" customHeight="1" x14ac:dyDescent="0.25">
      <c r="A219" s="65" t="str">
        <f>_xlfn.XLOOKUP(C219,'Sectors &amp; Company Names'!$B$2:$B$2814,'Sectors &amp; Company Names'!$C$2:$C$2814)</f>
        <v>Diversified Industrials</v>
      </c>
      <c r="B219" s="65" t="str">
        <f>_xlfn.XLOOKUP(C219,'Sectors &amp; Company Names'!$B$2:$B$2814,'Sectors &amp; Company Names'!$A$2:$A$2814)</f>
        <v>EATON CORP PLC ETN</v>
      </c>
      <c r="C219" s="65" t="s">
        <v>996</v>
      </c>
      <c r="D219" s="66">
        <v>3.1245560000000192E-3</v>
      </c>
      <c r="E219" s="67">
        <f t="shared" si="18"/>
        <v>30526152.377527747</v>
      </c>
      <c r="F219" s="67">
        <f t="shared" si="19"/>
        <v>693373114.34553337</v>
      </c>
      <c r="G219" s="71">
        <f t="shared" si="20"/>
        <v>662846961.96800566</v>
      </c>
      <c r="H219" s="78">
        <f t="shared" si="21"/>
        <v>0.56227117060430443</v>
      </c>
      <c r="I219" s="68">
        <v>13.15</v>
      </c>
      <c r="J219" s="68">
        <v>298.69</v>
      </c>
      <c r="K219" s="69">
        <v>30.939599999999999</v>
      </c>
      <c r="L219" s="70">
        <f t="shared" si="22"/>
        <v>21.71406844106464</v>
      </c>
      <c r="M219" s="95">
        <f t="shared" si="23"/>
        <v>2321380.4089374715</v>
      </c>
    </row>
    <row r="220" spans="1:13" ht="15" customHeight="1" x14ac:dyDescent="0.25">
      <c r="A220" s="65" t="str">
        <f>_xlfn.XLOOKUP(C220,'Sectors &amp; Company Names'!$B$2:$B$2814,'Sectors &amp; Company Names'!$C$2:$C$2814)</f>
        <v>Specialty Retail</v>
      </c>
      <c r="B220" s="65" t="str">
        <f>_xlfn.XLOOKUP(C220,'Sectors &amp; Company Names'!$B$2:$B$2814,'Sectors &amp; Company Names'!$A$2:$A$2814)</f>
        <v>EBAY INC EBAY</v>
      </c>
      <c r="C220" s="65" t="s">
        <v>2705</v>
      </c>
      <c r="D220" s="66">
        <v>2.7314360000000103E-3</v>
      </c>
      <c r="E220" s="67">
        <f t="shared" si="18"/>
        <v>26685465.565496244</v>
      </c>
      <c r="F220" s="67">
        <f t="shared" si="19"/>
        <v>152288553.69400313</v>
      </c>
      <c r="G220" s="71">
        <f t="shared" si="20"/>
        <v>125603088.1285069</v>
      </c>
      <c r="H220" s="78">
        <f t="shared" si="21"/>
        <v>0.28249614480751872</v>
      </c>
      <c r="I220" s="68">
        <v>12.21</v>
      </c>
      <c r="J220" s="68">
        <v>69.680000000000007</v>
      </c>
      <c r="K220" s="69">
        <v>17.438600000000001</v>
      </c>
      <c r="L220" s="70">
        <f t="shared" si="22"/>
        <v>4.7067977067977074</v>
      </c>
      <c r="M220" s="95">
        <f t="shared" si="23"/>
        <v>2185541.8153559575</v>
      </c>
    </row>
    <row r="221" spans="1:13" ht="15" customHeight="1" x14ac:dyDescent="0.25">
      <c r="A221" s="65" t="str">
        <f>_xlfn.XLOOKUP(C221,'Sectors &amp; Company Names'!$B$2:$B$2814,'Sectors &amp; Company Names'!$C$2:$C$2814)</f>
        <v>Specialty Chemicals</v>
      </c>
      <c r="B221" s="65" t="str">
        <f>_xlfn.XLOOKUP(C221,'Sectors &amp; Company Names'!$B$2:$B$2814,'Sectors &amp; Company Names'!$A$2:$A$2814)</f>
        <v>ECOLAB INC ECL</v>
      </c>
      <c r="C221" s="65" t="s">
        <v>2640</v>
      </c>
      <c r="D221" s="66">
        <v>2.0024359999999985E-3</v>
      </c>
      <c r="E221" s="67">
        <f t="shared" si="18"/>
        <v>19563312.823404901</v>
      </c>
      <c r="F221" s="67">
        <f t="shared" si="19"/>
        <v>423552115.86620086</v>
      </c>
      <c r="G221" s="71">
        <f t="shared" si="20"/>
        <v>403988803.04279596</v>
      </c>
      <c r="H221" s="78">
        <f t="shared" si="21"/>
        <v>0.55160309274448194</v>
      </c>
      <c r="I221" s="68">
        <v>12.24</v>
      </c>
      <c r="J221" s="68">
        <v>265</v>
      </c>
      <c r="K221" s="69">
        <v>35.892699999999998</v>
      </c>
      <c r="L221" s="70">
        <f t="shared" si="22"/>
        <v>20.65032679738562</v>
      </c>
      <c r="M221" s="95">
        <f t="shared" si="23"/>
        <v>1598309.8711932108</v>
      </c>
    </row>
    <row r="222" spans="1:13" ht="15" customHeight="1" x14ac:dyDescent="0.25">
      <c r="A222" s="65" t="str">
        <f>_xlfn.XLOOKUP(C222,'Sectors &amp; Company Names'!$B$2:$B$2814,'Sectors &amp; Company Names'!$C$2:$C$2814)</f>
        <v>Household &amp; Personal Products</v>
      </c>
      <c r="B222" s="65" t="str">
        <f>_xlfn.XLOOKUP(C222,'Sectors &amp; Company Names'!$B$2:$B$2814,'Sectors &amp; Company Names'!$A$2:$A$2814)</f>
        <v>EDGEWELL PERSONAL CARE EPC</v>
      </c>
      <c r="C222" s="65" t="s">
        <v>1299</v>
      </c>
      <c r="D222" s="66">
        <v>4.4615959999998707E-3</v>
      </c>
      <c r="E222" s="67">
        <f t="shared" si="18"/>
        <v>43588708.073391385</v>
      </c>
      <c r="F222" s="67">
        <f t="shared" si="19"/>
        <v>176045650.02948278</v>
      </c>
      <c r="G222" s="71">
        <f t="shared" si="20"/>
        <v>132456941.9560914</v>
      </c>
      <c r="H222" s="78">
        <f t="shared" si="21"/>
        <v>0.22069545831550608</v>
      </c>
      <c r="I222" s="68">
        <v>7.6050000000000004</v>
      </c>
      <c r="J222" s="68">
        <v>30.715</v>
      </c>
      <c r="K222" s="69">
        <v>16.958100000000002</v>
      </c>
      <c r="L222" s="70">
        <f t="shared" si="22"/>
        <v>3.0387902695595002</v>
      </c>
      <c r="M222" s="95">
        <f t="shared" si="23"/>
        <v>5731585.5454821028</v>
      </c>
    </row>
    <row r="223" spans="1:13" ht="15" customHeight="1" x14ac:dyDescent="0.25">
      <c r="A223" s="65" t="str">
        <f>_xlfn.XLOOKUP(C223,'Sectors &amp; Company Names'!$B$2:$B$2814,'Sectors &amp; Company Names'!$C$2:$C$2814)</f>
        <v>Utilities - Regulated Electric</v>
      </c>
      <c r="B223" s="65" t="str">
        <f>_xlfn.XLOOKUP(C223,'Sectors &amp; Company Names'!$B$2:$B$2814,'Sectors &amp; Company Names'!$A$2:$A$2814)</f>
        <v>EDISON INTERNATIONAL EIX</v>
      </c>
      <c r="C223" s="65" t="s">
        <v>2876</v>
      </c>
      <c r="D223" s="66">
        <v>1.9127960000000005E-3</v>
      </c>
      <c r="E223" s="67">
        <f t="shared" si="18"/>
        <v>18687551.819562592</v>
      </c>
      <c r="F223" s="67">
        <f t="shared" si="19"/>
        <v>35888593.83529634</v>
      </c>
      <c r="G223" s="71">
        <f t="shared" si="20"/>
        <v>17201042.015733749</v>
      </c>
      <c r="H223" s="78">
        <f t="shared" si="21"/>
        <v>9.7706637728375956E-2</v>
      </c>
      <c r="I223" s="68">
        <v>27.28</v>
      </c>
      <c r="J223" s="68">
        <v>52.39</v>
      </c>
      <c r="K223" s="69">
        <v>15.248200000000001</v>
      </c>
      <c r="L223" s="70">
        <f t="shared" si="22"/>
        <v>0.92045454545454541</v>
      </c>
      <c r="M223" s="95">
        <f t="shared" si="23"/>
        <v>685027.55936813017</v>
      </c>
    </row>
    <row r="224" spans="1:13" ht="15" customHeight="1" x14ac:dyDescent="0.25">
      <c r="A224" s="65" t="str">
        <f>_xlfn.XLOOKUP(C224,'Sectors &amp; Company Names'!$B$2:$B$2814,'Sectors &amp; Company Names'!$C$2:$C$2814)</f>
        <v>Medical Devices</v>
      </c>
      <c r="B224" s="65" t="str">
        <f>_xlfn.XLOOKUP(C224,'Sectors &amp; Company Names'!$B$2:$B$2814,'Sectors &amp; Company Names'!$A$2:$A$2814)</f>
        <v>EDWARDS LIFESCIENCES EW</v>
      </c>
      <c r="C224" s="65" t="s">
        <v>1646</v>
      </c>
      <c r="D224" s="66">
        <v>2.2076359999999972E-3</v>
      </c>
      <c r="E224" s="67">
        <f t="shared" si="18"/>
        <v>21568066.928586125</v>
      </c>
      <c r="F224" s="67">
        <f t="shared" si="19"/>
        <v>14518486.04090324</v>
      </c>
      <c r="G224" s="71">
        <f t="shared" si="20"/>
        <v>-7049580.8876828849</v>
      </c>
      <c r="H224" s="78">
        <f t="shared" si="21"/>
        <v>-5.4972816095987365E-2</v>
      </c>
      <c r="I224" s="68">
        <v>109.3</v>
      </c>
      <c r="J224" s="68">
        <v>73.575000000000003</v>
      </c>
      <c r="K224" s="69">
        <v>30.834199999999999</v>
      </c>
      <c r="L224" s="70">
        <f t="shared" si="22"/>
        <v>-0.32685269899359559</v>
      </c>
      <c r="M224" s="95">
        <f t="shared" si="23"/>
        <v>197329.06613528018</v>
      </c>
    </row>
    <row r="225" spans="1:13" ht="15" customHeight="1" x14ac:dyDescent="0.25">
      <c r="A225" s="65" t="str">
        <f>_xlfn.XLOOKUP(C225,'Sectors &amp; Company Names'!$B$2:$B$2814,'Sectors &amp; Company Names'!$C$2:$C$2814)</f>
        <v>Utilities - Regulated Electric</v>
      </c>
      <c r="B225" s="65" t="str">
        <f>_xlfn.XLOOKUP(C225,'Sectors &amp; Company Names'!$B$2:$B$2814,'Sectors &amp; Company Names'!$A$2:$A$2814)</f>
        <v>EL PASO ELECTRIC CO EE</v>
      </c>
      <c r="C225" s="65" t="s">
        <v>2886</v>
      </c>
      <c r="D225" s="66">
        <v>3.1915160000000214E-3</v>
      </c>
      <c r="E225" s="67">
        <f t="shared" si="18"/>
        <v>31180335.296060592</v>
      </c>
      <c r="F225" s="67">
        <f t="shared" si="19"/>
        <v>12602070.723340033</v>
      </c>
      <c r="G225" s="71">
        <f t="shared" si="20"/>
        <v>-18578264.572720557</v>
      </c>
      <c r="H225" s="78">
        <f t="shared" si="21"/>
        <v>-0.12139342823239507</v>
      </c>
      <c r="I225" s="68">
        <v>70.069999999999993</v>
      </c>
      <c r="J225" s="68">
        <v>28.32</v>
      </c>
      <c r="K225" s="69">
        <v>26.702999999999999</v>
      </c>
      <c r="L225" s="70">
        <f t="shared" si="22"/>
        <v>-0.59583273868988151</v>
      </c>
      <c r="M225" s="95">
        <f t="shared" si="23"/>
        <v>444988.37299929495</v>
      </c>
    </row>
    <row r="226" spans="1:13" ht="15" customHeight="1" x14ac:dyDescent="0.25">
      <c r="A226" s="65" t="str">
        <f>_xlfn.XLOOKUP(C226,'Sectors &amp; Company Names'!$B$2:$B$2814,'Sectors &amp; Company Names'!$C$2:$C$2814)</f>
        <v>Electronic Components</v>
      </c>
      <c r="B226" s="65" t="str">
        <f>_xlfn.XLOOKUP(C226,'Sectors &amp; Company Names'!$B$2:$B$2814,'Sectors &amp; Company Names'!$A$2:$A$2814)</f>
        <v>ENERSYS INC ENS</v>
      </c>
      <c r="C226" s="65" t="s">
        <v>1124</v>
      </c>
      <c r="D226" s="66">
        <v>4.2790759999999E-3</v>
      </c>
      <c r="E226" s="67">
        <f t="shared" si="18"/>
        <v>41805532.053519942</v>
      </c>
      <c r="F226" s="67">
        <f t="shared" si="19"/>
        <v>72003484.785817459</v>
      </c>
      <c r="G226" s="71">
        <f t="shared" si="20"/>
        <v>30197952.732297517</v>
      </c>
      <c r="H226" s="78">
        <f t="shared" si="21"/>
        <v>8.0765304939032223E-2</v>
      </c>
      <c r="I226" s="68">
        <v>59.57</v>
      </c>
      <c r="J226" s="68">
        <v>102.6</v>
      </c>
      <c r="K226" s="69">
        <v>12.543100000000001</v>
      </c>
      <c r="L226" s="70">
        <f t="shared" si="22"/>
        <v>0.72234346147389616</v>
      </c>
      <c r="M226" s="95">
        <f t="shared" si="23"/>
        <v>701788.3507389616</v>
      </c>
    </row>
    <row r="227" spans="1:13" ht="15" customHeight="1" x14ac:dyDescent="0.25">
      <c r="A227" s="65" t="str">
        <f>_xlfn.XLOOKUP(C227,'Sectors &amp; Company Names'!$B$2:$B$2814,'Sectors &amp; Company Names'!$C$2:$C$2814)</f>
        <v>Long-Term Care Facilities</v>
      </c>
      <c r="B227" s="65" t="str">
        <f>_xlfn.XLOOKUP(C227,'Sectors &amp; Company Names'!$B$2:$B$2814,'Sectors &amp; Company Names'!$A$2:$A$2814)</f>
        <v>ENSIGN GROUP INC ENSG</v>
      </c>
      <c r="C227" s="65" t="s">
        <v>1559</v>
      </c>
      <c r="D227" s="66">
        <v>1.9635559999999995E-3</v>
      </c>
      <c r="E227" s="67">
        <f t="shared" si="18"/>
        <v>19183464.677160047</v>
      </c>
      <c r="F227" s="67">
        <f t="shared" si="19"/>
        <v>21769766.763780583</v>
      </c>
      <c r="G227" s="71">
        <f t="shared" si="20"/>
        <v>2586302.0866205357</v>
      </c>
      <c r="H227" s="78">
        <f t="shared" si="21"/>
        <v>1.8231845559686377E-2</v>
      </c>
      <c r="I227" s="68">
        <v>111.26</v>
      </c>
      <c r="J227" s="68">
        <v>126.26</v>
      </c>
      <c r="K227" s="69">
        <v>30.531300000000002</v>
      </c>
      <c r="L227" s="70">
        <f t="shared" si="22"/>
        <v>0.13481934208161064</v>
      </c>
      <c r="M227" s="95">
        <f t="shared" si="23"/>
        <v>172420.13910803566</v>
      </c>
    </row>
    <row r="228" spans="1:13" ht="15" customHeight="1" x14ac:dyDescent="0.25">
      <c r="A228" s="65" t="str">
        <f>_xlfn.XLOOKUP(C228,'Sectors &amp; Company Names'!$B$2:$B$2814,'Sectors &amp; Company Names'!$C$2:$C$2814)</f>
        <v>Insurance - Diversified</v>
      </c>
      <c r="B228" s="65" t="str">
        <f>_xlfn.XLOOKUP(C228,'Sectors &amp; Company Names'!$B$2:$B$2814,'Sectors &amp; Company Names'!$A$2:$A$2814)</f>
        <v>ENSTAR GROUP LIMITED ESGR</v>
      </c>
      <c r="C228" s="65" t="s">
        <v>1370</v>
      </c>
      <c r="D228" s="66">
        <v>3.6699559999999942E-3</v>
      </c>
      <c r="E228" s="67">
        <f t="shared" si="18"/>
        <v>35854577.762351304</v>
      </c>
      <c r="F228" s="67">
        <f t="shared" si="19"/>
        <v>143677657.00066993</v>
      </c>
      <c r="G228" s="71">
        <f t="shared" si="20"/>
        <v>107823079.23831862</v>
      </c>
      <c r="H228" s="78">
        <f t="shared" si="21"/>
        <v>0.21932831966112554</v>
      </c>
      <c r="I228" s="68">
        <v>82.95</v>
      </c>
      <c r="J228" s="68">
        <v>332.4</v>
      </c>
      <c r="K228" s="69">
        <v>5.0087000000000002</v>
      </c>
      <c r="L228" s="70">
        <f t="shared" si="22"/>
        <v>3.0072332730560576</v>
      </c>
      <c r="M228" s="95">
        <f t="shared" si="23"/>
        <v>432243.25210791198</v>
      </c>
    </row>
    <row r="229" spans="1:13" ht="15" customHeight="1" x14ac:dyDescent="0.25">
      <c r="A229" s="65" t="str">
        <f>_xlfn.XLOOKUP(C229,'Sectors &amp; Company Names'!$B$2:$B$2814,'Sectors &amp; Company Names'!$C$2:$C$2814)</f>
        <v>Semiconductor Equipment &amp; Materials</v>
      </c>
      <c r="B229" s="65" t="str">
        <f>_xlfn.XLOOKUP(C229,'Sectors &amp; Company Names'!$B$2:$B$2814,'Sectors &amp; Company Names'!$A$2:$A$2814)</f>
        <v>ENTEGRIS INC ENTG</v>
      </c>
      <c r="C229" s="65" t="s">
        <v>2400</v>
      </c>
      <c r="D229" s="66">
        <v>2.7649160000000109E-3</v>
      </c>
      <c r="E229" s="67">
        <f t="shared" si="18"/>
        <v>27012557.02476266</v>
      </c>
      <c r="F229" s="67">
        <f t="shared" si="19"/>
        <v>142613217.30934229</v>
      </c>
      <c r="G229" s="71">
        <f t="shared" si="20"/>
        <v>115600660.28457963</v>
      </c>
      <c r="H229" s="78">
        <f t="shared" si="21"/>
        <v>0.26831674369406122</v>
      </c>
      <c r="I229" s="68">
        <v>19.82</v>
      </c>
      <c r="J229" s="68">
        <v>104.64</v>
      </c>
      <c r="K229" s="69">
        <v>53.988599999999998</v>
      </c>
      <c r="L229" s="70">
        <f t="shared" si="22"/>
        <v>4.2795156407669017</v>
      </c>
      <c r="M229" s="95">
        <f t="shared" si="23"/>
        <v>1362893.8963048768</v>
      </c>
    </row>
    <row r="230" spans="1:13" ht="15" customHeight="1" x14ac:dyDescent="0.25">
      <c r="A230" s="65" t="str">
        <f>_xlfn.XLOOKUP(C230,'Sectors &amp; Company Names'!$B$2:$B$2814,'Sectors &amp; Company Names'!$C$2:$C$2814)</f>
        <v>Utilities - Diversified</v>
      </c>
      <c r="B230" s="65" t="str">
        <f>_xlfn.XLOOKUP(C230,'Sectors &amp; Company Names'!$B$2:$B$2814,'Sectors &amp; Company Names'!$A$2:$A$2814)</f>
        <v>ENTERGY CORP ETR</v>
      </c>
      <c r="C230" s="65" t="s">
        <v>2857</v>
      </c>
      <c r="D230" s="66">
        <v>4.1257159999999234E-3</v>
      </c>
      <c r="E230" s="67">
        <f t="shared" si="18"/>
        <v>40307242.143332094</v>
      </c>
      <c r="F230" s="67">
        <f t="shared" si="19"/>
        <v>179859965.59760728</v>
      </c>
      <c r="G230" s="71">
        <f t="shared" si="20"/>
        <v>139552723.45427519</v>
      </c>
      <c r="H230" s="78">
        <f t="shared" si="21"/>
        <v>0.23820644500605992</v>
      </c>
      <c r="I230" s="68">
        <v>19.059999999999999</v>
      </c>
      <c r="J230" s="68">
        <v>85.05</v>
      </c>
      <c r="K230" s="69">
        <v>34.778399999999998</v>
      </c>
      <c r="L230" s="70">
        <f t="shared" si="22"/>
        <v>3.4622245540398739</v>
      </c>
      <c r="M230" s="95">
        <f t="shared" si="23"/>
        <v>2114755.6213710438</v>
      </c>
    </row>
    <row r="231" spans="1:13" ht="15" customHeight="1" x14ac:dyDescent="0.25">
      <c r="A231" s="65" t="str">
        <f>_xlfn.XLOOKUP(C231,'Sectors &amp; Company Names'!$B$2:$B$2814,'Sectors &amp; Company Names'!$C$2:$C$2814)</f>
        <v>Banks - Regional - US</v>
      </c>
      <c r="B231" s="65" t="str">
        <f>_xlfn.XLOOKUP(C231,'Sectors &amp; Company Names'!$B$2:$B$2814,'Sectors &amp; Company Names'!$A$2:$A$2814)</f>
        <v>ENTERPRISE FINL SERVICES EFSC</v>
      </c>
      <c r="C231" s="65" t="s">
        <v>288</v>
      </c>
      <c r="D231" s="66">
        <v>3.4301960000000273E-3</v>
      </c>
      <c r="E231" s="67">
        <f t="shared" si="18"/>
        <v>33512180.860508293</v>
      </c>
      <c r="F231" s="67">
        <f t="shared" si="19"/>
        <v>51963490.842743933</v>
      </c>
      <c r="G231" s="71">
        <f t="shared" si="20"/>
        <v>18451309.98223564</v>
      </c>
      <c r="H231" s="78">
        <f t="shared" si="21"/>
        <v>6.4666676465447326E-2</v>
      </c>
      <c r="I231" s="68">
        <v>38.450000000000003</v>
      </c>
      <c r="J231" s="68">
        <v>59.62</v>
      </c>
      <c r="K231" s="69">
        <v>12.2507</v>
      </c>
      <c r="L231" s="70">
        <f t="shared" si="22"/>
        <v>0.55058517555266562</v>
      </c>
      <c r="M231" s="95">
        <f t="shared" si="23"/>
        <v>871578.17582596338</v>
      </c>
    </row>
    <row r="232" spans="1:13" ht="15" customHeight="1" x14ac:dyDescent="0.25">
      <c r="A232" s="65" t="str">
        <f>_xlfn.XLOOKUP(C232,'Sectors &amp; Company Names'!$B$2:$B$2814,'Sectors &amp; Company Names'!$C$2:$C$2814)</f>
        <v>Broadcasting - TV</v>
      </c>
      <c r="B232" s="65" t="str">
        <f>_xlfn.XLOOKUP(C232,'Sectors &amp; Company Names'!$B$2:$B$2814,'Sectors &amp; Company Names'!$A$2:$A$2814)</f>
        <v>ENTRAVISION COMM EVC</v>
      </c>
      <c r="C232" s="65" t="s">
        <v>616</v>
      </c>
      <c r="D232" s="66">
        <v>2.0229559999999981E-3</v>
      </c>
      <c r="E232" s="67">
        <f t="shared" si="18"/>
        <v>19763788.233923022</v>
      </c>
      <c r="F232" s="67">
        <f t="shared" si="19"/>
        <v>1308780.6303144647</v>
      </c>
      <c r="G232" s="71">
        <f t="shared" si="20"/>
        <v>-18455007.603608556</v>
      </c>
      <c r="H232" s="78">
        <f t="shared" si="21"/>
        <v>-0.32146703389451547</v>
      </c>
      <c r="I232" s="68">
        <v>32.92</v>
      </c>
      <c r="J232" s="68">
        <v>2.1800000000000002</v>
      </c>
      <c r="K232" s="65">
        <v>0</v>
      </c>
      <c r="L232" s="70">
        <f t="shared" si="22"/>
        <v>-0.93377885783718106</v>
      </c>
      <c r="M232" s="95">
        <f t="shared" si="23"/>
        <v>600358.08730021317</v>
      </c>
    </row>
    <row r="233" spans="1:13" ht="15" customHeight="1" x14ac:dyDescent="0.25">
      <c r="A233" s="65" t="str">
        <f>_xlfn.XLOOKUP(C233,'Sectors &amp; Company Names'!$B$2:$B$2814,'Sectors &amp; Company Names'!$C$2:$C$2814)</f>
        <v>REIT - Retail</v>
      </c>
      <c r="B233" s="65" t="str">
        <f>_xlfn.XLOOKUP(C233,'Sectors &amp; Company Names'!$B$2:$B$2814,'Sectors &amp; Company Names'!$A$2:$A$2814)</f>
        <v>EPR PROPERTIES EPR</v>
      </c>
      <c r="C233" s="65" t="s">
        <v>2193</v>
      </c>
      <c r="D233" s="66">
        <v>3.557636000000012E-3</v>
      </c>
      <c r="E233" s="67">
        <f t="shared" si="18"/>
        <v>34757238.673199646</v>
      </c>
      <c r="F233" s="67">
        <f t="shared" si="19"/>
        <v>6202002.595502181</v>
      </c>
      <c r="G233" s="71">
        <f t="shared" si="20"/>
        <v>-28555236.077697463</v>
      </c>
      <c r="H233" s="78">
        <f t="shared" si="21"/>
        <v>-0.21824705612257256</v>
      </c>
      <c r="I233" s="68">
        <v>277.8</v>
      </c>
      <c r="J233" s="68">
        <v>49.57</v>
      </c>
      <c r="K233" s="69">
        <v>21.3782</v>
      </c>
      <c r="L233" s="70">
        <f t="shared" si="22"/>
        <v>-0.82156227501799861</v>
      </c>
      <c r="M233" s="95">
        <f t="shared" si="23"/>
        <v>125116.04993952352</v>
      </c>
    </row>
    <row r="234" spans="1:13" ht="15" customHeight="1" x14ac:dyDescent="0.25">
      <c r="A234" s="65" t="str">
        <f>_xlfn.XLOOKUP(C234,'Sectors &amp; Company Names'!$B$2:$B$2814,'Sectors &amp; Company Names'!$C$2:$C$2814)</f>
        <v>Oil &amp; Gas E&amp;P</v>
      </c>
      <c r="B234" s="65" t="str">
        <f>_xlfn.XLOOKUP(C234,'Sectors &amp; Company Names'!$B$2:$B$2814,'Sectors &amp; Company Names'!$A$2:$A$2814)</f>
        <v>EQT CORPORATION EQT</v>
      </c>
      <c r="C234" s="65" t="s">
        <v>1775</v>
      </c>
      <c r="D234" s="66">
        <v>2.5975160000000067E-3</v>
      </c>
      <c r="E234" s="67">
        <f t="shared" si="18"/>
        <v>25377099.728430562</v>
      </c>
      <c r="F234" s="67">
        <f t="shared" si="19"/>
        <v>516568401.99234164</v>
      </c>
      <c r="G234" s="71">
        <f t="shared" si="20"/>
        <v>491191302.26391107</v>
      </c>
      <c r="H234" s="78">
        <f t="shared" si="21"/>
        <v>0.5379957010814449</v>
      </c>
      <c r="I234" s="68">
        <v>2.46</v>
      </c>
      <c r="J234" s="68">
        <v>50.075000000000003</v>
      </c>
      <c r="K234" s="69">
        <v>127.4905</v>
      </c>
      <c r="L234" s="70">
        <f t="shared" si="22"/>
        <v>19.355691056910569</v>
      </c>
      <c r="M234" s="95">
        <f t="shared" si="23"/>
        <v>10315894.198549008</v>
      </c>
    </row>
    <row r="235" spans="1:13" ht="15" customHeight="1" x14ac:dyDescent="0.25">
      <c r="A235" s="65" t="str">
        <f>_xlfn.XLOOKUP(C235,'Sectors &amp; Company Names'!$B$2:$B$2814,'Sectors &amp; Company Names'!$C$2:$C$2814)</f>
        <v>Business Services</v>
      </c>
      <c r="B235" s="65" t="str">
        <f>_xlfn.XLOOKUP(C235,'Sectors &amp; Company Names'!$B$2:$B$2814,'Sectors &amp; Company Names'!$A$2:$A$2814)</f>
        <v>EQUIFAX INC EFX</v>
      </c>
      <c r="C235" s="65" t="s">
        <v>696</v>
      </c>
      <c r="D235" s="66">
        <v>4.246675999999905E-3</v>
      </c>
      <c r="E235" s="67">
        <f t="shared" si="18"/>
        <v>41488991.931649275</v>
      </c>
      <c r="F235" s="67">
        <f t="shared" si="19"/>
        <v>201766180.37444556</v>
      </c>
      <c r="G235" s="71">
        <f t="shared" si="20"/>
        <v>160277188.44279629</v>
      </c>
      <c r="H235" s="78">
        <f t="shared" si="21"/>
        <v>0.25351860500598344</v>
      </c>
      <c r="I235" s="68">
        <v>48.95</v>
      </c>
      <c r="J235" s="68">
        <v>238.05</v>
      </c>
      <c r="K235" s="69">
        <v>49.017699999999998</v>
      </c>
      <c r="L235" s="70">
        <f t="shared" si="22"/>
        <v>3.8631256384065376</v>
      </c>
      <c r="M235" s="95">
        <f t="shared" si="23"/>
        <v>847578.99758221197</v>
      </c>
    </row>
    <row r="236" spans="1:13" ht="15" customHeight="1" x14ac:dyDescent="0.25">
      <c r="A236" s="65" t="str">
        <f>_xlfn.XLOOKUP(C236,'Sectors &amp; Company Names'!$B$2:$B$2814,'Sectors &amp; Company Names'!$C$2:$C$2814)</f>
        <v>REIT - Diversified</v>
      </c>
      <c r="B236" s="65" t="str">
        <f>_xlfn.XLOOKUP(C236,'Sectors &amp; Company Names'!$B$2:$B$2814,'Sectors &amp; Company Names'!$A$2:$A$2814)</f>
        <v>EQUINIX INC EQIX</v>
      </c>
      <c r="C236" s="65" t="s">
        <v>2039</v>
      </c>
      <c r="D236" s="66">
        <v>3.8330359999999689E-3</v>
      </c>
      <c r="E236" s="67">
        <f t="shared" si="18"/>
        <v>37447829.709100358</v>
      </c>
      <c r="F236" s="67">
        <f t="shared" si="19"/>
        <v>459386397.34938461</v>
      </c>
      <c r="G236" s="71">
        <f t="shared" si="20"/>
        <v>421938567.64028424</v>
      </c>
      <c r="H236" s="78">
        <f t="shared" si="21"/>
        <v>0.43065832200523002</v>
      </c>
      <c r="I236" s="68">
        <v>74.84</v>
      </c>
      <c r="J236" s="68">
        <v>918.09</v>
      </c>
      <c r="K236" s="69">
        <v>107.58499999999999</v>
      </c>
      <c r="L236" s="70">
        <f t="shared" si="22"/>
        <v>11.267370390165686</v>
      </c>
      <c r="M236" s="95">
        <f t="shared" si="23"/>
        <v>500371.85608097748</v>
      </c>
    </row>
    <row r="237" spans="1:13" ht="15" customHeight="1" x14ac:dyDescent="0.25">
      <c r="A237" s="65" t="str">
        <f>_xlfn.XLOOKUP(C237,'Sectors &amp; Company Names'!$B$2:$B$2814,'Sectors &amp; Company Names'!$C$2:$C$2814)</f>
        <v>REIT - Office</v>
      </c>
      <c r="B237" s="65" t="str">
        <f>_xlfn.XLOOKUP(C237,'Sectors &amp; Company Names'!$B$2:$B$2814,'Sectors &amp; Company Names'!$A$2:$A$2814)</f>
        <v>EQUITY COMMONWEALTH EQC</v>
      </c>
      <c r="C237" s="65" t="s">
        <v>2136</v>
      </c>
      <c r="D237" s="66">
        <v>3.6343159999999998E-3</v>
      </c>
      <c r="E237" s="67">
        <f t="shared" si="18"/>
        <v>35506383.628293566</v>
      </c>
      <c r="F237" s="67">
        <f t="shared" si="19"/>
        <v>2499340.0335365986</v>
      </c>
      <c r="G237" s="71">
        <f t="shared" si="20"/>
        <v>-33007043.594756968</v>
      </c>
      <c r="H237" s="78">
        <f t="shared" si="21"/>
        <v>-0.31552144902072621</v>
      </c>
      <c r="I237" s="68">
        <v>24.79</v>
      </c>
      <c r="J237" s="68">
        <v>1.7450000000000001</v>
      </c>
      <c r="K237" s="69">
        <v>4.5172999999999996</v>
      </c>
      <c r="L237" s="70">
        <f t="shared" si="22"/>
        <v>-0.92960871319080274</v>
      </c>
      <c r="M237" s="95">
        <f t="shared" si="23"/>
        <v>1432286.5521699705</v>
      </c>
    </row>
    <row r="238" spans="1:13" ht="15" customHeight="1" x14ac:dyDescent="0.25">
      <c r="A238" s="65" t="str">
        <f>_xlfn.XLOOKUP(C238,'Sectors &amp; Company Names'!$B$2:$B$2814,'Sectors &amp; Company Names'!$C$2:$C$2814)</f>
        <v>REIT - Residential</v>
      </c>
      <c r="B238" s="65" t="str">
        <f>_xlfn.XLOOKUP(C238,'Sectors &amp; Company Names'!$B$2:$B$2814,'Sectors &amp; Company Names'!$A$2:$A$2814)</f>
        <v>EQUITY RESIDENTIAL EQR</v>
      </c>
      <c r="C238" s="65" t="s">
        <v>2169</v>
      </c>
      <c r="D238" s="66">
        <v>2.0413159999999979E-3</v>
      </c>
      <c r="E238" s="67">
        <f t="shared" si="18"/>
        <v>19943160.969649762</v>
      </c>
      <c r="F238" s="67">
        <f t="shared" si="19"/>
        <v>3668750.3695580889</v>
      </c>
      <c r="G238" s="71">
        <f t="shared" si="20"/>
        <v>-16274410.600091673</v>
      </c>
      <c r="H238" s="78">
        <f t="shared" si="21"/>
        <v>-0.21483560853306949</v>
      </c>
      <c r="I238" s="68">
        <v>389.16</v>
      </c>
      <c r="J238" s="68">
        <v>71.59</v>
      </c>
      <c r="K238" s="69">
        <v>26.3156</v>
      </c>
      <c r="L238" s="70">
        <f t="shared" si="22"/>
        <v>-0.81603967519786214</v>
      </c>
      <c r="M238" s="95">
        <f t="shared" si="23"/>
        <v>51246.687659702315</v>
      </c>
    </row>
    <row r="239" spans="1:13" ht="15" customHeight="1" x14ac:dyDescent="0.25">
      <c r="A239" s="65" t="str">
        <f>_xlfn.XLOOKUP(C239,'Sectors &amp; Company Names'!$B$2:$B$2814,'Sectors &amp; Company Names'!$C$2:$C$2814)</f>
        <v>Insurance Brokers</v>
      </c>
      <c r="B239" s="65" t="str">
        <f>_xlfn.XLOOKUP(C239,'Sectors &amp; Company Names'!$B$2:$B$2814,'Sectors &amp; Company Names'!$A$2:$A$2814)</f>
        <v>ERIE INDEMNITY CO ERIE</v>
      </c>
      <c r="C239" s="65" t="s">
        <v>1471</v>
      </c>
      <c r="D239" s="66">
        <v>2.5337960000000053E-3</v>
      </c>
      <c r="E239" s="67">
        <f t="shared" si="18"/>
        <v>24754570.822084796</v>
      </c>
      <c r="F239" s="67">
        <f t="shared" si="19"/>
        <v>261514018.20853689</v>
      </c>
      <c r="G239" s="71">
        <f t="shared" si="20"/>
        <v>236759447.38645211</v>
      </c>
      <c r="H239" s="78">
        <f t="shared" si="21"/>
        <v>0.40043448360445488</v>
      </c>
      <c r="I239" s="68">
        <v>36.33</v>
      </c>
      <c r="J239" s="68">
        <v>383.8</v>
      </c>
      <c r="K239" s="69">
        <v>35.870899999999999</v>
      </c>
      <c r="L239" s="70">
        <f t="shared" si="22"/>
        <v>9.5642719515551899</v>
      </c>
      <c r="M239" s="95">
        <f t="shared" si="23"/>
        <v>681380.97500921541</v>
      </c>
    </row>
    <row r="240" spans="1:13" ht="15" customHeight="1" x14ac:dyDescent="0.25">
      <c r="A240" s="65" t="str">
        <f>_xlfn.XLOOKUP(C240,'Sectors &amp; Company Names'!$B$2:$B$2814,'Sectors &amp; Company Names'!$C$2:$C$2814)</f>
        <v>Specialty Finance</v>
      </c>
      <c r="B240" s="65" t="str">
        <f>_xlfn.XLOOKUP(C240,'Sectors &amp; Company Names'!$B$2:$B$2814,'Sectors &amp; Company Names'!$A$2:$A$2814)</f>
        <v>ESSENT GROUP LTD ESNT</v>
      </c>
      <c r="C240" s="65" t="s">
        <v>2672</v>
      </c>
      <c r="D240" s="66">
        <v>2.2562359999999987E-3</v>
      </c>
      <c r="E240" s="67">
        <f t="shared" si="18"/>
        <v>22042877.111392219</v>
      </c>
      <c r="F240" s="67">
        <f t="shared" si="19"/>
        <v>79405258.407683566</v>
      </c>
      <c r="G240" s="71">
        <f t="shared" si="20"/>
        <v>57362381.296291351</v>
      </c>
      <c r="H240" s="78">
        <f t="shared" si="21"/>
        <v>0.2009130636081693</v>
      </c>
      <c r="I240" s="68">
        <v>15.59</v>
      </c>
      <c r="J240" s="68">
        <v>56.16</v>
      </c>
      <c r="K240" s="69">
        <v>8.2669999999999995</v>
      </c>
      <c r="L240" s="70">
        <f t="shared" si="22"/>
        <v>2.6023091725465037</v>
      </c>
      <c r="M240" s="95">
        <f t="shared" si="23"/>
        <v>1413911.2964331121</v>
      </c>
    </row>
    <row r="241" spans="1:13" ht="15" customHeight="1" x14ac:dyDescent="0.25">
      <c r="A241" s="65" t="str">
        <f>_xlfn.XLOOKUP(C241,'Sectors &amp; Company Names'!$B$2:$B$2814,'Sectors &amp; Company Names'!$C$2:$C$2814)</f>
        <v>Household &amp; Personal Products</v>
      </c>
      <c r="B241" s="65" t="str">
        <f>_xlfn.XLOOKUP(C241,'Sectors &amp; Company Names'!$B$2:$B$2814,'Sectors &amp; Company Names'!$A$2:$A$2814)</f>
        <v>ESTEE LAUDER COMPANIES EL</v>
      </c>
      <c r="C241" s="65" t="s">
        <v>1311</v>
      </c>
      <c r="D241" s="66">
        <v>4.1656759999999177E-3</v>
      </c>
      <c r="E241" s="67">
        <f t="shared" si="18"/>
        <v>40697641.626972593</v>
      </c>
      <c r="F241" s="67">
        <f t="shared" si="19"/>
        <v>25342006.519389916</v>
      </c>
      <c r="G241" s="71">
        <f t="shared" si="20"/>
        <v>-15355635.107582677</v>
      </c>
      <c r="H241" s="78">
        <f t="shared" si="21"/>
        <v>-6.5433411198262736E-2</v>
      </c>
      <c r="I241" s="68">
        <v>115.25</v>
      </c>
      <c r="J241" s="68">
        <v>71.765000000000001</v>
      </c>
      <c r="K241" s="65">
        <v>0</v>
      </c>
      <c r="L241" s="70">
        <f t="shared" si="22"/>
        <v>-0.37731019522776571</v>
      </c>
      <c r="M241" s="95">
        <f t="shared" si="23"/>
        <v>353124.87311906804</v>
      </c>
    </row>
    <row r="242" spans="1:13" ht="15" customHeight="1" x14ac:dyDescent="0.25">
      <c r="A242" s="65" t="str">
        <f>_xlfn.XLOOKUP(C242,'Sectors &amp; Company Names'!$B$2:$B$2814,'Sectors &amp; Company Names'!$C$2:$C$2814)</f>
        <v>Specialty Retail</v>
      </c>
      <c r="B242" s="65" t="str">
        <f>_xlfn.XLOOKUP(C242,'Sectors &amp; Company Names'!$B$2:$B$2814,'Sectors &amp; Company Names'!$A$2:$A$2814)</f>
        <v>ETSY INC ETSY</v>
      </c>
      <c r="C242" s="65" t="s">
        <v>2706</v>
      </c>
      <c r="D242" s="66">
        <v>1.7929160000000001E-3</v>
      </c>
      <c r="E242" s="67">
        <f t="shared" si="18"/>
        <v>17516353.368640922</v>
      </c>
      <c r="F242" s="67">
        <f t="shared" si="19"/>
        <v>22699627.860504441</v>
      </c>
      <c r="G242" s="71">
        <f t="shared" si="20"/>
        <v>5183274.491863519</v>
      </c>
      <c r="H242" s="78">
        <f t="shared" si="21"/>
        <v>3.7724686932691043E-2</v>
      </c>
      <c r="I242" s="68">
        <v>39.369999999999997</v>
      </c>
      <c r="J242" s="68">
        <v>51.02</v>
      </c>
      <c r="K242" s="69">
        <v>21.636900000000001</v>
      </c>
      <c r="L242" s="70">
        <f t="shared" si="22"/>
        <v>0.29591059182118379</v>
      </c>
      <c r="M242" s="95">
        <f t="shared" si="23"/>
        <v>444916.26539601019</v>
      </c>
    </row>
    <row r="243" spans="1:13" ht="15" customHeight="1" x14ac:dyDescent="0.25">
      <c r="A243" s="65" t="str">
        <f>_xlfn.XLOOKUP(C243,'Sectors &amp; Company Names'!$B$2:$B$2814,'Sectors &amp; Company Names'!$C$2:$C$2814)</f>
        <v>Capital Markets</v>
      </c>
      <c r="B243" s="65" t="str">
        <f>_xlfn.XLOOKUP(C243,'Sectors &amp; Company Names'!$B$2:$B$2814,'Sectors &amp; Company Names'!$A$2:$A$2814)</f>
        <v>EVERCORE PARTNERS EVR</v>
      </c>
      <c r="C243" s="65" t="s">
        <v>745</v>
      </c>
      <c r="D243" s="66">
        <v>3.2789960000000232E-3</v>
      </c>
      <c r="E243" s="67">
        <f t="shared" si="18"/>
        <v>32034993.625111554</v>
      </c>
      <c r="F243" s="67">
        <f t="shared" si="19"/>
        <v>104549807.72886537</v>
      </c>
      <c r="G243" s="71">
        <f t="shared" si="20"/>
        <v>72514814.10375382</v>
      </c>
      <c r="H243" s="78">
        <f t="shared" si="21"/>
        <v>0.18409218230343205</v>
      </c>
      <c r="I243" s="68">
        <v>76.400000000000006</v>
      </c>
      <c r="J243" s="68">
        <v>249.34</v>
      </c>
      <c r="K243" s="69">
        <v>31.6782</v>
      </c>
      <c r="L243" s="70">
        <f t="shared" si="22"/>
        <v>2.2636125654450261</v>
      </c>
      <c r="M243" s="95">
        <f t="shared" si="23"/>
        <v>419306.1992815648</v>
      </c>
    </row>
    <row r="244" spans="1:13" ht="15" customHeight="1" x14ac:dyDescent="0.25">
      <c r="A244" s="65" t="str">
        <f>_xlfn.XLOOKUP(C244,'Sectors &amp; Company Names'!$B$2:$B$2814,'Sectors &amp; Company Names'!$C$2:$C$2814)</f>
        <v>Utilities - Regulated Electric</v>
      </c>
      <c r="B244" s="65" t="str">
        <f>_xlfn.XLOOKUP(C244,'Sectors &amp; Company Names'!$B$2:$B$2814,'Sectors &amp; Company Names'!$A$2:$A$2814)</f>
        <v>EVERSOURCE ENERGY ES</v>
      </c>
      <c r="C244" s="65" t="s">
        <v>2887</v>
      </c>
      <c r="D244" s="66">
        <v>3.9010759999999582E-3</v>
      </c>
      <c r="E244" s="67">
        <f t="shared" si="18"/>
        <v>38112563.96502877</v>
      </c>
      <c r="F244" s="67">
        <f t="shared" si="19"/>
        <v>39918757.138404466</v>
      </c>
      <c r="G244" s="71">
        <f t="shared" si="20"/>
        <v>1806193.1733756959</v>
      </c>
      <c r="H244" s="78">
        <f t="shared" si="21"/>
        <v>6.6365429748900251E-3</v>
      </c>
      <c r="I244" s="68">
        <v>60.56</v>
      </c>
      <c r="J244" s="68">
        <v>63.43</v>
      </c>
      <c r="K244" s="69">
        <v>27.250599999999999</v>
      </c>
      <c r="L244" s="70">
        <f t="shared" si="22"/>
        <v>4.7391017173051476E-2</v>
      </c>
      <c r="M244" s="95">
        <f t="shared" si="23"/>
        <v>629335.6004793389</v>
      </c>
    </row>
    <row r="245" spans="1:13" ht="15" customHeight="1" x14ac:dyDescent="0.25">
      <c r="A245" s="65" t="str">
        <f>_xlfn.XLOOKUP(C245,'Sectors &amp; Company Names'!$B$2:$B$2814,'Sectors &amp; Company Names'!$C$2:$C$2814)</f>
        <v>Software - Infrastructure</v>
      </c>
      <c r="B245" s="65" t="str">
        <f>_xlfn.XLOOKUP(C245,'Sectors &amp; Company Names'!$B$2:$B$2814,'Sectors &amp; Company Names'!$A$2:$A$2814)</f>
        <v>EVERTEC INC EVTC</v>
      </c>
      <c r="C245" s="65" t="s">
        <v>2606</v>
      </c>
      <c r="D245" s="66">
        <v>3.8621959999999645E-3</v>
      </c>
      <c r="E245" s="67">
        <f t="shared" si="18"/>
        <v>37732715.818783961</v>
      </c>
      <c r="F245" s="67">
        <f t="shared" si="19"/>
        <v>15142344.556794725</v>
      </c>
      <c r="G245" s="71">
        <f t="shared" si="20"/>
        <v>-22590371.261989236</v>
      </c>
      <c r="H245" s="78">
        <f t="shared" si="21"/>
        <v>-0.12228487980599034</v>
      </c>
      <c r="I245" s="68">
        <v>82.73</v>
      </c>
      <c r="J245" s="68">
        <v>33.200000000000003</v>
      </c>
      <c r="K245" s="69">
        <v>25.890799999999999</v>
      </c>
      <c r="L245" s="70">
        <f t="shared" si="22"/>
        <v>-0.59869454853136705</v>
      </c>
      <c r="M245" s="95">
        <f t="shared" si="23"/>
        <v>456094.71556610614</v>
      </c>
    </row>
    <row r="246" spans="1:13" ht="15" customHeight="1" x14ac:dyDescent="0.25">
      <c r="A246" s="65" t="str">
        <f>_xlfn.XLOOKUP(C246,'Sectors &amp; Company Names'!$B$2:$B$2814,'Sectors &amp; Company Names'!$C$2:$C$2814)</f>
        <v>Diagnostics &amp; Research</v>
      </c>
      <c r="B246" s="65" t="str">
        <f>_xlfn.XLOOKUP(C246,'Sectors &amp; Company Names'!$B$2:$B$2814,'Sectors &amp; Company Names'!$A$2:$A$2814)</f>
        <v>EXACT SCIENCES CORP EXAS</v>
      </c>
      <c r="C246" s="65" t="s">
        <v>933</v>
      </c>
      <c r="D246" s="66">
        <v>2.076955999999997E-3</v>
      </c>
      <c r="E246" s="67">
        <f t="shared" si="18"/>
        <v>20291355.103707548</v>
      </c>
      <c r="F246" s="67">
        <f t="shared" si="19"/>
        <v>9292072.5958149042</v>
      </c>
      <c r="G246" s="71">
        <f t="shared" si="20"/>
        <v>-10999282.507892644</v>
      </c>
      <c r="H246" s="78">
        <f t="shared" si="21"/>
        <v>-0.10557675484447149</v>
      </c>
      <c r="I246" s="68">
        <v>107.09</v>
      </c>
      <c r="J246" s="68">
        <v>49.04</v>
      </c>
      <c r="K246" s="69">
        <v>0</v>
      </c>
      <c r="L246" s="70">
        <f t="shared" si="22"/>
        <v>-0.54206741992716412</v>
      </c>
      <c r="M246" s="95">
        <f t="shared" si="23"/>
        <v>189479.45750030392</v>
      </c>
    </row>
    <row r="247" spans="1:13" ht="15" customHeight="1" x14ac:dyDescent="0.25">
      <c r="A247" s="65" t="str">
        <f>_xlfn.XLOOKUP(C247,'Sectors &amp; Company Names'!$B$2:$B$2814,'Sectors &amp; Company Names'!$C$2:$C$2814)</f>
        <v>Utilities - Diversified</v>
      </c>
      <c r="B247" s="65" t="str">
        <f>_xlfn.XLOOKUP(C247,'Sectors &amp; Company Names'!$B$2:$B$2814,'Sectors &amp; Company Names'!$A$2:$A$2814)</f>
        <v>EXELON CORP EXC</v>
      </c>
      <c r="C247" s="65" t="s">
        <v>2858</v>
      </c>
      <c r="D247" s="66">
        <v>2.5999999999999999E-3</v>
      </c>
      <c r="E247" s="67">
        <f t="shared" si="18"/>
        <v>25401367.804440584</v>
      </c>
      <c r="F247" s="67">
        <f t="shared" si="19"/>
        <v>16940764.391905174</v>
      </c>
      <c r="G247" s="71">
        <f t="shared" si="20"/>
        <v>-8460603.4125354104</v>
      </c>
      <c r="H247" s="78">
        <f t="shared" si="21"/>
        <v>-5.6226050356737334E-2</v>
      </c>
      <c r="I247" s="68">
        <v>64.94</v>
      </c>
      <c r="J247" s="68">
        <v>43.31</v>
      </c>
      <c r="K247" s="69">
        <v>17.531099999999999</v>
      </c>
      <c r="L247" s="70">
        <f t="shared" si="22"/>
        <v>-0.33307668617185088</v>
      </c>
      <c r="M247" s="95">
        <f t="shared" si="23"/>
        <v>391151.33668679686</v>
      </c>
    </row>
    <row r="248" spans="1:13" ht="15" customHeight="1" x14ac:dyDescent="0.25">
      <c r="A248" s="65" t="str">
        <f>_xlfn.XLOOKUP(C248,'Sectors &amp; Company Names'!$B$2:$B$2814,'Sectors &amp; Company Names'!$C$2:$C$2814)</f>
        <v>Business Services</v>
      </c>
      <c r="B248" s="65" t="str">
        <f>_xlfn.XLOOKUP(C248,'Sectors &amp; Company Names'!$B$2:$B$2814,'Sectors &amp; Company Names'!$A$2:$A$2814)</f>
        <v>EXPONENT INC EXPO</v>
      </c>
      <c r="C248" s="65" t="s">
        <v>699</v>
      </c>
      <c r="D248" s="66">
        <v>4.3255159999998922E-3</v>
      </c>
      <c r="E248" s="67">
        <f t="shared" si="18"/>
        <v>42259239.561534569</v>
      </c>
      <c r="F248" s="67">
        <f t="shared" si="19"/>
        <v>67028090.366307855</v>
      </c>
      <c r="G248" s="71">
        <f t="shared" si="20"/>
        <v>24768850.804773286</v>
      </c>
      <c r="H248" s="78">
        <f t="shared" si="21"/>
        <v>6.8118186722366358E-2</v>
      </c>
      <c r="I248" s="68">
        <v>53.59</v>
      </c>
      <c r="J248" s="68">
        <v>85</v>
      </c>
      <c r="K248" s="69">
        <v>39.986800000000002</v>
      </c>
      <c r="L248" s="70">
        <f t="shared" si="22"/>
        <v>0.58611681283821604</v>
      </c>
      <c r="M248" s="95">
        <f t="shared" si="23"/>
        <v>788565.76901538647</v>
      </c>
    </row>
    <row r="249" spans="1:13" ht="15" customHeight="1" x14ac:dyDescent="0.25">
      <c r="A249" s="65" t="str">
        <f>_xlfn.XLOOKUP(C249,'Sectors &amp; Company Names'!$B$2:$B$2814,'Sectors &amp; Company Names'!$C$2:$C$2814)</f>
        <v>Credit Services</v>
      </c>
      <c r="B249" s="65" t="str">
        <f>_xlfn.XLOOKUP(C249,'Sectors &amp; Company Names'!$B$2:$B$2814,'Sectors &amp; Company Names'!$A$2:$A$2814)</f>
        <v>EZCORP INC EZPW</v>
      </c>
      <c r="C249" s="65" t="s">
        <v>883</v>
      </c>
      <c r="D249" s="66">
        <v>3.8848759999999607E-3</v>
      </c>
      <c r="E249" s="67">
        <f t="shared" si="18"/>
        <v>37954293.904093429</v>
      </c>
      <c r="F249" s="67">
        <f t="shared" si="19"/>
        <v>13587336.391029483</v>
      </c>
      <c r="G249" s="71">
        <f t="shared" si="20"/>
        <v>-24366957.513063945</v>
      </c>
      <c r="H249" s="78">
        <f t="shared" si="21"/>
        <v>-0.13648948531728244</v>
      </c>
      <c r="I249" s="68">
        <v>37.85</v>
      </c>
      <c r="J249" s="68">
        <v>13.55</v>
      </c>
      <c r="K249" s="69">
        <v>11.903700000000001</v>
      </c>
      <c r="L249" s="70">
        <f t="shared" si="22"/>
        <v>-0.6420079260237781</v>
      </c>
      <c r="M249" s="95">
        <f t="shared" si="23"/>
        <v>1002755.4532125079</v>
      </c>
    </row>
    <row r="250" spans="1:13" ht="15" customHeight="1" x14ac:dyDescent="0.25">
      <c r="A250" s="65" t="str">
        <f>_xlfn.XLOOKUP(C250,'Sectors &amp; Company Names'!$B$2:$B$2814,'Sectors &amp; Company Names'!$C$2:$C$2814)</f>
        <v>Software - Infrastructure</v>
      </c>
      <c r="B250" s="65" t="str">
        <f>_xlfn.XLOOKUP(C250,'Sectors &amp; Company Names'!$B$2:$B$2814,'Sectors &amp; Company Names'!$A$2:$A$2814)</f>
        <v>F5 NETWORKS INC FFIV</v>
      </c>
      <c r="C250" s="65" t="s">
        <v>2592</v>
      </c>
      <c r="D250" s="66">
        <v>4.1613559999999173E-3</v>
      </c>
      <c r="E250" s="67">
        <f t="shared" si="18"/>
        <v>40655436.277389824</v>
      </c>
      <c r="F250" s="67">
        <f t="shared" si="19"/>
        <v>314503316.17249173</v>
      </c>
      <c r="G250" s="71">
        <f t="shared" si="20"/>
        <v>273847879.8951019</v>
      </c>
      <c r="H250" s="78">
        <f t="shared" si="21"/>
        <v>0.33945927781406438</v>
      </c>
      <c r="I250" s="68">
        <v>38.270000000000003</v>
      </c>
      <c r="J250" s="68">
        <v>296.05</v>
      </c>
      <c r="K250" s="69">
        <v>29.4057</v>
      </c>
      <c r="L250" s="70">
        <f t="shared" si="22"/>
        <v>6.7358244055395877</v>
      </c>
      <c r="M250" s="95">
        <f t="shared" si="23"/>
        <v>1062331.7553537975</v>
      </c>
    </row>
    <row r="251" spans="1:13" ht="15" customHeight="1" x14ac:dyDescent="0.25">
      <c r="A251" s="65" t="str">
        <f>_xlfn.XLOOKUP(C251,'Sectors &amp; Company Names'!$B$2:$B$2814,'Sectors &amp; Company Names'!$C$2:$C$2814)</f>
        <v>Consumer Electronics</v>
      </c>
      <c r="B251" s="65" t="str">
        <f>_xlfn.XLOOKUP(C251,'Sectors &amp; Company Names'!$B$2:$B$2814,'Sectors &amp; Company Names'!$A$2:$A$2814)</f>
        <v>FABRINET FN</v>
      </c>
      <c r="C251" s="65" t="s">
        <v>862</v>
      </c>
      <c r="D251" s="66">
        <v>2.4819560000000039E-3</v>
      </c>
      <c r="E251" s="67">
        <f t="shared" si="18"/>
        <v>24248106.627091628</v>
      </c>
      <c r="F251" s="67">
        <f t="shared" si="19"/>
        <v>64063599.901686244</v>
      </c>
      <c r="G251" s="71">
        <f t="shared" si="20"/>
        <v>39815493.27459462</v>
      </c>
      <c r="H251" s="78">
        <f t="shared" si="21"/>
        <v>0.1488840896735828</v>
      </c>
      <c r="I251" s="68">
        <v>85.42</v>
      </c>
      <c r="J251" s="68">
        <v>225.68</v>
      </c>
      <c r="K251" s="69">
        <v>25.037800000000001</v>
      </c>
      <c r="L251" s="70">
        <f t="shared" si="22"/>
        <v>1.6420042144696791</v>
      </c>
      <c r="M251" s="95">
        <f t="shared" si="23"/>
        <v>283869.19488517474</v>
      </c>
    </row>
    <row r="252" spans="1:13" ht="15" customHeight="1" x14ac:dyDescent="0.25">
      <c r="A252" s="65" t="str">
        <f>_xlfn.XLOOKUP(C252,'Sectors &amp; Company Names'!$B$2:$B$2814,'Sectors &amp; Company Names'!$C$2:$C$2814)</f>
        <v>Software - Infrastructure</v>
      </c>
      <c r="B252" s="65" t="str">
        <f>_xlfn.XLOOKUP(C252,'Sectors &amp; Company Names'!$B$2:$B$2814,'Sectors &amp; Company Names'!$A$2:$A$2814)</f>
        <v>FAIR ISAAC CORP FICO</v>
      </c>
      <c r="C252" s="65" t="s">
        <v>2607</v>
      </c>
      <c r="D252" s="66">
        <v>3.6010360000000297E-3</v>
      </c>
      <c r="E252" s="67">
        <f t="shared" si="18"/>
        <v>35181246.120397024</v>
      </c>
      <c r="F252" s="67">
        <f t="shared" si="19"/>
        <v>2006190256.3523557</v>
      </c>
      <c r="G252" s="71">
        <f t="shared" si="20"/>
        <v>1971009010.2319586</v>
      </c>
      <c r="H252" s="78">
        <f t="shared" si="21"/>
        <v>0.78182826022970553</v>
      </c>
      <c r="I252" s="68">
        <v>29.89</v>
      </c>
      <c r="J252" s="68">
        <v>1704.46</v>
      </c>
      <c r="K252" s="69">
        <v>79.738600000000005</v>
      </c>
      <c r="L252" s="70">
        <f t="shared" si="22"/>
        <v>56.024422883907661</v>
      </c>
      <c r="M252" s="95">
        <f t="shared" si="23"/>
        <v>1177023.9585278363</v>
      </c>
    </row>
    <row r="253" spans="1:13" ht="15" customHeight="1" x14ac:dyDescent="0.25">
      <c r="A253" s="65" t="str">
        <f>_xlfn.XLOOKUP(C253,'Sectors &amp; Company Names'!$B$2:$B$2814,'Sectors &amp; Company Names'!$C$2:$C$2814)</f>
        <v>Industrial Distribution</v>
      </c>
      <c r="B253" s="65" t="str">
        <f>_xlfn.XLOOKUP(C253,'Sectors &amp; Company Names'!$B$2:$B$2814,'Sectors &amp; Company Names'!$A$2:$A$2814)</f>
        <v>FASTENAL CO FAST</v>
      </c>
      <c r="C253" s="65" t="s">
        <v>1317</v>
      </c>
      <c r="D253" s="66">
        <v>2.9128760000000143E-3</v>
      </c>
      <c r="E253" s="67">
        <f t="shared" si="18"/>
        <v>28458090.247972321</v>
      </c>
      <c r="F253" s="67">
        <f t="shared" si="19"/>
        <v>36716958.000996456</v>
      </c>
      <c r="G253" s="71">
        <f t="shared" si="20"/>
        <v>8258867.7530241348</v>
      </c>
      <c r="H253" s="78">
        <f t="shared" si="21"/>
        <v>3.7071515036374514E-2</v>
      </c>
      <c r="I253" s="68">
        <v>58.13</v>
      </c>
      <c r="J253" s="68">
        <v>75</v>
      </c>
      <c r="K253" s="69">
        <v>37.3247</v>
      </c>
      <c r="L253" s="70">
        <f t="shared" si="22"/>
        <v>0.29021159470153102</v>
      </c>
      <c r="M253" s="95">
        <f t="shared" si="23"/>
        <v>489559.44001328608</v>
      </c>
    </row>
    <row r="254" spans="1:13" ht="15" customHeight="1" x14ac:dyDescent="0.25">
      <c r="A254" s="65" t="str">
        <f>_xlfn.XLOOKUP(C254,'Sectors &amp; Company Names'!$B$2:$B$2814,'Sectors &amp; Company Names'!$C$2:$C$2814)</f>
        <v>Banks - Regional - US</v>
      </c>
      <c r="B254" s="65" t="str">
        <f>_xlfn.XLOOKUP(C254,'Sectors &amp; Company Names'!$B$2:$B$2814,'Sectors &amp; Company Names'!$A$2:$A$2814)</f>
        <v>FB FINANCIAL CORP FBK</v>
      </c>
      <c r="C254" s="65" t="s">
        <v>292</v>
      </c>
      <c r="D254" s="66">
        <v>3.4712360000000255E-3</v>
      </c>
      <c r="E254" s="67">
        <f t="shared" si="18"/>
        <v>33913131.681544527</v>
      </c>
      <c r="F254" s="67">
        <f t="shared" si="19"/>
        <v>137247791.63901639</v>
      </c>
      <c r="G254" s="71">
        <f t="shared" si="20"/>
        <v>103334659.95747186</v>
      </c>
      <c r="H254" s="78">
        <f t="shared" si="21"/>
        <v>0.22105133884082351</v>
      </c>
      <c r="I254" s="68">
        <v>12.33</v>
      </c>
      <c r="J254" s="68">
        <v>49.9</v>
      </c>
      <c r="K254" s="69">
        <v>21.688700000000001</v>
      </c>
      <c r="L254" s="70">
        <f t="shared" si="22"/>
        <v>3.0470397404703973</v>
      </c>
      <c r="M254" s="95">
        <f t="shared" si="23"/>
        <v>2750456.7462728736</v>
      </c>
    </row>
    <row r="255" spans="1:13" ht="15" customHeight="1" x14ac:dyDescent="0.25">
      <c r="A255" s="65" t="str">
        <f>_xlfn.XLOOKUP(C255,'Sectors &amp; Company Names'!$B$2:$B$2814,'Sectors &amp; Company Names'!$C$2:$C$2814)</f>
        <v>Waste Management</v>
      </c>
      <c r="B255" s="65" t="str">
        <f>_xlfn.XLOOKUP(C255,'Sectors &amp; Company Names'!$B$2:$B$2814,'Sectors &amp; Company Names'!$A$2:$A$2814)</f>
        <v>FBMSWaste Management FIRM</v>
      </c>
      <c r="C255" s="65" t="s">
        <v>3873</v>
      </c>
      <c r="D255" s="66">
        <v>2.1860359999999967E-3</v>
      </c>
      <c r="E255" s="67">
        <f t="shared" si="18"/>
        <v>21357040.180672303</v>
      </c>
      <c r="F255" s="67">
        <f t="shared" si="19"/>
        <v>7868610.8350173663</v>
      </c>
      <c r="G255" s="71">
        <f t="shared" si="20"/>
        <v>-13488429.345654937</v>
      </c>
      <c r="H255" s="78">
        <f t="shared" si="21"/>
        <v>-0.13293630881727625</v>
      </c>
      <c r="I255" s="68">
        <v>98.77</v>
      </c>
      <c r="J255" s="68">
        <v>36.39</v>
      </c>
      <c r="K255" s="69">
        <v>14.9046</v>
      </c>
      <c r="L255" s="70">
        <f t="shared" si="22"/>
        <v>-0.63156828996658898</v>
      </c>
      <c r="M255" s="95">
        <f t="shared" si="23"/>
        <v>216230.03119036456</v>
      </c>
    </row>
    <row r="256" spans="1:13" ht="15" customHeight="1" x14ac:dyDescent="0.25">
      <c r="A256" s="65" t="str">
        <f>_xlfn.XLOOKUP(C256,'Sectors &amp; Company Names'!$B$2:$B$2814,'Sectors &amp; Company Names'!$C$2:$C$2814)</f>
        <v>Credit Services</v>
      </c>
      <c r="B256" s="65" t="str">
        <f>_xlfn.XLOOKUP(C256,'Sectors &amp; Company Names'!$B$2:$B$2814,'Sectors &amp; Company Names'!$A$2:$A$2814)</f>
        <v>FEDERAL AGRIC MTG CO</v>
      </c>
      <c r="C256" s="65" t="s">
        <v>884</v>
      </c>
      <c r="D256" s="66">
        <v>4.2509959999999037E-3</v>
      </c>
      <c r="E256" s="67">
        <f t="shared" si="18"/>
        <v>41531197.281232022</v>
      </c>
      <c r="F256" s="67">
        <f t="shared" si="19"/>
        <v>1351545671.2737908</v>
      </c>
      <c r="G256" s="71">
        <f t="shared" si="20"/>
        <v>1310014473.9925587</v>
      </c>
      <c r="H256" s="78">
        <f t="shared" si="21"/>
        <v>0.64461854103158456</v>
      </c>
      <c r="I256" s="68">
        <v>6.41</v>
      </c>
      <c r="J256" s="68">
        <v>208.6</v>
      </c>
      <c r="K256" s="65">
        <v>0</v>
      </c>
      <c r="L256" s="70">
        <f t="shared" si="22"/>
        <v>31.542901716068641</v>
      </c>
      <c r="M256" s="95">
        <f t="shared" si="23"/>
        <v>6479125.9409098318</v>
      </c>
    </row>
    <row r="257" spans="1:13" ht="15" customHeight="1" x14ac:dyDescent="0.25">
      <c r="A257" s="65" t="str">
        <f>_xlfn.XLOOKUP(C257,'Sectors &amp; Company Names'!$B$2:$B$2814,'Sectors &amp; Company Names'!$C$2:$C$2814)</f>
        <v>Pollution &amp; Treatment Controls</v>
      </c>
      <c r="B257" s="65" t="str">
        <f>_xlfn.XLOOKUP(C257,'Sectors &amp; Company Names'!$B$2:$B$2814,'Sectors &amp; Company Names'!$A$2:$A$2814)</f>
        <v>FEDERAL SIGNAL CORP FSS</v>
      </c>
      <c r="C257" s="65" t="s">
        <v>1953</v>
      </c>
      <c r="D257" s="66">
        <v>2.1395959999999958E-3</v>
      </c>
      <c r="E257" s="67">
        <f t="shared" si="18"/>
        <v>20903332.672657594</v>
      </c>
      <c r="F257" s="67">
        <f t="shared" si="19"/>
        <v>52905580.80855719</v>
      </c>
      <c r="G257" s="71">
        <f t="shared" si="20"/>
        <v>32002248.135899596</v>
      </c>
      <c r="H257" s="78">
        <f t="shared" si="21"/>
        <v>0.141858473810758</v>
      </c>
      <c r="I257" s="68">
        <v>37.14</v>
      </c>
      <c r="J257" s="68">
        <v>94</v>
      </c>
      <c r="K257" s="69">
        <v>26.5076</v>
      </c>
      <c r="L257" s="70">
        <f t="shared" si="22"/>
        <v>1.5309639203015617</v>
      </c>
      <c r="M257" s="95">
        <f t="shared" si="23"/>
        <v>562825.32775060844</v>
      </c>
    </row>
    <row r="258" spans="1:13" ht="15" customHeight="1" x14ac:dyDescent="0.25">
      <c r="A258" s="65" t="str">
        <f>_xlfn.XLOOKUP(C258,'Sectors &amp; Company Names'!$B$2:$B$2814,'Sectors &amp; Company Names'!$C$2:$C$2814)</f>
        <v>Integrated Shipping &amp; Logistics</v>
      </c>
      <c r="B258" s="65" t="str">
        <f>_xlfn.XLOOKUP(C258,'Sectors &amp; Company Names'!$B$2:$B$2814,'Sectors &amp; Company Names'!$A$2:$A$2814)</f>
        <v>FEDEX CORP FDX</v>
      </c>
      <c r="C258" s="65" t="s">
        <v>1479</v>
      </c>
      <c r="D258" s="66">
        <v>3.1375160000000199E-3</v>
      </c>
      <c r="E258" s="67">
        <f t="shared" si="18"/>
        <v>30652768.426276043</v>
      </c>
      <c r="F258" s="67">
        <f t="shared" si="19"/>
        <v>262673337.49109596</v>
      </c>
      <c r="G258" s="71">
        <f t="shared" si="20"/>
        <v>232020569.06481993</v>
      </c>
      <c r="H258" s="78">
        <f t="shared" si="21"/>
        <v>0.35918333545885339</v>
      </c>
      <c r="I258" s="68">
        <v>29.79</v>
      </c>
      <c r="J258" s="68">
        <v>255.28</v>
      </c>
      <c r="K258" s="69">
        <v>16.176400000000001</v>
      </c>
      <c r="L258" s="70">
        <f t="shared" si="22"/>
        <v>7.5693185632762674</v>
      </c>
      <c r="M258" s="95">
        <f t="shared" si="23"/>
        <v>1028961.6792976181</v>
      </c>
    </row>
    <row r="259" spans="1:13" ht="15" customHeight="1" x14ac:dyDescent="0.25">
      <c r="A259" s="65" t="str">
        <f>_xlfn.XLOOKUP(C259,'Sectors &amp; Company Names'!$B$2:$B$2814,'Sectors &amp; Company Names'!$C$2:$C$2814)</f>
        <v>Banks - Regional - US</v>
      </c>
      <c r="B259" s="65" t="str">
        <f>_xlfn.XLOOKUP(C259,'Sectors &amp; Company Names'!$B$2:$B$2814,'Sectors &amp; Company Names'!$A$2:$A$2814)</f>
        <v>FIFTH THIRD BANCORP FITB</v>
      </c>
      <c r="C259" s="65" t="s">
        <v>295</v>
      </c>
      <c r="D259" s="66">
        <v>4.3568359999998875E-3</v>
      </c>
      <c r="E259" s="67">
        <f t="shared" si="18"/>
        <v>42565228.346009552</v>
      </c>
      <c r="F259" s="67">
        <f t="shared" si="19"/>
        <v>10050609.29053401</v>
      </c>
      <c r="G259" s="71">
        <f t="shared" si="20"/>
        <v>-32514619.05547554</v>
      </c>
      <c r="H259" s="78">
        <f t="shared" si="21"/>
        <v>-0.18633018845583571</v>
      </c>
      <c r="I259" s="68">
        <v>182.49</v>
      </c>
      <c r="J259" s="68">
        <v>43.09</v>
      </c>
      <c r="K259" s="69">
        <v>13.6561</v>
      </c>
      <c r="L259" s="70">
        <f t="shared" si="22"/>
        <v>-0.76387747273823225</v>
      </c>
      <c r="M259" s="95">
        <f t="shared" si="23"/>
        <v>233246.90857586468</v>
      </c>
    </row>
    <row r="260" spans="1:13" ht="15" customHeight="1" x14ac:dyDescent="0.25">
      <c r="A260" s="65" t="str">
        <f>_xlfn.XLOOKUP(C260,'Sectors &amp; Company Names'!$B$2:$B$2814,'Sectors &amp; Company Names'!$C$2:$C$2814)</f>
        <v>Insurance - Specialty</v>
      </c>
      <c r="B260" s="65" t="str">
        <f>_xlfn.XLOOKUP(C260,'Sectors &amp; Company Names'!$B$2:$B$2814,'Sectors &amp; Company Names'!$A$2:$A$2814)</f>
        <v>FIRST AMERICAN FINL CORP FAF</v>
      </c>
      <c r="C260" s="65" t="s">
        <v>1459</v>
      </c>
      <c r="D260" s="66">
        <v>1.735676E-3</v>
      </c>
      <c r="E260" s="67">
        <f t="shared" si="18"/>
        <v>16957132.486669313</v>
      </c>
      <c r="F260" s="67">
        <f t="shared" si="19"/>
        <v>46166359.406834722</v>
      </c>
      <c r="G260" s="71">
        <f t="shared" si="20"/>
        <v>29209226.920165408</v>
      </c>
      <c r="H260" s="78">
        <f t="shared" si="21"/>
        <v>0.15382257194663729</v>
      </c>
      <c r="I260" s="68">
        <v>23.21</v>
      </c>
      <c r="J260" s="68">
        <v>63.19</v>
      </c>
      <c r="K260" s="69">
        <v>50.531799999999997</v>
      </c>
      <c r="L260" s="70">
        <f t="shared" si="22"/>
        <v>1.7225333907798361</v>
      </c>
      <c r="M260" s="95">
        <f t="shared" si="23"/>
        <v>730595.97098963009</v>
      </c>
    </row>
    <row r="261" spans="1:13" ht="15" customHeight="1" x14ac:dyDescent="0.25">
      <c r="A261" s="65" t="str">
        <f>_xlfn.XLOOKUP(C261,'Sectors &amp; Company Names'!$B$2:$B$2814,'Sectors &amp; Company Names'!$C$2:$C$2814)</f>
        <v>Banks - Regional - US</v>
      </c>
      <c r="B261" s="65" t="str">
        <f>_xlfn.XLOOKUP(C261,'Sectors &amp; Company Names'!$B$2:$B$2814,'Sectors &amp; Company Names'!$A$2:$A$2814)</f>
        <v>FIRST BANCORP INC FNLC</v>
      </c>
      <c r="C261" s="65" t="s">
        <v>299</v>
      </c>
      <c r="D261" s="66">
        <v>2.0899159999999968E-3</v>
      </c>
      <c r="E261" s="67">
        <f t="shared" si="18"/>
        <v>20417971.152455833</v>
      </c>
      <c r="F261" s="67">
        <f t="shared" si="19"/>
        <v>2903436.6293821917</v>
      </c>
      <c r="G261" s="71">
        <f t="shared" si="20"/>
        <v>-17514534.52307364</v>
      </c>
      <c r="H261" s="78">
        <f t="shared" si="21"/>
        <v>-0.24319205822778922</v>
      </c>
      <c r="I261" s="68">
        <v>180.45</v>
      </c>
      <c r="J261" s="68">
        <v>25.66</v>
      </c>
      <c r="K261" s="69">
        <v>10.4664</v>
      </c>
      <c r="L261" s="70">
        <f t="shared" si="22"/>
        <v>-0.85779994458298703</v>
      </c>
      <c r="M261" s="95">
        <f t="shared" si="23"/>
        <v>113150.29732588433</v>
      </c>
    </row>
    <row r="262" spans="1:13" ht="15" customHeight="1" x14ac:dyDescent="0.25">
      <c r="A262" s="65" t="str">
        <f>_xlfn.XLOOKUP(C262,'Sectors &amp; Company Names'!$B$2:$B$2814,'Sectors &amp; Company Names'!$C$2:$C$2814)</f>
        <v>Banks - Regional - US</v>
      </c>
      <c r="B262" s="65" t="str">
        <f>_xlfn.XLOOKUP(C262,'Sectors &amp; Company Names'!$B$2:$B$2814,'Sectors &amp; Company Names'!$A$2:$A$2814)</f>
        <v>FIRST BUSEY CORP BUSE</v>
      </c>
      <c r="C262" s="65" t="s">
        <v>300</v>
      </c>
      <c r="D262" s="66">
        <v>3.9593959999999493E-3</v>
      </c>
      <c r="E262" s="67">
        <f t="shared" si="18"/>
        <v>38682336.184395976</v>
      </c>
      <c r="F262" s="67">
        <f t="shared" si="19"/>
        <v>106697669.56703953</v>
      </c>
      <c r="G262" s="71">
        <f t="shared" si="20"/>
        <v>68015333.382643551</v>
      </c>
      <c r="H262" s="78">
        <f t="shared" si="21"/>
        <v>0.15597619636172233</v>
      </c>
      <c r="I262" s="68">
        <v>8.73</v>
      </c>
      <c r="J262" s="68">
        <v>24.08</v>
      </c>
      <c r="K262" s="69">
        <v>12.278499999999999</v>
      </c>
      <c r="L262" s="70">
        <f t="shared" si="22"/>
        <v>1.7583046964490261</v>
      </c>
      <c r="M262" s="95">
        <f t="shared" si="23"/>
        <v>4430966.3441461604</v>
      </c>
    </row>
    <row r="263" spans="1:13" ht="15" customHeight="1" x14ac:dyDescent="0.25">
      <c r="A263" s="65" t="str">
        <f>_xlfn.XLOOKUP(C263,'Sectors &amp; Company Names'!$B$2:$B$2814,'Sectors &amp; Company Names'!$C$2:$C$2814)</f>
        <v>Banks - Regional - US</v>
      </c>
      <c r="B263" s="65" t="str">
        <f>_xlfn.XLOOKUP(C263,'Sectors &amp; Company Names'!$B$2:$B$2814,'Sectors &amp; Company Names'!$A$2:$A$2814)</f>
        <v>FIRST COMMONWLTH FINL FCF</v>
      </c>
      <c r="C263" s="65" t="s">
        <v>213</v>
      </c>
      <c r="D263" s="66">
        <v>4.3265959999998918E-3</v>
      </c>
      <c r="E263" s="67">
        <f t="shared" si="18"/>
        <v>42269790.898930259</v>
      </c>
      <c r="F263" s="67">
        <f t="shared" si="19"/>
        <v>15445640.755863305</v>
      </c>
      <c r="G263" s="71">
        <f t="shared" si="20"/>
        <v>-26824150.143066954</v>
      </c>
      <c r="H263" s="78">
        <f t="shared" si="21"/>
        <v>-0.13395710262038873</v>
      </c>
      <c r="I263" s="68">
        <v>44.69</v>
      </c>
      <c r="J263" s="68">
        <v>16.329999999999998</v>
      </c>
      <c r="K263" s="69">
        <v>11.595800000000001</v>
      </c>
      <c r="L263" s="70">
        <f t="shared" si="22"/>
        <v>-0.63459386887446856</v>
      </c>
      <c r="M263" s="95">
        <f t="shared" si="23"/>
        <v>945844.50433945539</v>
      </c>
    </row>
    <row r="264" spans="1:13" ht="15" customHeight="1" x14ac:dyDescent="0.25">
      <c r="A264" s="65" t="str">
        <f>_xlfn.XLOOKUP(C264,'Sectors &amp; Company Names'!$B$2:$B$2814,'Sectors &amp; Company Names'!$C$2:$C$2814)</f>
        <v>Banks - Regional - US</v>
      </c>
      <c r="B264" s="65" t="str">
        <f>_xlfn.XLOOKUP(C264,'Sectors &amp; Company Names'!$B$2:$B$2814,'Sectors &amp; Company Names'!$A$2:$A$2814)</f>
        <v>FIRST HORIZON NATL CORP FHN</v>
      </c>
      <c r="C264" s="65" t="s">
        <v>214</v>
      </c>
      <c r="D264" s="66">
        <v>2.440916000000003E-3</v>
      </c>
      <c r="E264" s="67">
        <f t="shared" si="18"/>
        <v>23847155.806055374</v>
      </c>
      <c r="F264" s="67">
        <f t="shared" si="19"/>
        <v>12134589.099857027</v>
      </c>
      <c r="G264" s="71">
        <f t="shared" si="20"/>
        <v>-11712566.706198348</v>
      </c>
      <c r="H264" s="78">
        <f t="shared" si="21"/>
        <v>-9.2003719715848864E-2</v>
      </c>
      <c r="I264" s="68">
        <v>41.25</v>
      </c>
      <c r="J264" s="68">
        <v>20.99</v>
      </c>
      <c r="K264" s="69">
        <v>15.3965</v>
      </c>
      <c r="L264" s="70">
        <f t="shared" si="22"/>
        <v>-0.49115151515151517</v>
      </c>
      <c r="M264" s="95">
        <f t="shared" si="23"/>
        <v>578112.86802558496</v>
      </c>
    </row>
    <row r="265" spans="1:13" ht="15" customHeight="1" x14ac:dyDescent="0.25">
      <c r="A265" s="65" t="str">
        <f>_xlfn.XLOOKUP(C265,'Sectors &amp; Company Names'!$B$2:$B$2814,'Sectors &amp; Company Names'!$C$2:$C$2814)</f>
        <v>Banks - Regional - US</v>
      </c>
      <c r="B265" s="65" t="str">
        <f>_xlfn.XLOOKUP(C265,'Sectors &amp; Company Names'!$B$2:$B$2814,'Sectors &amp; Company Names'!$A$2:$A$2814)</f>
        <v>FIRST MERCHANTS CORP FRME</v>
      </c>
      <c r="C265" s="65" t="s">
        <v>314</v>
      </c>
      <c r="D265" s="66">
        <v>3.0327560000000171E-3</v>
      </c>
      <c r="E265" s="67">
        <f t="shared" ref="E265:E307" si="24">+$J$3*D265</f>
        <v>29629288.698894016</v>
      </c>
      <c r="F265" s="67">
        <f t="shared" ref="F265:F307" si="25">(L265+1)*E265</f>
        <v>12649538.277693678</v>
      </c>
      <c r="G265" s="71">
        <f t="shared" ref="G265:G307" si="26">F265-E265</f>
        <v>-16979750.421200339</v>
      </c>
      <c r="H265" s="78">
        <f t="shared" ref="H265:H307" si="27">((F265/E265)^(1/7))-1</f>
        <v>-0.11449024529724572</v>
      </c>
      <c r="I265" s="68">
        <v>102.5</v>
      </c>
      <c r="J265" s="68">
        <v>43.76</v>
      </c>
      <c r="K265" s="69">
        <v>12.737</v>
      </c>
      <c r="L265" s="70">
        <f t="shared" ref="L265:L307" si="28">+(J265-I265)/I265</f>
        <v>-0.57307317073170738</v>
      </c>
      <c r="M265" s="95">
        <f t="shared" ref="M265:M307" si="29">F265/J265</f>
        <v>289066.23120872211</v>
      </c>
    </row>
    <row r="266" spans="1:13" ht="15" customHeight="1" x14ac:dyDescent="0.25">
      <c r="A266" s="65" t="str">
        <f>_xlfn.XLOOKUP(C266,'Sectors &amp; Company Names'!$B$2:$B$2814,'Sectors &amp; Company Names'!$C$2:$C$2814)</f>
        <v>Utilities - Diversified</v>
      </c>
      <c r="B266" s="65" t="str">
        <f>_xlfn.XLOOKUP(C266,'Sectors &amp; Company Names'!$B$2:$B$2814,'Sectors &amp; Company Names'!$A$2:$A$2814)</f>
        <v>FIRSTENERGY CORP FE</v>
      </c>
      <c r="C266" s="65" t="s">
        <v>2859</v>
      </c>
      <c r="D266" s="66">
        <v>4.0220359999999398E-3</v>
      </c>
      <c r="E266" s="67">
        <f t="shared" si="24"/>
        <v>39294313.753345944</v>
      </c>
      <c r="F266" s="67">
        <f t="shared" si="25"/>
        <v>96381420.416429311</v>
      </c>
      <c r="G266" s="71">
        <f t="shared" si="26"/>
        <v>57087106.663083367</v>
      </c>
      <c r="H266" s="78">
        <f t="shared" si="27"/>
        <v>0.13675331809912716</v>
      </c>
      <c r="I266" s="68">
        <v>17.27</v>
      </c>
      <c r="J266" s="68">
        <v>42.36</v>
      </c>
      <c r="K266" s="69">
        <v>27.224900000000002</v>
      </c>
      <c r="L266" s="70">
        <f t="shared" si="28"/>
        <v>1.4528083381586567</v>
      </c>
      <c r="M266" s="95">
        <f t="shared" si="29"/>
        <v>2275293.2109638648</v>
      </c>
    </row>
    <row r="267" spans="1:13" ht="15" customHeight="1" x14ac:dyDescent="0.25">
      <c r="A267" s="65" t="str">
        <f>_xlfn.XLOOKUP(C267,'Sectors &amp; Company Names'!$B$2:$B$2814,'Sectors &amp; Company Names'!$C$2:$C$2814)</f>
        <v>Diversified Industrials</v>
      </c>
      <c r="B267" s="65" t="str">
        <f>_xlfn.XLOOKUP(C267,'Sectors &amp; Company Names'!$B$2:$B$2814,'Sectors &amp; Company Names'!$A$2:$A$2814)</f>
        <v>FLOWSERVE CORP FLS</v>
      </c>
      <c r="C267" s="65" t="s">
        <v>999</v>
      </c>
      <c r="D267" s="66">
        <v>3.2314760000000222E-3</v>
      </c>
      <c r="E267" s="67">
        <f t="shared" si="24"/>
        <v>31570734.779701155</v>
      </c>
      <c r="F267" s="67">
        <f t="shared" si="25"/>
        <v>49789772.672371693</v>
      </c>
      <c r="G267" s="71">
        <f t="shared" si="26"/>
        <v>18219037.892670538</v>
      </c>
      <c r="H267" s="78">
        <f t="shared" si="27"/>
        <v>6.7247300075296002E-2</v>
      </c>
      <c r="I267" s="68">
        <v>35.35</v>
      </c>
      <c r="J267" s="68">
        <v>55.75</v>
      </c>
      <c r="K267" s="69">
        <v>26.089500000000001</v>
      </c>
      <c r="L267" s="70">
        <f t="shared" si="28"/>
        <v>0.57708628005657703</v>
      </c>
      <c r="M267" s="95">
        <f t="shared" si="29"/>
        <v>893090.09277796757</v>
      </c>
    </row>
    <row r="268" spans="1:13" ht="15" customHeight="1" x14ac:dyDescent="0.25">
      <c r="A268" s="65" t="str">
        <f>_xlfn.XLOOKUP(C268,'Sectors &amp; Company Names'!$B$2:$B$2814,'Sectors &amp; Company Names'!$C$2:$C$2814)</f>
        <v>Engineering &amp; Construction</v>
      </c>
      <c r="B268" s="65" t="str">
        <f>_xlfn.XLOOKUP(C268,'Sectors &amp; Company Names'!$B$2:$B$2814,'Sectors &amp; Company Names'!$A$2:$A$2814)</f>
        <v>FLUOR CORP FLR</v>
      </c>
      <c r="C268" s="65" t="s">
        <v>1148</v>
      </c>
      <c r="D268" s="66">
        <v>4.4864359999998672E-3</v>
      </c>
      <c r="E268" s="67">
        <f t="shared" si="24"/>
        <v>43831388.833492242</v>
      </c>
      <c r="F268" s="67">
        <f t="shared" si="25"/>
        <v>108394996.06773196</v>
      </c>
      <c r="G268" s="71">
        <f t="shared" si="26"/>
        <v>64563607.23423972</v>
      </c>
      <c r="H268" s="78">
        <f t="shared" si="27"/>
        <v>0.13808541425438126</v>
      </c>
      <c r="I268" s="68">
        <v>15.37</v>
      </c>
      <c r="J268" s="68">
        <v>38.01</v>
      </c>
      <c r="K268" s="69">
        <v>3.077</v>
      </c>
      <c r="L268" s="70">
        <f t="shared" si="28"/>
        <v>1.4729993493819129</v>
      </c>
      <c r="M268" s="95">
        <f t="shared" si="29"/>
        <v>2851749.4361413303</v>
      </c>
    </row>
    <row r="269" spans="1:13" ht="15" customHeight="1" x14ac:dyDescent="0.25">
      <c r="A269" s="65" t="str">
        <f>_xlfn.XLOOKUP(C269,'Sectors &amp; Company Names'!$B$2:$B$2814,'Sectors &amp; Company Names'!$C$2:$C$2814)</f>
        <v>Savings &amp; Cooperative Banks</v>
      </c>
      <c r="B269" s="65" t="str">
        <f>_xlfn.XLOOKUP(C269,'Sectors &amp; Company Names'!$B$2:$B$2814,'Sectors &amp; Company Names'!$A$2:$A$2814)</f>
        <v>FLUSHING FINANCIAL CORP FFIC</v>
      </c>
      <c r="C269" s="65" t="s">
        <v>2343</v>
      </c>
      <c r="D269" s="66">
        <v>3.1353560000000197E-3</v>
      </c>
      <c r="E269" s="67">
        <f t="shared" si="24"/>
        <v>30631665.751484659</v>
      </c>
      <c r="F269" s="67">
        <f t="shared" si="25"/>
        <v>9415041.0999854393</v>
      </c>
      <c r="G269" s="71">
        <f t="shared" si="26"/>
        <v>-21216624.651499219</v>
      </c>
      <c r="H269" s="78">
        <f t="shared" si="27"/>
        <v>-0.15509598818035431</v>
      </c>
      <c r="I269" s="68">
        <v>46.72</v>
      </c>
      <c r="J269" s="68">
        <v>14.36</v>
      </c>
      <c r="K269" s="69">
        <v>16.203900000000001</v>
      </c>
      <c r="L269" s="70">
        <f t="shared" si="28"/>
        <v>-0.69263698630136983</v>
      </c>
      <c r="M269" s="95">
        <f t="shared" si="29"/>
        <v>655643.53063965461</v>
      </c>
    </row>
    <row r="270" spans="1:13" ht="15" customHeight="1" x14ac:dyDescent="0.25">
      <c r="A270" s="65" t="str">
        <f>_xlfn.XLOOKUP(C270,'Sectors &amp; Company Names'!$B$2:$B$2814,'Sectors &amp; Company Names'!$C$2:$C$2814)</f>
        <v>Auto Manufacturers</v>
      </c>
      <c r="B270" s="65" t="str">
        <f>_xlfn.XLOOKUP(C270,'Sectors &amp; Company Names'!$B$2:$B$2814,'Sectors &amp; Company Names'!$A$2:$A$2814)</f>
        <v>FORD MOTOR CO F</v>
      </c>
      <c r="C270" s="65" t="s">
        <v>164</v>
      </c>
      <c r="D270" s="66">
        <v>1.9505959999999998E-3</v>
      </c>
      <c r="E270" s="67">
        <f t="shared" si="24"/>
        <v>19056848.628411762</v>
      </c>
      <c r="F270" s="67">
        <f t="shared" si="25"/>
        <v>3450240.4310175045</v>
      </c>
      <c r="G270" s="71">
        <f t="shared" si="26"/>
        <v>-15606608.197394257</v>
      </c>
      <c r="H270" s="78">
        <f t="shared" si="27"/>
        <v>-0.21662234023504512</v>
      </c>
      <c r="I270" s="68">
        <v>123.06</v>
      </c>
      <c r="J270" s="68">
        <v>22.28</v>
      </c>
      <c r="K270" s="65">
        <v>0</v>
      </c>
      <c r="L270" s="70">
        <f t="shared" si="28"/>
        <v>-0.81895010563952542</v>
      </c>
      <c r="M270" s="95">
        <f t="shared" si="29"/>
        <v>154858.18810671024</v>
      </c>
    </row>
    <row r="271" spans="1:13" ht="15" customHeight="1" x14ac:dyDescent="0.25">
      <c r="A271" s="65" t="str">
        <f>_xlfn.XLOOKUP(C271,'Sectors &amp; Company Names'!$B$2:$B$2814,'Sectors &amp; Company Names'!$C$2:$C$2814)</f>
        <v>Semiconductors</v>
      </c>
      <c r="B271" s="65" t="str">
        <f>_xlfn.XLOOKUP(C271,'Sectors &amp; Company Names'!$B$2:$B$2814,'Sectors &amp; Company Names'!$A$2:$A$2814)</f>
        <v>FORMFACTOR INC FORM</v>
      </c>
      <c r="C271" s="65" t="s">
        <v>2440</v>
      </c>
      <c r="D271" s="66">
        <v>3.0781160000000183E-3</v>
      </c>
      <c r="E271" s="67">
        <f t="shared" si="24"/>
        <v>30072444.869513039</v>
      </c>
      <c r="F271" s="67">
        <f t="shared" si="25"/>
        <v>7467193.8089951882</v>
      </c>
      <c r="G271" s="71">
        <f t="shared" si="26"/>
        <v>-22605251.060517851</v>
      </c>
      <c r="H271" s="78">
        <f t="shared" si="27"/>
        <v>-0.18046064747580381</v>
      </c>
      <c r="I271" s="68">
        <v>144.69999999999999</v>
      </c>
      <c r="J271" s="68">
        <v>35.93</v>
      </c>
      <c r="K271" s="69">
        <v>20.518599999999999</v>
      </c>
      <c r="L271" s="70">
        <f t="shared" si="28"/>
        <v>-0.75169315825846572</v>
      </c>
      <c r="M271" s="95">
        <f t="shared" si="29"/>
        <v>207826.15666560503</v>
      </c>
    </row>
    <row r="272" spans="1:13" ht="15" customHeight="1" x14ac:dyDescent="0.25">
      <c r="A272" s="65" t="str">
        <f>_xlfn.XLOOKUP(C272,'Sectors &amp; Company Names'!$B$2:$B$2814,'Sectors &amp; Company Names'!$C$2:$C$2814)</f>
        <v>Scientific &amp; Technical Instruments</v>
      </c>
      <c r="B272" s="65" t="str">
        <f>_xlfn.XLOOKUP(C272,'Sectors &amp; Company Names'!$B$2:$B$2814,'Sectors &amp; Company Names'!$A$2:$A$2814)</f>
        <v>FORTIVE CORPORATION FTV</v>
      </c>
      <c r="C272" s="65" t="s">
        <v>2373</v>
      </c>
      <c r="D272" s="66">
        <v>2.1374359999999956E-3</v>
      </c>
      <c r="E272" s="67">
        <f t="shared" si="24"/>
        <v>20882229.997866213</v>
      </c>
      <c r="F272" s="67">
        <f t="shared" si="25"/>
        <v>24575155.118314873</v>
      </c>
      <c r="G272" s="71">
        <f t="shared" si="26"/>
        <v>3692925.1204486601</v>
      </c>
      <c r="H272" s="78">
        <f t="shared" si="27"/>
        <v>2.3535170585055054E-2</v>
      </c>
      <c r="I272" s="68">
        <v>68.28</v>
      </c>
      <c r="J272" s="68">
        <v>80.355000000000004</v>
      </c>
      <c r="K272" s="69">
        <v>33.940300000000001</v>
      </c>
      <c r="L272" s="70">
        <f t="shared" si="28"/>
        <v>0.17684534270650268</v>
      </c>
      <c r="M272" s="95">
        <f t="shared" si="29"/>
        <v>305832.30811169028</v>
      </c>
    </row>
    <row r="273" spans="1:13" ht="15" customHeight="1" x14ac:dyDescent="0.25">
      <c r="A273" s="65" t="str">
        <f>_xlfn.XLOOKUP(C273,'Sectors &amp; Company Names'!$B$2:$B$2814,'Sectors &amp; Company Names'!$C$2:$C$2814)</f>
        <v>Integrated Shipping &amp; Logistics</v>
      </c>
      <c r="B273" s="65" t="str">
        <f>_xlfn.XLOOKUP(C273,'Sectors &amp; Company Names'!$B$2:$B$2814,'Sectors &amp; Company Names'!$A$2:$A$2814)</f>
        <v>FORWARD AIR CORP FWRD</v>
      </c>
      <c r="C273" s="65" t="s">
        <v>1480</v>
      </c>
      <c r="D273" s="66">
        <v>3.7930759999999751E-3</v>
      </c>
      <c r="E273" s="67">
        <f t="shared" si="24"/>
        <v>37057430.225459859</v>
      </c>
      <c r="F273" s="67">
        <f t="shared" si="25"/>
        <v>106294322.82017107</v>
      </c>
      <c r="G273" s="71">
        <f t="shared" si="26"/>
        <v>69236892.594711214</v>
      </c>
      <c r="H273" s="78">
        <f t="shared" si="27"/>
        <v>0.16245565809467477</v>
      </c>
      <c r="I273" s="68">
        <v>9.8000000000000007</v>
      </c>
      <c r="J273" s="68">
        <v>28.11</v>
      </c>
      <c r="K273" s="69">
        <v>0</v>
      </c>
      <c r="L273" s="70">
        <f t="shared" si="28"/>
        <v>1.8683673469387752</v>
      </c>
      <c r="M273" s="95">
        <f t="shared" si="29"/>
        <v>3781370.431169373</v>
      </c>
    </row>
    <row r="274" spans="1:13" ht="15" customHeight="1" x14ac:dyDescent="0.25">
      <c r="A274" s="65" t="str">
        <f>_xlfn.XLOOKUP(C274,'Sectors &amp; Company Names'!$B$2:$B$2814,'Sectors &amp; Company Names'!$C$2:$C$2814)</f>
        <v>Diversified Industrials</v>
      </c>
      <c r="B274" s="65" t="str">
        <f>_xlfn.XLOOKUP(C274,'Sectors &amp; Company Names'!$B$2:$B$2814,'Sectors &amp; Company Names'!$A$2:$A$2814)</f>
        <v>FRANKLIN ELECTRIC CO FELE</v>
      </c>
      <c r="C274" s="65" t="s">
        <v>1000</v>
      </c>
      <c r="D274" s="66">
        <v>1.8220760000000002E-3</v>
      </c>
      <c r="E274" s="67">
        <f t="shared" si="24"/>
        <v>17801239.47832457</v>
      </c>
      <c r="F274" s="67">
        <f t="shared" si="25"/>
        <v>62256899.827758044</v>
      </c>
      <c r="G274" s="71">
        <f t="shared" si="26"/>
        <v>44455660.349433474</v>
      </c>
      <c r="H274" s="78">
        <f t="shared" si="27"/>
        <v>0.19585011516076656</v>
      </c>
      <c r="I274" s="68">
        <v>30.02</v>
      </c>
      <c r="J274" s="68">
        <v>104.99</v>
      </c>
      <c r="K274" s="69">
        <v>26.294</v>
      </c>
      <c r="L274" s="70">
        <f t="shared" si="28"/>
        <v>2.4973351099267154</v>
      </c>
      <c r="M274" s="95">
        <f t="shared" si="29"/>
        <v>592979.32972433604</v>
      </c>
    </row>
    <row r="275" spans="1:13" ht="15" customHeight="1" x14ac:dyDescent="0.25">
      <c r="A275" s="65" t="str">
        <f>_xlfn.XLOOKUP(C275,'Sectors &amp; Company Names'!$B$2:$B$2814,'Sectors &amp; Company Names'!$C$2:$C$2814)</f>
        <v>Oil &amp; Gas Midstream</v>
      </c>
      <c r="B275" s="65" t="str">
        <f>_xlfn.XLOOKUP(C275,'Sectors &amp; Company Names'!$B$2:$B$2814,'Sectors &amp; Company Names'!$A$2:$A$2814)</f>
        <v>FRANK'S INTERNATIONAL FI</v>
      </c>
      <c r="C275" s="65" t="s">
        <v>1844</v>
      </c>
      <c r="D275" s="66">
        <v>3.6883159999999914E-3</v>
      </c>
      <c r="E275" s="67">
        <f t="shared" si="24"/>
        <v>36033950.498078026</v>
      </c>
      <c r="F275" s="67">
        <f t="shared" si="25"/>
        <v>59040399.752329782</v>
      </c>
      <c r="G275" s="71">
        <f t="shared" si="26"/>
        <v>23006449.254251756</v>
      </c>
      <c r="H275" s="78">
        <f t="shared" si="27"/>
        <v>7.3084485546442757E-2</v>
      </c>
      <c r="I275" s="68">
        <v>140.54</v>
      </c>
      <c r="J275" s="68">
        <v>230.27</v>
      </c>
      <c r="K275" s="69">
        <v>42.685400000000001</v>
      </c>
      <c r="L275" s="70">
        <f t="shared" si="28"/>
        <v>0.63846591717660472</v>
      </c>
      <c r="M275" s="95">
        <f t="shared" si="29"/>
        <v>256396.40314556728</v>
      </c>
    </row>
    <row r="276" spans="1:13" ht="15" customHeight="1" x14ac:dyDescent="0.25">
      <c r="A276" s="65" t="str">
        <f>_xlfn.XLOOKUP(C276,'Sectors &amp; Company Names'!$B$2:$B$2814,'Sectors &amp; Company Names'!$C$2:$C$2814)</f>
        <v>Copper</v>
      </c>
      <c r="B276" s="65" t="str">
        <f>_xlfn.XLOOKUP(C276,'Sectors &amp; Company Names'!$B$2:$B$2814,'Sectors &amp; Company Names'!$A$2:$A$2814)</f>
        <v>FREEPORT-MCMORAN INC FCX</v>
      </c>
      <c r="C276" s="65" t="s">
        <v>872</v>
      </c>
      <c r="D276" s="66">
        <v>3.5565560000000124E-3</v>
      </c>
      <c r="E276" s="67">
        <f t="shared" si="24"/>
        <v>34746687.335803963</v>
      </c>
      <c r="F276" s="67">
        <f t="shared" si="25"/>
        <v>101483254.92106766</v>
      </c>
      <c r="G276" s="71">
        <f t="shared" si="26"/>
        <v>66736567.585263692</v>
      </c>
      <c r="H276" s="78">
        <f t="shared" si="27"/>
        <v>0.16545975985384831</v>
      </c>
      <c r="I276" s="68">
        <v>12.73</v>
      </c>
      <c r="J276" s="68">
        <v>37.18</v>
      </c>
      <c r="K276" s="69">
        <v>28.452400000000001</v>
      </c>
      <c r="L276" s="70">
        <f t="shared" si="28"/>
        <v>1.9206598586017281</v>
      </c>
      <c r="M276" s="95">
        <f t="shared" si="29"/>
        <v>2729511.966677452</v>
      </c>
    </row>
    <row r="277" spans="1:13" ht="15" customHeight="1" x14ac:dyDescent="0.25">
      <c r="A277" s="65" t="str">
        <f>_xlfn.XLOOKUP(C277,'Sectors &amp; Company Names'!$B$2:$B$2814,'Sectors &amp; Company Names'!$C$2:$C$2814)</f>
        <v>Shipping &amp; Ports</v>
      </c>
      <c r="B277" s="65" t="str">
        <f>_xlfn.XLOOKUP(C277,'Sectors &amp; Company Names'!$B$2:$B$2814,'Sectors &amp; Company Names'!$A$2:$A$2814)</f>
        <v>FRONTLINE LTD FRO</v>
      </c>
      <c r="C277" s="65" t="s">
        <v>2473</v>
      </c>
      <c r="D277" s="66">
        <v>3.5187560000000183E-3</v>
      </c>
      <c r="E277" s="67">
        <f t="shared" si="24"/>
        <v>34377390.526954845</v>
      </c>
      <c r="F277" s="67">
        <f t="shared" si="25"/>
        <v>1719764.1404967112</v>
      </c>
      <c r="G277" s="71">
        <f t="shared" si="26"/>
        <v>-32657626.386458132</v>
      </c>
      <c r="H277" s="78">
        <f t="shared" si="27"/>
        <v>-0.34811520036183075</v>
      </c>
      <c r="I277" s="68">
        <v>326.63</v>
      </c>
      <c r="J277" s="68">
        <v>16.34</v>
      </c>
      <c r="K277" s="69">
        <v>6.5823</v>
      </c>
      <c r="L277" s="70">
        <f t="shared" si="28"/>
        <v>-0.94997397667085093</v>
      </c>
      <c r="M277" s="95">
        <f t="shared" si="29"/>
        <v>105248.72340861146</v>
      </c>
    </row>
    <row r="278" spans="1:13" ht="15" customHeight="1" x14ac:dyDescent="0.25">
      <c r="A278" s="65" t="str">
        <f>_xlfn.XLOOKUP(C278,'Sectors &amp; Company Names'!$B$2:$B$2814,'Sectors &amp; Company Names'!$C$2:$C$2814)</f>
        <v>Insurance Brokers</v>
      </c>
      <c r="B278" s="65" t="str">
        <f>_xlfn.XLOOKUP(C278,'Sectors &amp; Company Names'!$B$2:$B$2814,'Sectors &amp; Company Names'!$A$2:$A$2814)</f>
        <v>GALLAGHER ARTHUR J &amp; CO</v>
      </c>
      <c r="C278" s="65" t="s">
        <v>1465</v>
      </c>
      <c r="D278" s="66">
        <v>3.0519560000000097E-3</v>
      </c>
      <c r="E278" s="67">
        <f t="shared" si="24"/>
        <v>29816868.030372892</v>
      </c>
      <c r="F278" s="67">
        <f t="shared" si="25"/>
        <v>2761448573.2674899</v>
      </c>
      <c r="G278" s="71">
        <f t="shared" si="26"/>
        <v>2731631705.2371168</v>
      </c>
      <c r="H278" s="78">
        <f t="shared" si="27"/>
        <v>0.90964905537857899</v>
      </c>
      <c r="I278" s="68">
        <v>3.52</v>
      </c>
      <c r="J278" s="68">
        <v>326</v>
      </c>
      <c r="K278" s="69">
        <v>50.493600000000001</v>
      </c>
      <c r="L278" s="70">
        <f t="shared" si="28"/>
        <v>91.613636363636374</v>
      </c>
      <c r="M278" s="95">
        <f t="shared" si="29"/>
        <v>8470701.1449923012</v>
      </c>
    </row>
    <row r="279" spans="1:13" ht="15" customHeight="1" x14ac:dyDescent="0.25">
      <c r="A279" s="65" t="str">
        <f>_xlfn.XLOOKUP(C279,'Sectors &amp; Company Names'!$B$2:$B$2814,'Sectors &amp; Company Names'!$C$2:$C$2814)</f>
        <v>Specialty Retail</v>
      </c>
      <c r="B279" s="65" t="str">
        <f>_xlfn.XLOOKUP(C279,'Sectors &amp; Company Names'!$B$2:$B$2814,'Sectors &amp; Company Names'!$A$2:$A$2814)</f>
        <v>GAMESTOP CORP GME</v>
      </c>
      <c r="C279" s="65" t="s">
        <v>2711</v>
      </c>
      <c r="D279" s="66">
        <v>4.253155999999903E-3</v>
      </c>
      <c r="E279" s="67">
        <f t="shared" si="24"/>
        <v>41552299.956023395</v>
      </c>
      <c r="F279" s="67">
        <f t="shared" si="25"/>
        <v>1743072.518922003</v>
      </c>
      <c r="G279" s="71">
        <f t="shared" si="26"/>
        <v>-39809227.437101394</v>
      </c>
      <c r="H279" s="78">
        <f t="shared" si="27"/>
        <v>-0.36430942890010565</v>
      </c>
      <c r="I279" s="68">
        <v>626</v>
      </c>
      <c r="J279" s="68">
        <v>26.26</v>
      </c>
      <c r="K279" s="69">
        <v>144.40110000000001</v>
      </c>
      <c r="L279" s="70">
        <f t="shared" si="28"/>
        <v>-0.95805111821086264</v>
      </c>
      <c r="M279" s="95">
        <f t="shared" si="29"/>
        <v>66377.47596808846</v>
      </c>
    </row>
    <row r="280" spans="1:13" ht="15" customHeight="1" x14ac:dyDescent="0.25">
      <c r="A280" s="65" t="str">
        <f>_xlfn.XLOOKUP(C280,'Sectors &amp; Company Names'!$B$2:$B$2814,'Sectors &amp; Company Names'!$C$2:$C$2814)</f>
        <v>Publishing</v>
      </c>
      <c r="B280" s="65" t="str">
        <f>_xlfn.XLOOKUP(C280,'Sectors &amp; Company Names'!$B$2:$B$2814,'Sectors &amp; Company Names'!$A$2:$A$2814)</f>
        <v>GANNETT CO INC GCI</v>
      </c>
      <c r="C280" s="65" t="s">
        <v>1957</v>
      </c>
      <c r="D280" s="66">
        <v>2.3815160000000015E-3</v>
      </c>
      <c r="E280" s="67">
        <f t="shared" si="24"/>
        <v>23266832.24929237</v>
      </c>
      <c r="F280" s="67">
        <f t="shared" si="25"/>
        <v>2046486.6836615573</v>
      </c>
      <c r="G280" s="71">
        <f t="shared" si="26"/>
        <v>-21220345.565630812</v>
      </c>
      <c r="H280" s="78">
        <f t="shared" si="27"/>
        <v>-0.29338692973357661</v>
      </c>
      <c r="I280" s="68">
        <v>48.66</v>
      </c>
      <c r="J280" s="68">
        <v>4.28</v>
      </c>
      <c r="K280" s="65">
        <v>0</v>
      </c>
      <c r="L280" s="70">
        <f t="shared" si="28"/>
        <v>-0.91204274558158649</v>
      </c>
      <c r="M280" s="95">
        <f t="shared" si="29"/>
        <v>478151.09431344795</v>
      </c>
    </row>
    <row r="281" spans="1:13" ht="15" customHeight="1" x14ac:dyDescent="0.25">
      <c r="A281" s="65" t="str">
        <f>_xlfn.XLOOKUP(C281,'Sectors &amp; Company Names'!$B$2:$B$2814,'Sectors &amp; Company Names'!$C$2:$C$2814)</f>
        <v>Rental &amp; Leasing Services</v>
      </c>
      <c r="B281" s="65" t="str">
        <f>_xlfn.XLOOKUP(C281,'Sectors &amp; Company Names'!$B$2:$B$2814,'Sectors &amp; Company Names'!$A$2:$A$2814)</f>
        <v>GATX CORP GATX</v>
      </c>
      <c r="C281" s="65" t="s">
        <v>2222</v>
      </c>
      <c r="D281" s="66">
        <v>3.6407959999999991E-3</v>
      </c>
      <c r="E281" s="67">
        <f t="shared" si="24"/>
        <v>35569691.652667709</v>
      </c>
      <c r="F281" s="67">
        <f t="shared" si="25"/>
        <v>110858193.24738456</v>
      </c>
      <c r="G281" s="71">
        <f t="shared" si="26"/>
        <v>75288501.594716847</v>
      </c>
      <c r="H281" s="78">
        <f t="shared" si="27"/>
        <v>0.17632360961764082</v>
      </c>
      <c r="I281" s="68">
        <v>52.38</v>
      </c>
      <c r="J281" s="68">
        <v>163.25</v>
      </c>
      <c r="K281" s="69">
        <v>20.571200000000001</v>
      </c>
      <c r="L281" s="70">
        <f t="shared" si="28"/>
        <v>2.1166475754104619</v>
      </c>
      <c r="M281" s="95">
        <f t="shared" si="29"/>
        <v>679070.09646177373</v>
      </c>
    </row>
    <row r="282" spans="1:13" ht="15" customHeight="1" x14ac:dyDescent="0.25">
      <c r="A282" s="65" t="str">
        <f>_xlfn.XLOOKUP(C282,'Sectors &amp; Company Names'!$B$2:$B$2814,'Sectors &amp; Company Names'!$C$2:$C$2814)</f>
        <v>Aerospace &amp; Defense</v>
      </c>
      <c r="B282" s="65" t="str">
        <f>_xlfn.XLOOKUP(C282,'Sectors &amp; Company Names'!$B$2:$B$2814,'Sectors &amp; Company Names'!$A$2:$A$2814)</f>
        <v>GENERAL DYNAMICS CORP GD</v>
      </c>
      <c r="C282" s="65" t="s">
        <v>25</v>
      </c>
      <c r="D282" s="66">
        <v>3.6677959999999949E-3</v>
      </c>
      <c r="E282" s="67">
        <f t="shared" si="24"/>
        <v>35833475.087559931</v>
      </c>
      <c r="F282" s="67">
        <f t="shared" si="25"/>
        <v>110493329.69214794</v>
      </c>
      <c r="G282" s="71">
        <f t="shared" si="26"/>
        <v>74659854.604588002</v>
      </c>
      <c r="H282" s="78">
        <f t="shared" si="27"/>
        <v>0.1745293567791697</v>
      </c>
      <c r="I282" s="68">
        <v>79.260000000000005</v>
      </c>
      <c r="J282" s="68">
        <v>244.4</v>
      </c>
      <c r="K282" s="69">
        <v>18.0623</v>
      </c>
      <c r="L282" s="70">
        <f t="shared" si="28"/>
        <v>2.0835225839010847</v>
      </c>
      <c r="M282" s="95">
        <f t="shared" si="29"/>
        <v>452100.36698914866</v>
      </c>
    </row>
    <row r="283" spans="1:13" ht="15" customHeight="1" x14ac:dyDescent="0.25">
      <c r="A283" s="65" t="str">
        <f>_xlfn.XLOOKUP(C283,'Sectors &amp; Company Names'!$B$2:$B$2814,'Sectors &amp; Company Names'!$C$2:$C$2814)</f>
        <v>Diversified Industrials</v>
      </c>
      <c r="B283" s="65" t="str">
        <f>_xlfn.XLOOKUP(C283,'Sectors &amp; Company Names'!$B$2:$B$2814,'Sectors &amp; Company Names'!$A$2:$A$2814)</f>
        <v>GENERAL ELECTRIC CO GE</v>
      </c>
      <c r="C283" s="65" t="s">
        <v>973</v>
      </c>
      <c r="D283" s="66">
        <v>4.2725959999999003E-3</v>
      </c>
      <c r="E283" s="67">
        <f t="shared" si="24"/>
        <v>41742224.0291458</v>
      </c>
      <c r="F283" s="67">
        <f t="shared" si="25"/>
        <v>49219731.911078379</v>
      </c>
      <c r="G283" s="71">
        <f t="shared" si="26"/>
        <v>7477507.881932579</v>
      </c>
      <c r="H283" s="78">
        <f t="shared" si="27"/>
        <v>2.3819459662666187E-2</v>
      </c>
      <c r="I283" s="68">
        <v>171.63</v>
      </c>
      <c r="J283" s="68">
        <v>202.375</v>
      </c>
      <c r="K283" s="69">
        <v>33.075699999999998</v>
      </c>
      <c r="L283" s="70">
        <f t="shared" si="28"/>
        <v>0.17913534929790834</v>
      </c>
      <c r="M283" s="95">
        <f t="shared" si="29"/>
        <v>243210.53445869489</v>
      </c>
    </row>
    <row r="284" spans="1:13" ht="15" customHeight="1" x14ac:dyDescent="0.25">
      <c r="A284" s="65" t="str">
        <f>_xlfn.XLOOKUP(C284,'Sectors &amp; Company Names'!$B$2:$B$2814,'Sectors &amp; Company Names'!$C$2:$C$2814)</f>
        <v>Auto Manufacturers</v>
      </c>
      <c r="B284" s="65" t="str">
        <f>_xlfn.XLOOKUP(C284,'Sectors &amp; Company Names'!$B$2:$B$2814,'Sectors &amp; Company Names'!$A$2:$A$2814)</f>
        <v>GENERAL MTRS CO GM</v>
      </c>
      <c r="C284" s="65" t="s">
        <v>166</v>
      </c>
      <c r="D284" s="66">
        <v>2.7044360000000093E-3</v>
      </c>
      <c r="E284" s="67">
        <f t="shared" si="24"/>
        <v>26421682.130603965</v>
      </c>
      <c r="F284" s="67">
        <f t="shared" si="25"/>
        <v>24663585.410886973</v>
      </c>
      <c r="G284" s="71">
        <f t="shared" si="26"/>
        <v>-1758096.7197169922</v>
      </c>
      <c r="H284" s="78">
        <f t="shared" si="27"/>
        <v>-9.7885040733263207E-3</v>
      </c>
      <c r="I284" s="68">
        <v>49.97</v>
      </c>
      <c r="J284" s="68">
        <v>46.645000000000003</v>
      </c>
      <c r="K284" s="69">
        <v>7.5823</v>
      </c>
      <c r="L284" s="70">
        <f t="shared" si="28"/>
        <v>-6.653992395437254E-2</v>
      </c>
      <c r="M284" s="95">
        <f t="shared" si="29"/>
        <v>528750.89314796811</v>
      </c>
    </row>
    <row r="285" spans="1:13" ht="15" customHeight="1" x14ac:dyDescent="0.25">
      <c r="A285" s="65" t="str">
        <f>_xlfn.XLOOKUP(C285,'Sectors &amp; Company Names'!$B$2:$B$2814,'Sectors &amp; Company Names'!$C$2:$C$2814)</f>
        <v>Apparel Stores</v>
      </c>
      <c r="B285" s="65" t="str">
        <f>_xlfn.XLOOKUP(C285,'Sectors &amp; Company Names'!$B$2:$B$2814,'Sectors &amp; Company Names'!$A$2:$A$2814)</f>
        <v>GENESCO INC GCO</v>
      </c>
      <c r="C285" s="65" t="s">
        <v>94</v>
      </c>
      <c r="D285" s="66">
        <v>2.4765560000000039E-3</v>
      </c>
      <c r="E285" s="67">
        <f t="shared" si="24"/>
        <v>24195349.940113176</v>
      </c>
      <c r="F285" s="67">
        <f t="shared" si="25"/>
        <v>65317060.567945011</v>
      </c>
      <c r="G285" s="71">
        <f t="shared" si="26"/>
        <v>41121710.627831832</v>
      </c>
      <c r="H285" s="78">
        <f t="shared" si="27"/>
        <v>0.15242728479844736</v>
      </c>
      <c r="I285" s="68">
        <v>13.98</v>
      </c>
      <c r="J285" s="68">
        <v>37.74</v>
      </c>
      <c r="K285" s="65">
        <v>0</v>
      </c>
      <c r="L285" s="70">
        <f t="shared" si="28"/>
        <v>1.6995708154506439</v>
      </c>
      <c r="M285" s="95">
        <f t="shared" si="29"/>
        <v>1730711.7267605991</v>
      </c>
    </row>
    <row r="286" spans="1:13" ht="15" customHeight="1" x14ac:dyDescent="0.25">
      <c r="A286" s="65" t="str">
        <f>_xlfn.XLOOKUP(C286,'Sectors &amp; Company Names'!$B$2:$B$2814,'Sectors &amp; Company Names'!$C$2:$C$2814)</f>
        <v>Business Services</v>
      </c>
      <c r="B286" s="65" t="str">
        <f>_xlfn.XLOOKUP(C286,'Sectors &amp; Company Names'!$B$2:$B$2814,'Sectors &amp; Company Names'!$A$2:$A$2814)</f>
        <v>GENPACT LTD G</v>
      </c>
      <c r="C286" s="65" t="s">
        <v>706</v>
      </c>
      <c r="D286" s="66">
        <v>2.0585959999999972E-3</v>
      </c>
      <c r="E286" s="67">
        <f t="shared" si="24"/>
        <v>20111982.367980808</v>
      </c>
      <c r="F286" s="67">
        <f t="shared" si="25"/>
        <v>9922731.3619803376</v>
      </c>
      <c r="G286" s="71">
        <f t="shared" si="26"/>
        <v>-10189251.00600047</v>
      </c>
      <c r="H286" s="78">
        <f t="shared" si="27"/>
        <v>-9.6000790705080274E-2</v>
      </c>
      <c r="I286" s="68">
        <v>107.91</v>
      </c>
      <c r="J286" s="68">
        <v>53.24</v>
      </c>
      <c r="K286" s="69">
        <v>18.611799999999999</v>
      </c>
      <c r="L286" s="70">
        <f t="shared" si="28"/>
        <v>-0.50662589194699281</v>
      </c>
      <c r="M286" s="95">
        <f t="shared" si="29"/>
        <v>186377.37344065247</v>
      </c>
    </row>
    <row r="287" spans="1:13" ht="15" customHeight="1" x14ac:dyDescent="0.25">
      <c r="A287" s="65" t="str">
        <f>_xlfn.XLOOKUP(C287,'Sectors &amp; Company Names'!$B$2:$B$2814,'Sectors &amp; Company Names'!$C$2:$C$2814)</f>
        <v>REIT - Healthcare Facilities</v>
      </c>
      <c r="B287" s="65" t="str">
        <f>_xlfn.XLOOKUP(C287,'Sectors &amp; Company Names'!$B$2:$B$2814,'Sectors &amp; Company Names'!$A$2:$A$2814)</f>
        <v>GEO GROUP INC GEO</v>
      </c>
      <c r="C287" s="65" t="s">
        <v>2083</v>
      </c>
      <c r="D287" s="66">
        <v>4.1937559999999123E-3</v>
      </c>
      <c r="E287" s="67">
        <f t="shared" si="24"/>
        <v>40971976.399260499</v>
      </c>
      <c r="F287" s="67">
        <f t="shared" si="25"/>
        <v>3472247.2243845635</v>
      </c>
      <c r="G287" s="71">
        <f t="shared" si="26"/>
        <v>-37499729.174875937</v>
      </c>
      <c r="H287" s="78">
        <f t="shared" si="27"/>
        <v>-0.29713030613612423</v>
      </c>
      <c r="I287" s="68">
        <v>303.02</v>
      </c>
      <c r="J287" s="68">
        <v>25.68</v>
      </c>
      <c r="K287" s="69">
        <v>101.0642</v>
      </c>
      <c r="L287" s="70">
        <f t="shared" si="28"/>
        <v>-0.91525311860603253</v>
      </c>
      <c r="M287" s="95">
        <f t="shared" si="29"/>
        <v>135212.11932961695</v>
      </c>
    </row>
    <row r="288" spans="1:13" ht="15" customHeight="1" x14ac:dyDescent="0.25">
      <c r="A288" s="65" t="str">
        <f>_xlfn.XLOOKUP(C288,'Sectors &amp; Company Names'!$B$2:$B$2814,'Sectors &amp; Company Names'!$C$2:$C$2814)</f>
        <v>Biotechnology</v>
      </c>
      <c r="B288" s="65" t="str">
        <f>_xlfn.XLOOKUP(C288,'Sectors &amp; Company Names'!$B$2:$B$2814,'Sectors &amp; Company Names'!$A$2:$A$2814)</f>
        <v>GERON CORP GERN</v>
      </c>
      <c r="C288" s="65" t="s">
        <v>533</v>
      </c>
      <c r="D288" s="66">
        <v>3.4463960000000273E-3</v>
      </c>
      <c r="E288" s="67">
        <f t="shared" si="24"/>
        <v>33670450.921443656</v>
      </c>
      <c r="F288" s="67">
        <f t="shared" si="25"/>
        <v>1111350.6235030417</v>
      </c>
      <c r="G288" s="71">
        <f t="shared" si="26"/>
        <v>-32559100.297940616</v>
      </c>
      <c r="H288" s="78">
        <f t="shared" si="27"/>
        <v>-0.38571241542138401</v>
      </c>
      <c r="I288" s="68">
        <v>77.56</v>
      </c>
      <c r="J288" s="68">
        <v>2.56</v>
      </c>
      <c r="K288" s="69">
        <v>0</v>
      </c>
      <c r="L288" s="70">
        <f t="shared" si="28"/>
        <v>-0.96699329551315105</v>
      </c>
      <c r="M288" s="95">
        <f t="shared" si="29"/>
        <v>434121.33730587567</v>
      </c>
    </row>
    <row r="289" spans="1:13" ht="15" customHeight="1" x14ac:dyDescent="0.25">
      <c r="A289" s="65" t="str">
        <f>_xlfn.XLOOKUP(C289,'Sectors &amp; Company Names'!$B$2:$B$2814,'Sectors &amp; Company Names'!$C$2:$C$2814)</f>
        <v>Medical Instruments &amp; Supplies</v>
      </c>
      <c r="B289" s="65" t="str">
        <f>_xlfn.XLOOKUP(C289,'Sectors &amp; Company Names'!$B$2:$B$2814,'Sectors &amp; Company Names'!$A$2:$A$2814)</f>
        <v>GLAUKOS CORPORATION GKOS</v>
      </c>
      <c r="C289" s="65" t="s">
        <v>1684</v>
      </c>
      <c r="D289" s="66">
        <v>2.3458760000000006E-3</v>
      </c>
      <c r="E289" s="67">
        <f t="shared" si="24"/>
        <v>22918638.115234569</v>
      </c>
      <c r="F289" s="67">
        <f t="shared" si="25"/>
        <v>14481326.13030309</v>
      </c>
      <c r="G289" s="71">
        <f t="shared" si="26"/>
        <v>-8437311.9849314783</v>
      </c>
      <c r="H289" s="78">
        <f t="shared" si="27"/>
        <v>-6.3479959353243798E-2</v>
      </c>
      <c r="I289" s="68">
        <v>201.77</v>
      </c>
      <c r="J289" s="68">
        <v>127.49</v>
      </c>
      <c r="K289" s="65">
        <v>0</v>
      </c>
      <c r="L289" s="70">
        <f t="shared" si="28"/>
        <v>-0.36814194379739312</v>
      </c>
      <c r="M289" s="95">
        <f t="shared" si="29"/>
        <v>113587.93733079529</v>
      </c>
    </row>
    <row r="290" spans="1:13" ht="15" customHeight="1" x14ac:dyDescent="0.25">
      <c r="A290" s="65" t="str">
        <f>_xlfn.XLOOKUP(C290,'Sectors &amp; Company Names'!$B$2:$B$2814,'Sectors &amp; Company Names'!$C$2:$C$2814)</f>
        <v>Internet Content &amp; Information</v>
      </c>
      <c r="B290" s="65" t="str">
        <f>_xlfn.XLOOKUP(C290,'Sectors &amp; Company Names'!$B$2:$B$2814,'Sectors &amp; Company Names'!$A$2:$A$2814)</f>
        <v>GODADDY INC GDDY</v>
      </c>
      <c r="C290" s="65" t="s">
        <v>1493</v>
      </c>
      <c r="D290" s="66">
        <v>4.4551159999998719E-3</v>
      </c>
      <c r="E290" s="67">
        <f t="shared" si="24"/>
        <v>43525400.049017258</v>
      </c>
      <c r="F290" s="67">
        <f t="shared" si="25"/>
        <v>20013335.042674188</v>
      </c>
      <c r="G290" s="71">
        <f t="shared" si="26"/>
        <v>-23512065.00634307</v>
      </c>
      <c r="H290" s="78">
        <f t="shared" si="27"/>
        <v>-0.10505433103921058</v>
      </c>
      <c r="I290" s="68">
        <v>377.44</v>
      </c>
      <c r="J290" s="68">
        <v>173.55</v>
      </c>
      <c r="K290" s="69">
        <v>26.848400000000002</v>
      </c>
      <c r="L290" s="70">
        <f t="shared" si="28"/>
        <v>-0.54019181856718945</v>
      </c>
      <c r="M290" s="95">
        <f t="shared" si="29"/>
        <v>115317.40157115636</v>
      </c>
    </row>
    <row r="291" spans="1:13" ht="15" customHeight="1" x14ac:dyDescent="0.25">
      <c r="A291" s="65" t="str">
        <f>_xlfn.XLOOKUP(C291,'Sectors &amp; Company Names'!$B$2:$B$2814,'Sectors &amp; Company Names'!$C$2:$C$2814)</f>
        <v>Shipping &amp; Ports</v>
      </c>
      <c r="B291" s="65" t="str">
        <f>_xlfn.XLOOKUP(C291,'Sectors &amp; Company Names'!$B$2:$B$2814,'Sectors &amp; Company Names'!$A$2:$A$2814)</f>
        <v>GOLAR LNG LTD BERMUDA GLNG</v>
      </c>
      <c r="C291" s="65" t="s">
        <v>2476</v>
      </c>
      <c r="D291" s="66">
        <v>4.1354359999999221E-3</v>
      </c>
      <c r="E291" s="67">
        <f t="shared" si="24"/>
        <v>40402204.1798933</v>
      </c>
      <c r="F291" s="67">
        <f t="shared" si="25"/>
        <v>34142092.041221231</v>
      </c>
      <c r="G291" s="71">
        <f t="shared" si="26"/>
        <v>-6260112.1386720687</v>
      </c>
      <c r="H291" s="78">
        <f t="shared" si="27"/>
        <v>-2.3763570310478155E-2</v>
      </c>
      <c r="I291" s="68">
        <v>46.21</v>
      </c>
      <c r="J291" s="68">
        <v>39.049999999999997</v>
      </c>
      <c r="K291" s="69">
        <v>298.2389</v>
      </c>
      <c r="L291" s="70">
        <f t="shared" si="28"/>
        <v>-0.15494481713914746</v>
      </c>
      <c r="M291" s="95">
        <f t="shared" si="29"/>
        <v>874317.33780336066</v>
      </c>
    </row>
    <row r="292" spans="1:13" ht="15" customHeight="1" x14ac:dyDescent="0.25">
      <c r="A292" s="65" t="str">
        <f>_xlfn.XLOOKUP(C292,'Sectors &amp; Company Names'!$B$2:$B$2814,'Sectors &amp; Company Names'!$C$2:$C$2814)</f>
        <v>Diversified Industrials</v>
      </c>
      <c r="B292" s="65" t="str">
        <f>_xlfn.XLOOKUP(C292,'Sectors &amp; Company Names'!$B$2:$B$2814,'Sectors &amp; Company Names'!$A$2:$A$2814)</f>
        <v>GRACO INC GGG</v>
      </c>
      <c r="C292" s="65" t="s">
        <v>1003</v>
      </c>
      <c r="D292" s="66">
        <v>4.1332759999999228E-3</v>
      </c>
      <c r="E292" s="67">
        <f t="shared" si="24"/>
        <v>40381101.505101919</v>
      </c>
      <c r="F292" s="67">
        <f t="shared" si="25"/>
        <v>315616932.0720613</v>
      </c>
      <c r="G292" s="71">
        <f t="shared" si="26"/>
        <v>275235830.56695938</v>
      </c>
      <c r="H292" s="78">
        <f t="shared" si="27"/>
        <v>0.34143266045449083</v>
      </c>
      <c r="I292" s="68">
        <v>11.03</v>
      </c>
      <c r="J292" s="68">
        <v>86.21</v>
      </c>
      <c r="K292" s="69">
        <v>30.351099999999999</v>
      </c>
      <c r="L292" s="70">
        <f t="shared" si="28"/>
        <v>6.8159564823209422</v>
      </c>
      <c r="M292" s="95">
        <f t="shared" si="29"/>
        <v>3661024.6151497657</v>
      </c>
    </row>
    <row r="293" spans="1:13" ht="15" customHeight="1" x14ac:dyDescent="0.25">
      <c r="A293" s="65" t="str">
        <f>_xlfn.XLOOKUP(C293,'Sectors &amp; Company Names'!$B$2:$B$2814,'Sectors &amp; Company Names'!$C$2:$C$2814)</f>
        <v>Education &amp; Training Services</v>
      </c>
      <c r="B293" s="65" t="str">
        <f>_xlfn.XLOOKUP(C293,'Sectors &amp; Company Names'!$B$2:$B$2814,'Sectors &amp; Company Names'!$A$2:$A$2814)</f>
        <v>GRAHAM HOLDINGS COMPANY GHC</v>
      </c>
      <c r="C293" s="65" t="s">
        <v>1092</v>
      </c>
      <c r="D293" s="66">
        <v>4.0457959999999358E-3</v>
      </c>
      <c r="E293" s="67">
        <f t="shared" si="24"/>
        <v>39526443.176051103</v>
      </c>
      <c r="F293" s="67">
        <f t="shared" si="25"/>
        <v>418471416.1772756</v>
      </c>
      <c r="G293" s="71">
        <f t="shared" si="26"/>
        <v>378944973.00122452</v>
      </c>
      <c r="H293" s="78">
        <f t="shared" si="27"/>
        <v>0.40086687530735565</v>
      </c>
      <c r="I293" s="68">
        <v>87.46</v>
      </c>
      <c r="J293" s="68">
        <v>925.95</v>
      </c>
      <c r="K293" s="69">
        <v>18.206099999999999</v>
      </c>
      <c r="L293" s="70">
        <f t="shared" si="28"/>
        <v>9.5871255431054205</v>
      </c>
      <c r="M293" s="95">
        <f t="shared" si="29"/>
        <v>451937.37909960101</v>
      </c>
    </row>
    <row r="294" spans="1:13" ht="15" customHeight="1" x14ac:dyDescent="0.25">
      <c r="A294" s="65" t="str">
        <f>_xlfn.XLOOKUP(C294,'Sectors &amp; Company Names'!$B$2:$B$2814,'Sectors &amp; Company Names'!$C$2:$C$2814)</f>
        <v>Engineering &amp; Construction</v>
      </c>
      <c r="B294" s="65" t="str">
        <f>_xlfn.XLOOKUP(C294,'Sectors &amp; Company Names'!$B$2:$B$2814,'Sectors &amp; Company Names'!$A$2:$A$2814)</f>
        <v>GREAT LAKES DREDGE &amp; DOC GLDD</v>
      </c>
      <c r="C294" s="65" t="s">
        <v>1159</v>
      </c>
      <c r="D294" s="66">
        <v>2.493836000000004E-3</v>
      </c>
      <c r="E294" s="67">
        <f t="shared" si="24"/>
        <v>24364171.338444225</v>
      </c>
      <c r="F294" s="67">
        <f t="shared" si="25"/>
        <v>1697413.8198130201</v>
      </c>
      <c r="G294" s="71">
        <f t="shared" si="26"/>
        <v>-22666757.518631205</v>
      </c>
      <c r="H294" s="78">
        <f t="shared" si="27"/>
        <v>-0.31653002406913577</v>
      </c>
      <c r="I294" s="68">
        <v>122.15</v>
      </c>
      <c r="J294" s="68">
        <v>8.51</v>
      </c>
      <c r="K294" s="69">
        <v>10.0754</v>
      </c>
      <c r="L294" s="70">
        <f t="shared" si="28"/>
        <v>-0.93033155955792057</v>
      </c>
      <c r="M294" s="95">
        <f t="shared" si="29"/>
        <v>199461.08340928555</v>
      </c>
    </row>
    <row r="295" spans="1:13" ht="15" customHeight="1" x14ac:dyDescent="0.25">
      <c r="A295" s="65" t="str">
        <f>_xlfn.XLOOKUP(C295,'Sectors &amp; Company Names'!$B$2:$B$2814,'Sectors &amp; Company Names'!$C$2:$C$2814)</f>
        <v>Credit Services</v>
      </c>
      <c r="B295" s="65" t="str">
        <f>_xlfn.XLOOKUP(C295,'Sectors &amp; Company Names'!$B$2:$B$2814,'Sectors &amp; Company Names'!$A$2:$A$2814)</f>
        <v>GREEN DOT CORP GDOT</v>
      </c>
      <c r="C295" s="65" t="s">
        <v>886</v>
      </c>
      <c r="D295" s="66">
        <v>2.6169560000000071E-3</v>
      </c>
      <c r="E295" s="67">
        <f t="shared" si="24"/>
        <v>25567023.801552996</v>
      </c>
      <c r="F295" s="67">
        <f t="shared" si="25"/>
        <v>2535693.1846096269</v>
      </c>
      <c r="G295" s="71">
        <f t="shared" si="26"/>
        <v>-23031330.616943371</v>
      </c>
      <c r="H295" s="78">
        <f t="shared" si="27"/>
        <v>-0.28116215670984934</v>
      </c>
      <c r="I295" s="68">
        <v>87.62</v>
      </c>
      <c r="J295" s="68">
        <v>8.69</v>
      </c>
      <c r="K295" s="65">
        <v>0</v>
      </c>
      <c r="L295" s="70">
        <f t="shared" si="28"/>
        <v>-0.9008217301985848</v>
      </c>
      <c r="M295" s="95">
        <f t="shared" si="29"/>
        <v>291794.38257878332</v>
      </c>
    </row>
    <row r="296" spans="1:13" ht="15" customHeight="1" x14ac:dyDescent="0.25">
      <c r="A296" s="65" t="str">
        <f>_xlfn.XLOOKUP(C296,'Sectors &amp; Company Names'!$B$2:$B$2814,'Sectors &amp; Company Names'!$C$2:$C$2814)</f>
        <v>Railroads</v>
      </c>
      <c r="B296" s="65" t="str">
        <f>_xlfn.XLOOKUP(C296,'Sectors &amp; Company Names'!$B$2:$B$2814,'Sectors &amp; Company Names'!$A$2:$A$2814)</f>
        <v>GREENBRIER COMPANIES INC GBX</v>
      </c>
      <c r="C296" s="65" t="s">
        <v>1972</v>
      </c>
      <c r="D296" s="66">
        <v>3.1407560000000201E-3</v>
      </c>
      <c r="E296" s="67">
        <f t="shared" si="24"/>
        <v>30684422.438463118</v>
      </c>
      <c r="F296" s="67">
        <f t="shared" si="25"/>
        <v>28512765.249590218</v>
      </c>
      <c r="G296" s="71">
        <f t="shared" si="26"/>
        <v>-2171657.1888728999</v>
      </c>
      <c r="H296" s="78">
        <f t="shared" si="27"/>
        <v>-1.0431386443411572E-2</v>
      </c>
      <c r="I296" s="68">
        <v>58.92</v>
      </c>
      <c r="J296" s="68">
        <v>54.75</v>
      </c>
      <c r="K296" s="69">
        <v>9.6060999999999996</v>
      </c>
      <c r="L296" s="70">
        <f t="shared" si="28"/>
        <v>-7.0773930753564182E-2</v>
      </c>
      <c r="M296" s="95">
        <f t="shared" si="29"/>
        <v>520781.1004491364</v>
      </c>
    </row>
    <row r="297" spans="1:13" ht="15" customHeight="1" x14ac:dyDescent="0.25">
      <c r="A297" s="65" t="str">
        <f>_xlfn.XLOOKUP(C297,'Sectors &amp; Company Names'!$B$2:$B$2814,'Sectors &amp; Company Names'!$C$2:$C$2814)</f>
        <v>Packaging &amp; Containers</v>
      </c>
      <c r="B297" s="65" t="str">
        <f>_xlfn.XLOOKUP(C297,'Sectors &amp; Company Names'!$B$2:$B$2814,'Sectors &amp; Company Names'!$A$2:$A$2814)</f>
        <v>GREIF INC GEF</v>
      </c>
      <c r="C297" s="65" t="s">
        <v>1912</v>
      </c>
      <c r="D297" s="66">
        <v>1.9527559999999997E-3</v>
      </c>
      <c r="E297" s="67">
        <f t="shared" si="24"/>
        <v>19077951.303203143</v>
      </c>
      <c r="F297" s="67">
        <f t="shared" si="25"/>
        <v>15725046.301534094</v>
      </c>
      <c r="G297" s="71">
        <f t="shared" si="26"/>
        <v>-3352905.0016690493</v>
      </c>
      <c r="H297" s="78">
        <f t="shared" si="27"/>
        <v>-2.723351443690758E-2</v>
      </c>
      <c r="I297" s="68">
        <v>73.23</v>
      </c>
      <c r="J297" s="68">
        <v>60.36</v>
      </c>
      <c r="K297" s="69">
        <v>12.319800000000001</v>
      </c>
      <c r="L297" s="70">
        <f t="shared" si="28"/>
        <v>-0.17574764440802954</v>
      </c>
      <c r="M297" s="95">
        <f t="shared" si="29"/>
        <v>260520.97915066424</v>
      </c>
    </row>
    <row r="298" spans="1:13" ht="15" customHeight="1" x14ac:dyDescent="0.25">
      <c r="A298" s="65" t="str">
        <f>_xlfn.XLOOKUP(C298,'Sectors &amp; Company Names'!$B$2:$B$2814,'Sectors &amp; Company Names'!$C$2:$C$2814)</f>
        <v>Building Materials</v>
      </c>
      <c r="B298" s="65" t="str">
        <f>_xlfn.XLOOKUP(C298,'Sectors &amp; Company Names'!$B$2:$B$2814,'Sectors &amp; Company Names'!$A$2:$A$2814)</f>
        <v>GRIFFON CORP GFF</v>
      </c>
      <c r="C298" s="65" t="s">
        <v>630</v>
      </c>
      <c r="D298" s="66">
        <v>2.259676E-3</v>
      </c>
      <c r="E298" s="67">
        <f t="shared" si="24"/>
        <v>22076485.074948877</v>
      </c>
      <c r="F298" s="67">
        <f t="shared" si="25"/>
        <v>475594307.54934371</v>
      </c>
      <c r="G298" s="71">
        <f t="shared" si="26"/>
        <v>453517822.4743948</v>
      </c>
      <c r="H298" s="78">
        <f t="shared" si="27"/>
        <v>0.55050220626514745</v>
      </c>
      <c r="I298" s="68">
        <v>3.37</v>
      </c>
      <c r="J298" s="68">
        <v>72.599999999999994</v>
      </c>
      <c r="K298" s="69">
        <v>14.7676</v>
      </c>
      <c r="L298" s="70">
        <f t="shared" si="28"/>
        <v>20.543026706231451</v>
      </c>
      <c r="M298" s="95">
        <f t="shared" si="29"/>
        <v>6550885.7789165806</v>
      </c>
    </row>
    <row r="299" spans="1:13" ht="15" customHeight="1" x14ac:dyDescent="0.25">
      <c r="A299" s="65" t="str">
        <f>_xlfn.XLOOKUP(C299,'Sectors &amp; Company Names'!$B$2:$B$2814,'Sectors &amp; Company Names'!$C$2:$C$2814)</f>
        <v>Apparel Stores</v>
      </c>
      <c r="B299" s="65" t="str">
        <f>_xlfn.XLOOKUP(C299,'Sectors &amp; Company Names'!$B$2:$B$2814,'Sectors &amp; Company Names'!$A$2:$A$2814)</f>
        <v>GUESS INC GES</v>
      </c>
      <c r="C299" s="65" t="s">
        <v>107</v>
      </c>
      <c r="D299" s="66">
        <v>1.7065160000000002E-3</v>
      </c>
      <c r="E299" s="67">
        <f t="shared" si="24"/>
        <v>16672246.376985665</v>
      </c>
      <c r="F299" s="67">
        <f t="shared" si="25"/>
        <v>386755.51304170967</v>
      </c>
      <c r="G299" s="71">
        <f t="shared" si="26"/>
        <v>-16285490.863943955</v>
      </c>
      <c r="H299" s="78">
        <f t="shared" si="27"/>
        <v>-0.41589386129678851</v>
      </c>
      <c r="I299" s="68">
        <v>519.02</v>
      </c>
      <c r="J299" s="68">
        <v>12.04</v>
      </c>
      <c r="K299" s="69">
        <v>9.1803000000000008</v>
      </c>
      <c r="L299" s="70">
        <f t="shared" si="28"/>
        <v>-0.97680243535894562</v>
      </c>
      <c r="M299" s="95">
        <f t="shared" si="29"/>
        <v>32122.550917085522</v>
      </c>
    </row>
    <row r="300" spans="1:13" ht="15" customHeight="1" x14ac:dyDescent="0.25">
      <c r="A300" s="65" t="str">
        <f>_xlfn.XLOOKUP(C300,'Sectors &amp; Company Names'!$B$2:$B$2814,'Sectors &amp; Company Names'!$C$2:$C$2814)</f>
        <v>Specialty Chemicals</v>
      </c>
      <c r="B300" s="65" t="str">
        <f>_xlfn.XLOOKUP(C300,'Sectors &amp; Company Names'!$B$2:$B$2814,'Sectors &amp; Company Names'!$A$2:$A$2814)</f>
        <v>HB FULLER COMPANY FUL</v>
      </c>
      <c r="C300" s="65" t="s">
        <v>2642</v>
      </c>
      <c r="D300" s="66">
        <v>3.4679960000000261E-3</v>
      </c>
      <c r="E300" s="67">
        <f t="shared" si="24"/>
        <v>33881477.669357456</v>
      </c>
      <c r="F300" s="67">
        <f t="shared" si="25"/>
        <v>21513881.786752917</v>
      </c>
      <c r="G300" s="71">
        <f t="shared" si="26"/>
        <v>-12367595.882604539</v>
      </c>
      <c r="H300" s="78">
        <f t="shared" si="27"/>
        <v>-6.2821432971220781E-2</v>
      </c>
      <c r="I300" s="68">
        <v>90.98</v>
      </c>
      <c r="J300" s="68">
        <v>57.77</v>
      </c>
      <c r="K300" s="69">
        <v>24.9771</v>
      </c>
      <c r="L300" s="70">
        <f t="shared" si="28"/>
        <v>-0.36502528028138054</v>
      </c>
      <c r="M300" s="95">
        <f t="shared" si="29"/>
        <v>372405.77785620419</v>
      </c>
    </row>
    <row r="301" spans="1:13" ht="15" customHeight="1" x14ac:dyDescent="0.25">
      <c r="A301" s="65" t="str">
        <f>_xlfn.XLOOKUP(C301,'Sectors &amp; Company Names'!$B$2:$B$2814,'Sectors &amp; Company Names'!$C$2:$C$2814)</f>
        <v>Broadcasting - TV</v>
      </c>
      <c r="B301" s="65" t="str">
        <f>_xlfn.XLOOKUP(C301,'Sectors &amp; Company Names'!$B$2:$B$2814,'Sectors &amp; Company Names'!$A$2:$A$2814)</f>
        <v>LIBERTY FORMULA 1 SER C FWONK</v>
      </c>
      <c r="C301" s="65" t="s">
        <v>619</v>
      </c>
      <c r="D301" s="66">
        <v>3.9745159999999471E-3</v>
      </c>
      <c r="E301" s="67">
        <f t="shared" si="24"/>
        <v>38830054.907935627</v>
      </c>
      <c r="F301" s="67">
        <f t="shared" si="25"/>
        <v>49075882.799543358</v>
      </c>
      <c r="G301" s="71">
        <f t="shared" si="26"/>
        <v>10245827.891607732</v>
      </c>
      <c r="H301" s="78">
        <f t="shared" si="27"/>
        <v>3.4019164389464063E-2</v>
      </c>
      <c r="I301" s="68">
        <v>76.099999999999994</v>
      </c>
      <c r="J301" s="68">
        <v>96.18</v>
      </c>
      <c r="K301" s="69">
        <v>83.807900000000004</v>
      </c>
      <c r="L301" s="70">
        <f t="shared" si="28"/>
        <v>0.26386333771353498</v>
      </c>
      <c r="M301" s="95">
        <f t="shared" si="29"/>
        <v>510250.39300835261</v>
      </c>
    </row>
    <row r="302" spans="1:13" ht="15" customHeight="1" x14ac:dyDescent="0.25">
      <c r="A302" s="65" t="str">
        <f>_xlfn.XLOOKUP(C302,'Sectors &amp; Company Names'!$B$2:$B$2814,'Sectors &amp; Company Names'!$C$2:$C$2814)</f>
        <v>Staffing &amp; Outsourcing Services</v>
      </c>
      <c r="B302" s="65" t="str">
        <f>_xlfn.XLOOKUP(C302,'Sectors &amp; Company Names'!$B$2:$B$2814,'Sectors &amp; Company Names'!$A$2:$A$2814)</f>
        <v>ON ASSIGNMENT INC</v>
      </c>
      <c r="C302" s="65" t="s">
        <v>2750</v>
      </c>
      <c r="D302" s="66">
        <v>3.8935159999999593E-3</v>
      </c>
      <c r="E302" s="67">
        <f t="shared" si="24"/>
        <v>38038704.603258945</v>
      </c>
      <c r="F302" s="67">
        <f t="shared" si="25"/>
        <v>96741291.970318332</v>
      </c>
      <c r="G302" s="71">
        <f t="shared" si="26"/>
        <v>58702587.367059387</v>
      </c>
      <c r="H302" s="78">
        <f t="shared" si="27"/>
        <v>0.14264759316568565</v>
      </c>
      <c r="I302" s="68">
        <v>26.6</v>
      </c>
      <c r="J302" s="68">
        <v>67.650000000000006</v>
      </c>
      <c r="K302" s="69">
        <v>17.465900000000001</v>
      </c>
      <c r="L302" s="70">
        <f t="shared" si="28"/>
        <v>1.5432330827067671</v>
      </c>
      <c r="M302" s="95">
        <f t="shared" si="29"/>
        <v>1430026.4888443211</v>
      </c>
    </row>
    <row r="303" spans="1:13" ht="15" customHeight="1" x14ac:dyDescent="0.25">
      <c r="A303" s="65" t="str">
        <f>_xlfn.XLOOKUP(C303,'Sectors &amp; Company Names'!$B$2:$B$2814,'Sectors &amp; Company Names'!$C$2:$C$2814)</f>
        <v>Banks - Regional - US</v>
      </c>
      <c r="B303" s="65" t="str">
        <f>_xlfn.XLOOKUP(C303,'Sectors &amp; Company Names'!$B$2:$B$2814,'Sectors &amp; Company Names'!$A$2:$A$2814)</f>
        <v>POPULAR INC BPOP</v>
      </c>
      <c r="C303" s="65" t="s">
        <v>378</v>
      </c>
      <c r="D303" s="66">
        <v>2.9852360000000161E-3</v>
      </c>
      <c r="E303" s="67">
        <f t="shared" si="24"/>
        <v>29165029.853483614</v>
      </c>
      <c r="F303" s="67">
        <f t="shared" si="25"/>
        <v>97801094.165215522</v>
      </c>
      <c r="G303" s="71">
        <f t="shared" si="26"/>
        <v>68636064.311731905</v>
      </c>
      <c r="H303" s="78">
        <f t="shared" si="27"/>
        <v>0.18869040042342</v>
      </c>
      <c r="I303" s="68">
        <v>30.28</v>
      </c>
      <c r="J303" s="68">
        <v>101.54</v>
      </c>
      <c r="K303" s="69">
        <v>11.7629</v>
      </c>
      <c r="L303" s="70">
        <f t="shared" si="28"/>
        <v>2.3533685601056802</v>
      </c>
      <c r="M303" s="95">
        <f t="shared" si="29"/>
        <v>963178.00044529757</v>
      </c>
    </row>
    <row r="304" spans="1:13" ht="15" customHeight="1" x14ac:dyDescent="0.25">
      <c r="A304" s="65" t="str">
        <f>_xlfn.XLOOKUP(C304,'Sectors &amp; Company Names'!$B$2:$B$2814,'Sectors &amp; Company Names'!$C$2:$C$2814)</f>
        <v>Diagnostics &amp; Research</v>
      </c>
      <c r="B304" s="65" t="str">
        <f>_xlfn.XLOOKUP(C304,'Sectors &amp; Company Names'!$B$2:$B$2814,'Sectors &amp; Company Names'!$A$2:$A$2814)</f>
        <v>QUEST DIAGNOSTICS INC DGX</v>
      </c>
      <c r="C304" s="65" t="s">
        <v>954</v>
      </c>
      <c r="D304" s="66">
        <v>3.7369159999999838E-3</v>
      </c>
      <c r="E304" s="67">
        <f t="shared" si="24"/>
        <v>36508760.680884026</v>
      </c>
      <c r="F304" s="67">
        <f t="shared" si="25"/>
        <v>195452664.2682218</v>
      </c>
      <c r="G304" s="71">
        <f t="shared" si="26"/>
        <v>158943903.58733776</v>
      </c>
      <c r="H304" s="78">
        <f t="shared" si="27"/>
        <v>0.27084350009548186</v>
      </c>
      <c r="I304" s="68">
        <v>32.1</v>
      </c>
      <c r="J304" s="68">
        <v>171.85</v>
      </c>
      <c r="K304" s="69">
        <v>22.6767</v>
      </c>
      <c r="L304" s="70">
        <f t="shared" si="28"/>
        <v>4.3535825545171338</v>
      </c>
      <c r="M304" s="95">
        <f t="shared" si="29"/>
        <v>1137344.5694979448</v>
      </c>
    </row>
    <row r="305" spans="1:13" ht="15" customHeight="1" x14ac:dyDescent="0.25">
      <c r="A305" s="65" t="str">
        <f>_xlfn.XLOOKUP(C305,'Sectors &amp; Company Names'!$B$2:$B$2814,'Sectors &amp; Company Names'!$C$2:$C$2814)</f>
        <v>Software - Application</v>
      </c>
      <c r="B305" s="65" t="str">
        <f>_xlfn.XLOOKUP(C305,'Sectors &amp; Company Names'!$B$2:$B$2814,'Sectors &amp; Company Names'!$A$2:$A$2814)</f>
        <v>SALESFORCE COM INC CRM</v>
      </c>
      <c r="C305" s="65" t="s">
        <v>2570</v>
      </c>
      <c r="D305" s="66">
        <v>2.4344360000000029E-3</v>
      </c>
      <c r="E305" s="67">
        <f t="shared" si="24"/>
        <v>23783847.781681228</v>
      </c>
      <c r="F305" s="67">
        <f t="shared" si="25"/>
        <v>910577436.94546962</v>
      </c>
      <c r="G305" s="71">
        <f t="shared" si="26"/>
        <v>886793589.16378844</v>
      </c>
      <c r="H305" s="78">
        <f t="shared" si="27"/>
        <v>0.68324690273092092</v>
      </c>
      <c r="I305" s="68">
        <v>8.16</v>
      </c>
      <c r="J305" s="68">
        <v>312.41000000000003</v>
      </c>
      <c r="K305" s="69">
        <v>50.619900000000001</v>
      </c>
      <c r="L305" s="70">
        <f t="shared" si="28"/>
        <v>37.285539215686271</v>
      </c>
      <c r="M305" s="95">
        <f t="shared" si="29"/>
        <v>2914687.2281472092</v>
      </c>
    </row>
    <row r="306" spans="1:13" ht="15" customHeight="1" x14ac:dyDescent="0.25">
      <c r="A306" s="65" t="str">
        <f>_xlfn.XLOOKUP(C306,'Sectors &amp; Company Names'!$B$2:$B$2814,'Sectors &amp; Company Names'!$C$2:$C$2814)</f>
        <v>Banks - Regional - US</v>
      </c>
      <c r="B306" s="65" t="str">
        <f>_xlfn.XLOOKUP(C306,'Sectors &amp; Company Names'!$B$2:$B$2814,'Sectors &amp; Company Names'!$A$2:$A$2814)</f>
        <v>SIERRA BANCORP BSRR</v>
      </c>
      <c r="C306" s="65" t="s">
        <v>224</v>
      </c>
      <c r="D306" s="66">
        <v>2.0283559999999981E-3</v>
      </c>
      <c r="E306" s="67">
        <f t="shared" si="24"/>
        <v>19816544.920901474</v>
      </c>
      <c r="F306" s="67">
        <f t="shared" si="25"/>
        <v>558752486.22766113</v>
      </c>
      <c r="G306" s="71">
        <f t="shared" si="26"/>
        <v>538935941.30675972</v>
      </c>
      <c r="H306" s="78">
        <f t="shared" si="27"/>
        <v>0.61127704109870362</v>
      </c>
      <c r="I306" s="68">
        <v>1.07</v>
      </c>
      <c r="J306" s="68">
        <v>30.17</v>
      </c>
      <c r="K306" s="69">
        <v>11.837899999999999</v>
      </c>
      <c r="L306" s="70">
        <f t="shared" si="28"/>
        <v>27.196261682242991</v>
      </c>
      <c r="M306" s="95">
        <f t="shared" si="29"/>
        <v>18520135.440094832</v>
      </c>
    </row>
    <row r="307" spans="1:13" ht="15" customHeight="1" x14ac:dyDescent="0.25">
      <c r="A307" s="65" t="str">
        <f>_xlfn.XLOOKUP(C307,'Sectors &amp; Company Names'!$B$2:$B$2814,'Sectors &amp; Company Names'!$C$2:$C$2814)</f>
        <v>Specialty Chemicals</v>
      </c>
      <c r="B307" s="65" t="str">
        <f>_xlfn.XLOOKUP(C307,'Sectors &amp; Company Names'!$B$2:$B$2814,'Sectors &amp; Company Names'!$A$2:$A$2814)</f>
        <v>THE CHEMOURS COMPANY CC</v>
      </c>
      <c r="C307" s="65" t="s">
        <v>2665</v>
      </c>
      <c r="D307" s="66">
        <v>4.1235559999999232E-3</v>
      </c>
      <c r="E307" s="67">
        <f t="shared" si="24"/>
        <v>40286139.468540713</v>
      </c>
      <c r="F307" s="67">
        <f t="shared" si="25"/>
        <v>20712922.875584275</v>
      </c>
      <c r="G307" s="71">
        <f t="shared" si="26"/>
        <v>-19573216.592956439</v>
      </c>
      <c r="H307" s="78">
        <f t="shared" si="27"/>
        <v>-9.0659500600047793E-2</v>
      </c>
      <c r="I307" s="68">
        <v>32.520000000000003</v>
      </c>
      <c r="J307" s="68">
        <v>16.72</v>
      </c>
      <c r="K307" s="69">
        <v>28.302499999999998</v>
      </c>
      <c r="L307" s="70">
        <f t="shared" si="28"/>
        <v>-0.48585485854858557</v>
      </c>
      <c r="M307" s="95">
        <f t="shared" si="29"/>
        <v>1238811.1767693944</v>
      </c>
    </row>
    <row r="308" spans="1:13" ht="15" customHeight="1" x14ac:dyDescent="0.25">
      <c r="E308" s="45">
        <f>SUM(E9:E307)</f>
        <v>9396604443.5515556</v>
      </c>
    </row>
    <row r="309" spans="1:13" ht="15" customHeight="1" x14ac:dyDescent="0.25"/>
    <row r="310" spans="1:13" ht="15" customHeight="1" x14ac:dyDescent="0.25"/>
    <row r="311" spans="1:13" ht="15" customHeight="1" x14ac:dyDescent="0.25"/>
    <row r="312" spans="1:13" ht="15" customHeight="1" x14ac:dyDescent="0.25"/>
    <row r="313" spans="1:13" ht="15" customHeight="1" x14ac:dyDescent="0.25"/>
    <row r="314" spans="1:13" ht="15" customHeight="1" x14ac:dyDescent="0.25">
      <c r="D314" s="7"/>
      <c r="E314" s="47"/>
      <c r="F314" s="55"/>
      <c r="I314" s="19"/>
      <c r="L314" s="29"/>
    </row>
    <row r="315" spans="1:13" ht="15" customHeight="1" x14ac:dyDescent="0.25">
      <c r="D315" s="7"/>
      <c r="E315" s="47"/>
      <c r="F315" s="55"/>
      <c r="I315" s="19"/>
      <c r="L315" s="29"/>
    </row>
    <row r="316" spans="1:13" ht="15" customHeight="1" x14ac:dyDescent="0.25">
      <c r="D316" s="7"/>
      <c r="E316" s="47"/>
      <c r="F316" s="55"/>
      <c r="I316" s="19"/>
      <c r="K316" s="42"/>
      <c r="L316" s="29"/>
    </row>
    <row r="317" spans="1:13" ht="15" customHeight="1" x14ac:dyDescent="0.25">
      <c r="D317" s="7"/>
      <c r="E317" s="47"/>
      <c r="F317" s="55"/>
      <c r="I317" s="19"/>
      <c r="L317" s="29"/>
    </row>
    <row r="318" spans="1:13" ht="15" customHeight="1" x14ac:dyDescent="0.25">
      <c r="D318" s="7"/>
      <c r="E318" s="47"/>
      <c r="F318" s="55"/>
      <c r="I318" s="19"/>
      <c r="L318" s="29"/>
    </row>
    <row r="319" spans="1:13" ht="15" customHeight="1" x14ac:dyDescent="0.25">
      <c r="D319" s="7"/>
      <c r="E319" s="47"/>
      <c r="F319" s="55"/>
      <c r="I319" s="19"/>
      <c r="L319" s="29"/>
    </row>
    <row r="320" spans="1:13" ht="15" customHeight="1" x14ac:dyDescent="0.25">
      <c r="D320" s="7"/>
      <c r="E320" s="47"/>
      <c r="F320" s="55"/>
      <c r="I320" s="19"/>
      <c r="K320" s="42"/>
      <c r="L320" s="29"/>
    </row>
    <row r="321" spans="4:12" ht="15" customHeight="1" x14ac:dyDescent="0.25">
      <c r="D321" s="7"/>
      <c r="E321" s="47"/>
      <c r="F321" s="55"/>
      <c r="I321" s="19"/>
      <c r="K321" s="42"/>
      <c r="L321" s="29"/>
    </row>
    <row r="322" spans="4:12" ht="15" customHeight="1" x14ac:dyDescent="0.25">
      <c r="D322" s="7"/>
      <c r="E322" s="47"/>
      <c r="F322" s="55"/>
      <c r="I322" s="19"/>
      <c r="L322" s="29"/>
    </row>
    <row r="323" spans="4:12" ht="15" customHeight="1" x14ac:dyDescent="0.25">
      <c r="D323" s="7"/>
      <c r="E323" s="47"/>
      <c r="F323" s="55"/>
      <c r="I323" s="19"/>
      <c r="K323" s="42"/>
      <c r="L323" s="29"/>
    </row>
    <row r="324" spans="4:12" ht="15" customHeight="1" x14ac:dyDescent="0.25">
      <c r="D324" s="7"/>
      <c r="E324" s="47"/>
      <c r="F324" s="55"/>
      <c r="I324" s="19"/>
      <c r="K324" s="42"/>
      <c r="L324" s="29"/>
    </row>
    <row r="325" spans="4:12" ht="15" customHeight="1" x14ac:dyDescent="0.25">
      <c r="D325" s="7"/>
      <c r="E325" s="48"/>
      <c r="F325" s="55"/>
      <c r="I325" s="19"/>
      <c r="K325" s="19"/>
      <c r="L325" s="29"/>
    </row>
    <row r="326" spans="4:12" ht="15" customHeight="1" x14ac:dyDescent="0.25">
      <c r="D326" s="7"/>
      <c r="E326" s="7"/>
      <c r="F326" s="55"/>
      <c r="I326" s="19"/>
      <c r="K326" s="19"/>
      <c r="L326" s="29"/>
    </row>
    <row r="327" spans="4:12" ht="15" customHeight="1" x14ac:dyDescent="0.25">
      <c r="D327" s="7"/>
      <c r="E327" s="7"/>
      <c r="F327" s="55"/>
      <c r="I327" s="19"/>
      <c r="K327" s="19"/>
      <c r="L327" s="29"/>
    </row>
    <row r="328" spans="4:12" ht="15" customHeight="1" x14ac:dyDescent="0.25">
      <c r="D328" s="7"/>
      <c r="E328" s="7"/>
      <c r="F328" s="55"/>
      <c r="I328" s="19"/>
      <c r="K328" s="19"/>
      <c r="L328" s="29"/>
    </row>
    <row r="329" spans="4:12" ht="15" customHeight="1" x14ac:dyDescent="0.25">
      <c r="D329" s="7"/>
      <c r="E329" s="7"/>
      <c r="F329" s="55"/>
      <c r="I329" s="19"/>
      <c r="K329" s="19"/>
      <c r="L329" s="29"/>
    </row>
    <row r="330" spans="4:12" ht="15" customHeight="1" x14ac:dyDescent="0.25">
      <c r="D330" s="7"/>
      <c r="E330" s="7"/>
      <c r="F330" s="55"/>
      <c r="I330" s="19"/>
      <c r="K330" s="19"/>
      <c r="L330" s="29"/>
    </row>
    <row r="331" spans="4:12" ht="15" customHeight="1" x14ac:dyDescent="0.25">
      <c r="D331" s="7"/>
      <c r="E331" s="7"/>
      <c r="F331" s="55"/>
      <c r="I331" s="19"/>
      <c r="K331" s="19"/>
      <c r="L331" s="29"/>
    </row>
    <row r="332" spans="4:12" ht="15" customHeight="1" x14ac:dyDescent="0.25">
      <c r="D332" s="7"/>
      <c r="E332" s="7"/>
      <c r="F332" s="55"/>
      <c r="I332" s="19"/>
      <c r="K332" s="19"/>
      <c r="L332" s="29"/>
    </row>
    <row r="333" spans="4:12" ht="15" customHeight="1" x14ac:dyDescent="0.25">
      <c r="D333" s="7"/>
      <c r="E333" s="7"/>
      <c r="F333" s="55"/>
      <c r="I333" s="19"/>
      <c r="K333" s="19"/>
      <c r="L333" s="29"/>
    </row>
    <row r="334" spans="4:12" ht="15" customHeight="1" x14ac:dyDescent="0.25">
      <c r="D334" s="7"/>
      <c r="E334" s="7"/>
      <c r="F334" s="55"/>
      <c r="I334" s="19"/>
      <c r="K334" s="19"/>
      <c r="L334" s="29"/>
    </row>
    <row r="335" spans="4:12" ht="15" customHeight="1" x14ac:dyDescent="0.25">
      <c r="D335" s="7"/>
      <c r="E335" s="7"/>
      <c r="F335" s="55"/>
      <c r="I335" s="19"/>
      <c r="K335" s="19"/>
      <c r="L335" s="29"/>
    </row>
    <row r="336" spans="4:12" ht="15" customHeight="1" x14ac:dyDescent="0.25">
      <c r="D336" s="7"/>
      <c r="E336" s="7"/>
      <c r="F336" s="55"/>
      <c r="I336" s="19"/>
      <c r="K336" s="19"/>
      <c r="L336" s="29"/>
    </row>
    <row r="337" spans="4:12" ht="15" customHeight="1" x14ac:dyDescent="0.25">
      <c r="D337" s="7"/>
      <c r="E337" s="7"/>
      <c r="F337" s="55"/>
      <c r="I337" s="19"/>
      <c r="K337" s="19"/>
      <c r="L337" s="29"/>
    </row>
    <row r="338" spans="4:12" ht="15" customHeight="1" x14ac:dyDescent="0.25">
      <c r="D338" s="7"/>
      <c r="E338" s="7"/>
      <c r="F338" s="55"/>
      <c r="I338" s="19"/>
      <c r="K338" s="19"/>
      <c r="L338" s="29"/>
    </row>
    <row r="339" spans="4:12" ht="15" customHeight="1" x14ac:dyDescent="0.25">
      <c r="D339" s="7"/>
      <c r="E339" s="7"/>
      <c r="F339" s="55"/>
      <c r="I339" s="19"/>
      <c r="K339" s="19"/>
      <c r="L339" s="29"/>
    </row>
    <row r="340" spans="4:12" ht="15" customHeight="1" x14ac:dyDescent="0.25">
      <c r="D340" s="7"/>
      <c r="E340" s="7"/>
      <c r="F340" s="55"/>
      <c r="I340" s="19"/>
      <c r="K340" s="19"/>
      <c r="L340" s="29"/>
    </row>
    <row r="341" spans="4:12" ht="15" customHeight="1" x14ac:dyDescent="0.25">
      <c r="D341" s="7"/>
      <c r="E341" s="7"/>
      <c r="F341" s="55"/>
      <c r="I341" s="19"/>
      <c r="K341" s="19"/>
      <c r="L341" s="29"/>
    </row>
    <row r="342" spans="4:12" ht="15" customHeight="1" x14ac:dyDescent="0.25">
      <c r="D342" s="7"/>
      <c r="E342" s="7"/>
      <c r="F342" s="55"/>
      <c r="I342" s="19"/>
      <c r="K342" s="19"/>
      <c r="L342" s="29"/>
    </row>
    <row r="343" spans="4:12" ht="15" customHeight="1" x14ac:dyDescent="0.25">
      <c r="D343" s="7"/>
      <c r="E343" s="7"/>
      <c r="F343" s="55"/>
      <c r="I343" s="19"/>
      <c r="K343" s="19"/>
      <c r="L343" s="29"/>
    </row>
    <row r="344" spans="4:12" ht="15" customHeight="1" x14ac:dyDescent="0.25">
      <c r="D344" s="7"/>
      <c r="E344" s="7"/>
      <c r="F344" s="55"/>
      <c r="I344" s="19"/>
      <c r="K344" s="19"/>
      <c r="L344" s="29"/>
    </row>
    <row r="345" spans="4:12" ht="15" customHeight="1" x14ac:dyDescent="0.25">
      <c r="D345" s="7"/>
      <c r="E345" s="7"/>
      <c r="F345" s="55"/>
      <c r="I345" s="19"/>
      <c r="K345" s="19"/>
      <c r="L345" s="29"/>
    </row>
    <row r="346" spans="4:12" ht="15" customHeight="1" x14ac:dyDescent="0.25">
      <c r="D346" s="7"/>
      <c r="E346" s="7"/>
      <c r="F346" s="55"/>
      <c r="I346" s="19"/>
      <c r="K346" s="19"/>
      <c r="L346" s="29"/>
    </row>
    <row r="347" spans="4:12" ht="15" customHeight="1" x14ac:dyDescent="0.25">
      <c r="D347" s="7"/>
      <c r="E347" s="7"/>
      <c r="F347" s="55"/>
      <c r="I347" s="19"/>
      <c r="K347" s="19"/>
      <c r="L347" s="29"/>
    </row>
    <row r="348" spans="4:12" ht="15" customHeight="1" x14ac:dyDescent="0.25">
      <c r="D348" s="7"/>
      <c r="E348" s="7"/>
      <c r="F348" s="55"/>
      <c r="I348" s="19"/>
      <c r="K348" s="19"/>
      <c r="L348" s="29"/>
    </row>
    <row r="349" spans="4:12" ht="15" customHeight="1" x14ac:dyDescent="0.25">
      <c r="D349" s="7"/>
      <c r="E349" s="7"/>
      <c r="F349" s="55"/>
      <c r="I349" s="19"/>
      <c r="K349" s="19"/>
      <c r="L349" s="29"/>
    </row>
    <row r="350" spans="4:12" ht="15" customHeight="1" x14ac:dyDescent="0.25">
      <c r="D350" s="7"/>
      <c r="E350" s="7"/>
      <c r="F350" s="55"/>
      <c r="I350" s="19"/>
      <c r="K350" s="19"/>
      <c r="L350" s="29"/>
    </row>
    <row r="351" spans="4:12" ht="15" customHeight="1" x14ac:dyDescent="0.25">
      <c r="D351" s="7"/>
      <c r="E351" s="7"/>
      <c r="F351" s="55"/>
      <c r="I351" s="19"/>
      <c r="K351" s="19"/>
      <c r="L351" s="29"/>
    </row>
    <row r="352" spans="4:12" ht="15" customHeight="1" x14ac:dyDescent="0.25">
      <c r="D352" s="7"/>
      <c r="E352" s="7"/>
      <c r="F352" s="55"/>
      <c r="I352" s="19"/>
      <c r="K352" s="19"/>
      <c r="L352" s="29"/>
    </row>
    <row r="353" spans="4:12" ht="15" customHeight="1" x14ac:dyDescent="0.25">
      <c r="D353" s="7"/>
      <c r="E353" s="7"/>
      <c r="F353" s="55"/>
      <c r="I353" s="19"/>
      <c r="K353" s="19"/>
      <c r="L353" s="29"/>
    </row>
    <row r="354" spans="4:12" ht="15" customHeight="1" x14ac:dyDescent="0.25">
      <c r="D354" s="7"/>
      <c r="E354" s="7"/>
      <c r="F354" s="55"/>
      <c r="I354" s="19"/>
      <c r="K354" s="19"/>
      <c r="L354" s="29"/>
    </row>
    <row r="355" spans="4:12" ht="15" customHeight="1" x14ac:dyDescent="0.25">
      <c r="D355" s="7"/>
      <c r="E355" s="7"/>
      <c r="F355" s="55"/>
      <c r="I355" s="19"/>
      <c r="K355" s="19"/>
      <c r="L355" s="29"/>
    </row>
    <row r="356" spans="4:12" ht="15" customHeight="1" x14ac:dyDescent="0.25">
      <c r="D356" s="7"/>
      <c r="E356" s="7"/>
      <c r="F356" s="55"/>
      <c r="I356" s="19"/>
      <c r="K356" s="19"/>
      <c r="L356" s="29"/>
    </row>
    <row r="357" spans="4:12" ht="15" customHeight="1" x14ac:dyDescent="0.25">
      <c r="D357" s="7"/>
      <c r="E357" s="7"/>
      <c r="F357" s="55"/>
      <c r="I357" s="19"/>
      <c r="K357" s="19"/>
      <c r="L357" s="29"/>
    </row>
    <row r="358" spans="4:12" ht="15" customHeight="1" x14ac:dyDescent="0.25">
      <c r="D358" s="7"/>
      <c r="E358" s="7"/>
      <c r="F358" s="55"/>
      <c r="I358" s="19"/>
      <c r="K358" s="19"/>
      <c r="L358" s="29"/>
    </row>
    <row r="359" spans="4:12" ht="15" customHeight="1" x14ac:dyDescent="0.25">
      <c r="D359" s="7"/>
      <c r="E359" s="7"/>
      <c r="F359" s="55"/>
      <c r="I359" s="19"/>
      <c r="K359" s="19"/>
      <c r="L359" s="29"/>
    </row>
    <row r="360" spans="4:12" ht="15" customHeight="1" x14ac:dyDescent="0.25">
      <c r="D360" s="7"/>
      <c r="E360" s="7"/>
      <c r="F360" s="55"/>
      <c r="I360" s="19"/>
      <c r="K360" s="19"/>
      <c r="L360" s="29"/>
    </row>
    <row r="361" spans="4:12" ht="15" customHeight="1" x14ac:dyDescent="0.25">
      <c r="D361" s="7"/>
      <c r="E361" s="7"/>
      <c r="F361" s="55"/>
      <c r="I361" s="19"/>
      <c r="K361" s="19"/>
      <c r="L361" s="29"/>
    </row>
    <row r="362" spans="4:12" ht="15" customHeight="1" x14ac:dyDescent="0.25">
      <c r="D362" s="7"/>
      <c r="E362" s="7"/>
      <c r="F362" s="55"/>
      <c r="I362" s="19"/>
      <c r="K362" s="19"/>
      <c r="L362" s="29"/>
    </row>
    <row r="363" spans="4:12" ht="15" customHeight="1" x14ac:dyDescent="0.25">
      <c r="D363" s="7"/>
      <c r="E363" s="7"/>
      <c r="F363" s="55"/>
      <c r="I363" s="19"/>
      <c r="K363" s="19"/>
      <c r="L363" s="29"/>
    </row>
    <row r="364" spans="4:12" ht="15" customHeight="1" x14ac:dyDescent="0.25">
      <c r="D364" s="7"/>
      <c r="E364" s="7"/>
      <c r="F364" s="55"/>
      <c r="I364" s="19"/>
      <c r="K364" s="19"/>
      <c r="L364" s="29"/>
    </row>
    <row r="365" spans="4:12" ht="15" customHeight="1" x14ac:dyDescent="0.25">
      <c r="D365" s="7"/>
      <c r="E365" s="7"/>
      <c r="F365" s="55"/>
      <c r="I365" s="19"/>
      <c r="K365" s="19"/>
      <c r="L365" s="29"/>
    </row>
    <row r="366" spans="4:12" ht="15" customHeight="1" x14ac:dyDescent="0.25">
      <c r="D366" s="7"/>
      <c r="E366" s="7"/>
      <c r="F366" s="55"/>
      <c r="I366" s="19"/>
      <c r="K366" s="19"/>
      <c r="L366" s="29"/>
    </row>
    <row r="367" spans="4:12" ht="15" customHeight="1" x14ac:dyDescent="0.25">
      <c r="D367" s="7"/>
      <c r="E367" s="7"/>
      <c r="F367" s="55"/>
      <c r="I367" s="19"/>
      <c r="K367" s="19"/>
      <c r="L367" s="29"/>
    </row>
    <row r="368" spans="4:12" ht="15" customHeight="1" x14ac:dyDescent="0.25">
      <c r="D368" s="7"/>
      <c r="E368" s="7"/>
      <c r="F368" s="55"/>
      <c r="I368" s="19"/>
      <c r="K368" s="19"/>
      <c r="L368" s="29"/>
    </row>
    <row r="369" spans="4:12" ht="15" customHeight="1" x14ac:dyDescent="0.25">
      <c r="D369" s="7"/>
      <c r="E369" s="7"/>
      <c r="F369" s="55"/>
      <c r="I369" s="19"/>
      <c r="K369" s="19"/>
      <c r="L369" s="29"/>
    </row>
    <row r="370" spans="4:12" ht="15" customHeight="1" x14ac:dyDescent="0.25">
      <c r="D370" s="7"/>
      <c r="E370" s="7"/>
      <c r="F370" s="55"/>
      <c r="I370" s="19"/>
      <c r="K370" s="19"/>
      <c r="L370" s="29"/>
    </row>
    <row r="371" spans="4:12" ht="15" customHeight="1" x14ac:dyDescent="0.25">
      <c r="D371" s="7"/>
      <c r="E371" s="7"/>
      <c r="F371" s="55"/>
      <c r="I371" s="19"/>
      <c r="K371" s="19"/>
      <c r="L371" s="29"/>
    </row>
    <row r="372" spans="4:12" ht="15" customHeight="1" x14ac:dyDescent="0.25">
      <c r="D372" s="7"/>
      <c r="E372" s="7"/>
      <c r="F372" s="55"/>
      <c r="I372" s="19"/>
      <c r="K372" s="19"/>
      <c r="L372" s="29"/>
    </row>
    <row r="373" spans="4:12" ht="15" customHeight="1" x14ac:dyDescent="0.25">
      <c r="D373" s="7"/>
      <c r="E373" s="7"/>
      <c r="F373" s="55"/>
      <c r="I373" s="19"/>
      <c r="K373" s="19"/>
      <c r="L373" s="29"/>
    </row>
    <row r="374" spans="4:12" ht="15" customHeight="1" x14ac:dyDescent="0.25">
      <c r="D374" s="7"/>
      <c r="E374" s="7"/>
      <c r="F374" s="55"/>
      <c r="I374" s="19"/>
      <c r="K374" s="19"/>
      <c r="L374" s="29"/>
    </row>
    <row r="375" spans="4:12" ht="15" customHeight="1" x14ac:dyDescent="0.25">
      <c r="D375" s="7"/>
      <c r="E375" s="7"/>
      <c r="F375" s="55"/>
      <c r="I375" s="19"/>
      <c r="K375" s="19"/>
      <c r="L375" s="29"/>
    </row>
    <row r="376" spans="4:12" ht="15" customHeight="1" x14ac:dyDescent="0.25">
      <c r="D376" s="7"/>
      <c r="E376" s="7"/>
      <c r="F376" s="55"/>
      <c r="I376" s="19"/>
      <c r="K376" s="19"/>
      <c r="L376" s="29"/>
    </row>
    <row r="377" spans="4:12" ht="15" customHeight="1" x14ac:dyDescent="0.25">
      <c r="D377" s="7"/>
      <c r="E377" s="7"/>
      <c r="F377" s="55"/>
      <c r="I377" s="19"/>
      <c r="K377" s="19"/>
      <c r="L377" s="29"/>
    </row>
    <row r="378" spans="4:12" ht="15" customHeight="1" x14ac:dyDescent="0.25">
      <c r="D378" s="7"/>
      <c r="E378" s="7"/>
      <c r="F378" s="55"/>
      <c r="I378" s="19"/>
      <c r="K378" s="19"/>
      <c r="L378" s="29"/>
    </row>
    <row r="379" spans="4:12" ht="15" customHeight="1" x14ac:dyDescent="0.25">
      <c r="D379" s="7"/>
      <c r="E379" s="7"/>
      <c r="F379" s="55"/>
      <c r="I379" s="19"/>
      <c r="K379" s="19"/>
      <c r="L379" s="29"/>
    </row>
    <row r="380" spans="4:12" ht="15" customHeight="1" x14ac:dyDescent="0.25">
      <c r="D380" s="7"/>
      <c r="E380" s="7"/>
      <c r="F380" s="55"/>
      <c r="I380" s="19"/>
      <c r="K380" s="19"/>
      <c r="L380" s="29"/>
    </row>
    <row r="381" spans="4:12" ht="15" customHeight="1" x14ac:dyDescent="0.25">
      <c r="D381" s="7"/>
      <c r="E381" s="7"/>
      <c r="F381" s="55"/>
      <c r="I381" s="19"/>
      <c r="K381" s="19"/>
      <c r="L381" s="29"/>
    </row>
    <row r="382" spans="4:12" ht="15" customHeight="1" x14ac:dyDescent="0.25">
      <c r="D382" s="7"/>
      <c r="E382" s="7"/>
      <c r="F382" s="55"/>
      <c r="I382" s="19"/>
      <c r="K382" s="19"/>
      <c r="L382" s="29"/>
    </row>
    <row r="383" spans="4:12" ht="15" customHeight="1" x14ac:dyDescent="0.25">
      <c r="D383" s="7"/>
      <c r="E383" s="7"/>
      <c r="F383" s="55"/>
      <c r="I383" s="19"/>
      <c r="K383" s="19"/>
      <c r="L383" s="29"/>
    </row>
    <row r="384" spans="4:12" ht="15" customHeight="1" x14ac:dyDescent="0.25">
      <c r="D384" s="7"/>
      <c r="E384" s="7"/>
      <c r="F384" s="55"/>
      <c r="I384" s="19"/>
      <c r="K384" s="19"/>
      <c r="L384" s="29"/>
    </row>
    <row r="385" spans="4:12" ht="15" customHeight="1" x14ac:dyDescent="0.25">
      <c r="D385" s="7"/>
      <c r="E385" s="7"/>
      <c r="F385" s="55"/>
      <c r="I385" s="19"/>
      <c r="K385" s="19"/>
      <c r="L385" s="29"/>
    </row>
    <row r="386" spans="4:12" ht="15" customHeight="1" x14ac:dyDescent="0.25">
      <c r="D386" s="7"/>
      <c r="E386" s="7"/>
      <c r="F386" s="55"/>
      <c r="I386" s="19"/>
      <c r="K386" s="19"/>
      <c r="L386" s="29"/>
    </row>
    <row r="387" spans="4:12" ht="15" customHeight="1" x14ac:dyDescent="0.25">
      <c r="D387" s="7"/>
      <c r="E387" s="7"/>
      <c r="F387" s="55"/>
      <c r="I387" s="19"/>
      <c r="K387" s="19"/>
      <c r="L387" s="29"/>
    </row>
    <row r="388" spans="4:12" ht="15" customHeight="1" x14ac:dyDescent="0.25">
      <c r="D388" s="7"/>
      <c r="E388" s="7"/>
      <c r="F388" s="55"/>
      <c r="I388" s="19"/>
      <c r="K388" s="19"/>
      <c r="L388" s="29"/>
    </row>
    <row r="389" spans="4:12" ht="15" customHeight="1" x14ac:dyDescent="0.25">
      <c r="D389" s="7"/>
      <c r="E389" s="7"/>
      <c r="F389" s="55"/>
      <c r="I389" s="19"/>
      <c r="K389" s="19"/>
      <c r="L389" s="29"/>
    </row>
    <row r="390" spans="4:12" ht="15" customHeight="1" x14ac:dyDescent="0.25">
      <c r="D390" s="7"/>
      <c r="E390" s="7"/>
      <c r="F390" s="55"/>
      <c r="I390" s="19"/>
      <c r="K390" s="19"/>
      <c r="L390" s="29"/>
    </row>
    <row r="391" spans="4:12" ht="15" customHeight="1" x14ac:dyDescent="0.25">
      <c r="D391" s="7"/>
      <c r="E391" s="7"/>
      <c r="F391" s="55"/>
      <c r="I391" s="19"/>
      <c r="K391" s="19"/>
      <c r="L391" s="29"/>
    </row>
    <row r="392" spans="4:12" ht="15" customHeight="1" x14ac:dyDescent="0.25">
      <c r="D392" s="7"/>
      <c r="E392" s="7"/>
      <c r="F392" s="55"/>
      <c r="I392" s="19"/>
      <c r="K392" s="19"/>
      <c r="L392" s="29"/>
    </row>
    <row r="393" spans="4:12" ht="15" customHeight="1" x14ac:dyDescent="0.25">
      <c r="D393" s="7"/>
      <c r="E393" s="7"/>
      <c r="F393" s="55"/>
      <c r="I393" s="19"/>
      <c r="K393" s="19"/>
      <c r="L393" s="29"/>
    </row>
    <row r="394" spans="4:12" ht="15" customHeight="1" x14ac:dyDescent="0.25">
      <c r="D394" s="7"/>
      <c r="E394" s="7"/>
      <c r="F394" s="55"/>
      <c r="I394" s="19"/>
      <c r="K394" s="19"/>
      <c r="L394" s="29"/>
    </row>
    <row r="395" spans="4:12" ht="15" customHeight="1" x14ac:dyDescent="0.25">
      <c r="D395" s="7"/>
      <c r="E395" s="7"/>
      <c r="F395" s="55"/>
      <c r="I395" s="19"/>
      <c r="K395" s="19"/>
      <c r="L395" s="29"/>
    </row>
    <row r="396" spans="4:12" ht="15" customHeight="1" x14ac:dyDescent="0.25">
      <c r="D396" s="7"/>
      <c r="E396" s="7"/>
      <c r="F396" s="55"/>
      <c r="I396" s="19"/>
      <c r="K396" s="19"/>
      <c r="L396" s="29"/>
    </row>
    <row r="397" spans="4:12" ht="15" customHeight="1" x14ac:dyDescent="0.25">
      <c r="D397" s="7"/>
      <c r="E397" s="7"/>
      <c r="F397" s="55"/>
      <c r="I397" s="19"/>
      <c r="K397" s="19"/>
      <c r="L397" s="29"/>
    </row>
    <row r="398" spans="4:12" ht="15" customHeight="1" x14ac:dyDescent="0.25">
      <c r="D398" s="7"/>
      <c r="E398" s="7"/>
      <c r="F398" s="55"/>
      <c r="I398" s="19"/>
      <c r="K398" s="19"/>
      <c r="L398" s="29"/>
    </row>
    <row r="399" spans="4:12" ht="15" customHeight="1" x14ac:dyDescent="0.25">
      <c r="D399" s="7"/>
      <c r="E399" s="7"/>
      <c r="F399" s="55"/>
      <c r="I399" s="19"/>
      <c r="K399" s="19"/>
      <c r="L399" s="29"/>
    </row>
    <row r="400" spans="4:12" ht="15" customHeight="1" x14ac:dyDescent="0.25">
      <c r="D400" s="7"/>
      <c r="E400" s="7"/>
      <c r="F400" s="55"/>
      <c r="I400" s="19"/>
      <c r="K400" s="19"/>
      <c r="L400" s="29"/>
    </row>
    <row r="401" spans="4:12" ht="15" customHeight="1" x14ac:dyDescent="0.25">
      <c r="D401" s="7"/>
      <c r="E401" s="7"/>
      <c r="F401" s="55"/>
      <c r="I401" s="19"/>
      <c r="K401" s="19"/>
      <c r="L401" s="29"/>
    </row>
    <row r="402" spans="4:12" ht="15" customHeight="1" x14ac:dyDescent="0.25">
      <c r="D402" s="7"/>
      <c r="E402" s="7"/>
      <c r="F402" s="55"/>
      <c r="I402" s="19"/>
      <c r="K402" s="19"/>
      <c r="L402" s="29"/>
    </row>
    <row r="403" spans="4:12" ht="15" customHeight="1" x14ac:dyDescent="0.25">
      <c r="D403" s="7"/>
      <c r="E403" s="7"/>
      <c r="F403" s="55"/>
      <c r="I403" s="19"/>
      <c r="K403" s="19"/>
      <c r="L403" s="29"/>
    </row>
    <row r="404" spans="4:12" ht="15" customHeight="1" x14ac:dyDescent="0.25">
      <c r="D404" s="7"/>
      <c r="E404" s="7"/>
      <c r="F404" s="55"/>
      <c r="I404" s="19"/>
      <c r="K404" s="19"/>
      <c r="L404" s="29"/>
    </row>
    <row r="405" spans="4:12" ht="15" customHeight="1" x14ac:dyDescent="0.25">
      <c r="D405" s="7"/>
      <c r="E405" s="7"/>
      <c r="F405" s="55"/>
      <c r="I405" s="19"/>
      <c r="K405" s="19"/>
      <c r="L405" s="29"/>
    </row>
    <row r="406" spans="4:12" ht="15" customHeight="1" x14ac:dyDescent="0.25">
      <c r="D406" s="7"/>
      <c r="E406" s="7"/>
      <c r="F406" s="55"/>
      <c r="I406" s="19"/>
      <c r="K406" s="19"/>
      <c r="L406" s="29"/>
    </row>
    <row r="407" spans="4:12" ht="15" customHeight="1" x14ac:dyDescent="0.25">
      <c r="D407" s="7"/>
      <c r="E407" s="7"/>
      <c r="F407" s="55"/>
      <c r="I407" s="19"/>
      <c r="K407" s="19"/>
      <c r="L407" s="29"/>
    </row>
    <row r="408" spans="4:12" ht="15" customHeight="1" x14ac:dyDescent="0.25">
      <c r="D408" s="7"/>
      <c r="E408" s="7"/>
      <c r="F408" s="55"/>
      <c r="I408" s="19"/>
      <c r="K408" s="19"/>
      <c r="L408" s="29"/>
    </row>
    <row r="409" spans="4:12" ht="15" customHeight="1" x14ac:dyDescent="0.25">
      <c r="D409" s="7"/>
      <c r="E409" s="7"/>
      <c r="F409" s="55"/>
      <c r="I409" s="19"/>
      <c r="K409" s="19"/>
      <c r="L409" s="29"/>
    </row>
    <row r="410" spans="4:12" ht="15" customHeight="1" x14ac:dyDescent="0.25">
      <c r="D410" s="7"/>
      <c r="E410" s="7"/>
      <c r="F410" s="55"/>
      <c r="I410" s="19"/>
      <c r="K410" s="19"/>
      <c r="L410" s="29"/>
    </row>
    <row r="411" spans="4:12" ht="15" customHeight="1" x14ac:dyDescent="0.25">
      <c r="D411" s="7"/>
      <c r="E411" s="7"/>
      <c r="F411" s="55"/>
      <c r="I411" s="19"/>
      <c r="K411" s="19"/>
      <c r="L411" s="29"/>
    </row>
    <row r="412" spans="4:12" ht="15" customHeight="1" x14ac:dyDescent="0.25">
      <c r="D412" s="7"/>
      <c r="E412" s="7"/>
      <c r="F412" s="55"/>
      <c r="I412" s="19"/>
      <c r="K412" s="19"/>
      <c r="L412" s="29"/>
    </row>
    <row r="413" spans="4:12" ht="15" customHeight="1" x14ac:dyDescent="0.25">
      <c r="D413" s="7"/>
      <c r="E413" s="7"/>
      <c r="F413" s="55"/>
      <c r="I413" s="19"/>
      <c r="K413" s="19"/>
      <c r="L413" s="29"/>
    </row>
    <row r="414" spans="4:12" ht="15" customHeight="1" x14ac:dyDescent="0.25">
      <c r="D414" s="7"/>
      <c r="E414" s="7"/>
      <c r="F414" s="55"/>
      <c r="I414" s="19"/>
      <c r="K414" s="19"/>
      <c r="L414" s="29"/>
    </row>
    <row r="415" spans="4:12" ht="15" customHeight="1" x14ac:dyDescent="0.25">
      <c r="D415" s="7"/>
      <c r="E415" s="7"/>
      <c r="F415" s="55"/>
      <c r="I415" s="19"/>
      <c r="K415" s="19"/>
      <c r="L415" s="29"/>
    </row>
    <row r="416" spans="4:12" ht="15" customHeight="1" x14ac:dyDescent="0.25">
      <c r="D416" s="7"/>
      <c r="E416" s="7"/>
      <c r="F416" s="55"/>
      <c r="I416" s="19"/>
      <c r="K416" s="19"/>
      <c r="L416" s="29"/>
    </row>
    <row r="417" spans="4:12" ht="15" customHeight="1" x14ac:dyDescent="0.25">
      <c r="D417" s="7"/>
      <c r="E417" s="7"/>
      <c r="F417" s="55"/>
      <c r="I417" s="19"/>
      <c r="K417" s="19"/>
      <c r="L417" s="29"/>
    </row>
    <row r="418" spans="4:12" ht="15" customHeight="1" x14ac:dyDescent="0.25">
      <c r="D418" s="7"/>
      <c r="E418" s="7"/>
      <c r="F418" s="55"/>
      <c r="I418" s="19"/>
      <c r="K418" s="19"/>
      <c r="L418" s="29"/>
    </row>
    <row r="419" spans="4:12" ht="15" customHeight="1" x14ac:dyDescent="0.25">
      <c r="D419" s="7"/>
      <c r="E419" s="7"/>
      <c r="F419" s="55"/>
      <c r="I419" s="19"/>
      <c r="K419" s="19"/>
      <c r="L419" s="29"/>
    </row>
    <row r="420" spans="4:12" ht="15" customHeight="1" x14ac:dyDescent="0.25">
      <c r="D420" s="7"/>
      <c r="E420" s="7"/>
      <c r="F420" s="55"/>
      <c r="I420" s="19"/>
      <c r="K420" s="19"/>
      <c r="L420" s="29"/>
    </row>
    <row r="421" spans="4:12" ht="15" customHeight="1" x14ac:dyDescent="0.25">
      <c r="D421" s="7"/>
      <c r="E421" s="7"/>
      <c r="F421" s="55"/>
      <c r="I421" s="19"/>
      <c r="K421" s="19"/>
      <c r="L421" s="29"/>
    </row>
    <row r="422" spans="4:12" ht="15" customHeight="1" x14ac:dyDescent="0.25">
      <c r="D422" s="7"/>
      <c r="E422" s="7"/>
      <c r="F422" s="55"/>
      <c r="I422" s="19"/>
      <c r="K422" s="19"/>
      <c r="L422" s="29"/>
    </row>
    <row r="423" spans="4:12" ht="15" customHeight="1" x14ac:dyDescent="0.25">
      <c r="D423" s="7"/>
      <c r="E423" s="7"/>
      <c r="F423" s="55"/>
      <c r="I423" s="19"/>
      <c r="K423" s="19"/>
      <c r="L423" s="29"/>
    </row>
    <row r="424" spans="4:12" ht="15" customHeight="1" x14ac:dyDescent="0.25">
      <c r="D424" s="7"/>
      <c r="E424" s="7"/>
      <c r="F424" s="55"/>
      <c r="I424" s="19"/>
      <c r="K424" s="19"/>
      <c r="L424" s="29"/>
    </row>
    <row r="425" spans="4:12" ht="15" customHeight="1" x14ac:dyDescent="0.25">
      <c r="D425" s="7"/>
      <c r="E425" s="7"/>
      <c r="F425" s="55"/>
      <c r="I425" s="19"/>
      <c r="K425" s="19"/>
      <c r="L425" s="29"/>
    </row>
    <row r="426" spans="4:12" ht="15" customHeight="1" x14ac:dyDescent="0.25">
      <c r="D426" s="7"/>
      <c r="E426" s="7"/>
      <c r="F426" s="55"/>
      <c r="I426" s="19"/>
      <c r="K426" s="19"/>
      <c r="L426" s="29"/>
    </row>
    <row r="427" spans="4:12" ht="15" customHeight="1" x14ac:dyDescent="0.25">
      <c r="D427" s="7"/>
      <c r="E427" s="7"/>
      <c r="F427" s="55"/>
      <c r="I427" s="19"/>
      <c r="K427" s="19"/>
      <c r="L427" s="29"/>
    </row>
    <row r="428" spans="4:12" ht="15" customHeight="1" x14ac:dyDescent="0.25">
      <c r="D428" s="7"/>
      <c r="E428" s="7"/>
      <c r="F428" s="55"/>
      <c r="I428" s="19"/>
      <c r="K428" s="19"/>
      <c r="L428" s="29"/>
    </row>
    <row r="429" spans="4:12" ht="15" customHeight="1" x14ac:dyDescent="0.25">
      <c r="D429" s="7"/>
      <c r="E429" s="7"/>
      <c r="F429" s="55"/>
      <c r="I429" s="19"/>
      <c r="K429" s="19"/>
      <c r="L429" s="29"/>
    </row>
    <row r="430" spans="4:12" ht="15" customHeight="1" x14ac:dyDescent="0.25">
      <c r="D430" s="7"/>
      <c r="E430" s="7"/>
      <c r="F430" s="55"/>
      <c r="I430" s="19"/>
      <c r="K430" s="19"/>
      <c r="L430" s="29"/>
    </row>
    <row r="431" spans="4:12" ht="15" customHeight="1" x14ac:dyDescent="0.25">
      <c r="D431" s="7"/>
      <c r="E431" s="7"/>
      <c r="F431" s="55"/>
      <c r="I431" s="19"/>
      <c r="K431" s="19"/>
      <c r="L431" s="29"/>
    </row>
    <row r="432" spans="4:12" ht="15" customHeight="1" x14ac:dyDescent="0.25">
      <c r="D432" s="7"/>
      <c r="E432" s="7"/>
      <c r="F432" s="55"/>
      <c r="I432" s="19"/>
      <c r="K432" s="19"/>
      <c r="L432" s="29"/>
    </row>
    <row r="433" spans="4:12" ht="15" customHeight="1" x14ac:dyDescent="0.25">
      <c r="D433" s="7"/>
      <c r="E433" s="7"/>
      <c r="F433" s="55"/>
      <c r="I433" s="19"/>
      <c r="K433" s="19"/>
      <c r="L433" s="29"/>
    </row>
    <row r="434" spans="4:12" ht="15" customHeight="1" x14ac:dyDescent="0.25">
      <c r="D434" s="7"/>
      <c r="E434" s="7"/>
      <c r="F434" s="55"/>
      <c r="I434" s="19"/>
      <c r="K434" s="19"/>
      <c r="L434" s="29"/>
    </row>
    <row r="435" spans="4:12" ht="15" customHeight="1" x14ac:dyDescent="0.25">
      <c r="D435" s="7"/>
      <c r="E435" s="7"/>
      <c r="F435" s="55"/>
      <c r="I435" s="19"/>
      <c r="K435" s="19"/>
      <c r="L435" s="29"/>
    </row>
    <row r="436" spans="4:12" ht="15" customHeight="1" x14ac:dyDescent="0.25">
      <c r="D436" s="7"/>
      <c r="E436" s="7"/>
      <c r="F436" s="55"/>
      <c r="I436" s="19"/>
      <c r="K436" s="19"/>
      <c r="L436" s="29"/>
    </row>
    <row r="437" spans="4:12" ht="15" customHeight="1" x14ac:dyDescent="0.25">
      <c r="D437" s="7"/>
      <c r="E437" s="7"/>
      <c r="F437" s="55"/>
      <c r="I437" s="19"/>
      <c r="K437" s="19"/>
      <c r="L437" s="29"/>
    </row>
    <row r="438" spans="4:12" ht="15" customHeight="1" x14ac:dyDescent="0.25">
      <c r="D438" s="7"/>
      <c r="E438" s="7"/>
      <c r="F438" s="55"/>
      <c r="I438" s="19"/>
      <c r="K438" s="19"/>
      <c r="L438" s="29"/>
    </row>
    <row r="439" spans="4:12" ht="15" customHeight="1" x14ac:dyDescent="0.25">
      <c r="D439" s="7"/>
      <c r="E439" s="7"/>
      <c r="F439" s="55"/>
      <c r="I439" s="19"/>
      <c r="K439" s="19"/>
      <c r="L439" s="29"/>
    </row>
    <row r="440" spans="4:12" ht="15" customHeight="1" x14ac:dyDescent="0.25">
      <c r="D440" s="7"/>
      <c r="E440" s="7"/>
      <c r="F440" s="55"/>
      <c r="I440" s="19"/>
      <c r="K440" s="19"/>
      <c r="L440" s="29"/>
    </row>
    <row r="441" spans="4:12" ht="15" customHeight="1" x14ac:dyDescent="0.25">
      <c r="D441" s="7"/>
      <c r="E441" s="7"/>
      <c r="F441" s="55"/>
      <c r="I441" s="19"/>
      <c r="K441" s="19"/>
      <c r="L441" s="29"/>
    </row>
    <row r="442" spans="4:12" ht="15" customHeight="1" x14ac:dyDescent="0.25">
      <c r="D442" s="7"/>
      <c r="E442" s="7"/>
      <c r="F442" s="55"/>
      <c r="I442" s="19"/>
      <c r="K442" s="19"/>
      <c r="L442" s="29"/>
    </row>
    <row r="443" spans="4:12" ht="15" customHeight="1" x14ac:dyDescent="0.25">
      <c r="D443" s="7"/>
      <c r="E443" s="7"/>
      <c r="F443" s="55"/>
      <c r="I443" s="19"/>
      <c r="K443" s="19"/>
      <c r="L443" s="29"/>
    </row>
    <row r="444" spans="4:12" ht="15" customHeight="1" x14ac:dyDescent="0.25">
      <c r="D444" s="7"/>
      <c r="E444" s="7"/>
      <c r="F444" s="55"/>
      <c r="I444" s="19"/>
      <c r="K444" s="19"/>
      <c r="L444" s="29"/>
    </row>
    <row r="445" spans="4:12" ht="15" customHeight="1" x14ac:dyDescent="0.25">
      <c r="D445" s="7"/>
      <c r="E445" s="7"/>
      <c r="F445" s="55"/>
      <c r="I445" s="19"/>
      <c r="K445" s="19"/>
      <c r="L445" s="29"/>
    </row>
    <row r="446" spans="4:12" ht="15" customHeight="1" x14ac:dyDescent="0.25">
      <c r="D446" s="7"/>
      <c r="E446" s="7"/>
      <c r="F446" s="55"/>
      <c r="I446" s="19"/>
      <c r="K446" s="19"/>
      <c r="L446" s="29"/>
    </row>
    <row r="447" spans="4:12" ht="15" customHeight="1" x14ac:dyDescent="0.25">
      <c r="D447" s="7"/>
      <c r="E447" s="7"/>
      <c r="F447" s="55"/>
      <c r="I447" s="19"/>
      <c r="K447" s="19"/>
      <c r="L447" s="29"/>
    </row>
    <row r="448" spans="4:12" ht="15" customHeight="1" x14ac:dyDescent="0.25">
      <c r="D448" s="7"/>
      <c r="E448" s="7"/>
      <c r="F448" s="55"/>
      <c r="I448" s="19"/>
      <c r="K448" s="19"/>
      <c r="L448" s="29"/>
    </row>
    <row r="449" spans="4:12" ht="15" customHeight="1" x14ac:dyDescent="0.25">
      <c r="D449" s="7"/>
      <c r="E449" s="7"/>
      <c r="F449" s="55"/>
      <c r="I449" s="19"/>
      <c r="K449" s="19"/>
      <c r="L449" s="29"/>
    </row>
    <row r="450" spans="4:12" ht="15" customHeight="1" x14ac:dyDescent="0.25">
      <c r="D450" s="7"/>
      <c r="E450" s="7"/>
      <c r="F450" s="55"/>
      <c r="I450" s="19"/>
      <c r="K450" s="19"/>
      <c r="L450" s="29"/>
    </row>
    <row r="451" spans="4:12" ht="15" customHeight="1" x14ac:dyDescent="0.25">
      <c r="D451" s="7"/>
      <c r="E451" s="7"/>
      <c r="F451" s="55"/>
      <c r="I451" s="19"/>
      <c r="K451" s="19"/>
      <c r="L451" s="29"/>
    </row>
    <row r="452" spans="4:12" ht="15" customHeight="1" x14ac:dyDescent="0.25">
      <c r="D452" s="7"/>
      <c r="E452" s="7"/>
      <c r="F452" s="55"/>
      <c r="I452" s="19"/>
      <c r="K452" s="19"/>
      <c r="L452" s="29"/>
    </row>
    <row r="453" spans="4:12" ht="15" customHeight="1" x14ac:dyDescent="0.25">
      <c r="D453" s="7"/>
      <c r="E453" s="7"/>
      <c r="F453" s="55"/>
      <c r="I453" s="19"/>
      <c r="K453" s="19"/>
      <c r="L453" s="29"/>
    </row>
    <row r="454" spans="4:12" ht="15" customHeight="1" x14ac:dyDescent="0.25">
      <c r="D454" s="7"/>
      <c r="E454" s="7"/>
      <c r="F454" s="55"/>
      <c r="I454" s="19"/>
      <c r="K454" s="19"/>
      <c r="L454" s="29"/>
    </row>
    <row r="455" spans="4:12" ht="15" customHeight="1" x14ac:dyDescent="0.25">
      <c r="D455" s="7"/>
      <c r="E455" s="7"/>
      <c r="F455" s="55"/>
      <c r="I455" s="19"/>
      <c r="K455" s="19"/>
      <c r="L455" s="29"/>
    </row>
    <row r="456" spans="4:12" ht="15" customHeight="1" x14ac:dyDescent="0.25">
      <c r="D456" s="7"/>
      <c r="E456" s="7"/>
      <c r="F456" s="55"/>
      <c r="I456" s="19"/>
      <c r="K456" s="19"/>
      <c r="L456" s="29"/>
    </row>
    <row r="457" spans="4:12" ht="15" customHeight="1" x14ac:dyDescent="0.25">
      <c r="D457" s="7"/>
      <c r="E457" s="7"/>
      <c r="F457" s="55"/>
      <c r="I457" s="19"/>
      <c r="K457" s="19"/>
      <c r="L457" s="29"/>
    </row>
    <row r="458" spans="4:12" ht="15" customHeight="1" x14ac:dyDescent="0.25">
      <c r="D458" s="7"/>
      <c r="E458" s="7"/>
      <c r="F458" s="55"/>
      <c r="I458" s="19"/>
      <c r="K458" s="19"/>
      <c r="L458" s="29"/>
    </row>
    <row r="459" spans="4:12" ht="15" customHeight="1" x14ac:dyDescent="0.25">
      <c r="D459" s="7"/>
      <c r="E459" s="7"/>
      <c r="F459" s="55"/>
      <c r="I459" s="19"/>
      <c r="K459" s="19"/>
      <c r="L459" s="29"/>
    </row>
    <row r="460" spans="4:12" ht="15" customHeight="1" x14ac:dyDescent="0.25">
      <c r="D460" s="7"/>
      <c r="E460" s="7"/>
      <c r="F460" s="55"/>
      <c r="I460" s="19"/>
      <c r="K460" s="19"/>
      <c r="L460" s="29"/>
    </row>
    <row r="461" spans="4:12" ht="15" customHeight="1" x14ac:dyDescent="0.25">
      <c r="D461" s="7"/>
      <c r="E461" s="7"/>
      <c r="F461" s="55"/>
      <c r="I461" s="19"/>
      <c r="K461" s="19"/>
      <c r="L461" s="29"/>
    </row>
    <row r="462" spans="4:12" ht="15" customHeight="1" x14ac:dyDescent="0.25">
      <c r="D462" s="7"/>
      <c r="E462" s="7"/>
      <c r="F462" s="55"/>
      <c r="I462" s="19"/>
      <c r="K462" s="19"/>
      <c r="L462" s="29"/>
    </row>
    <row r="463" spans="4:12" ht="15" customHeight="1" x14ac:dyDescent="0.25">
      <c r="D463" s="7"/>
      <c r="E463" s="7"/>
      <c r="F463" s="55"/>
      <c r="I463" s="19"/>
      <c r="K463" s="19"/>
      <c r="L463" s="29"/>
    </row>
    <row r="464" spans="4:12" ht="15" customHeight="1" x14ac:dyDescent="0.25">
      <c r="D464" s="7"/>
      <c r="E464" s="7"/>
      <c r="F464" s="55"/>
      <c r="I464" s="19"/>
      <c r="K464" s="19"/>
      <c r="L464" s="29"/>
    </row>
    <row r="465" spans="4:12" ht="15" customHeight="1" x14ac:dyDescent="0.25">
      <c r="D465" s="7"/>
      <c r="E465" s="7"/>
      <c r="F465" s="55"/>
      <c r="I465" s="19"/>
      <c r="K465" s="19"/>
      <c r="L465" s="29"/>
    </row>
    <row r="466" spans="4:12" ht="15" customHeight="1" x14ac:dyDescent="0.25">
      <c r="D466" s="7"/>
      <c r="E466" s="7"/>
      <c r="F466" s="55"/>
      <c r="I466" s="19"/>
      <c r="K466" s="19"/>
      <c r="L466" s="29"/>
    </row>
    <row r="467" spans="4:12" ht="15" customHeight="1" x14ac:dyDescent="0.25">
      <c r="D467" s="7"/>
      <c r="E467" s="7"/>
      <c r="F467" s="55"/>
      <c r="I467" s="19"/>
      <c r="K467" s="19"/>
      <c r="L467" s="29"/>
    </row>
    <row r="468" spans="4:12" ht="15" customHeight="1" x14ac:dyDescent="0.25">
      <c r="D468" s="7"/>
      <c r="E468" s="7"/>
      <c r="F468" s="55"/>
      <c r="I468" s="19"/>
      <c r="K468" s="19"/>
      <c r="L468" s="29"/>
    </row>
    <row r="469" spans="4:12" ht="15" customHeight="1" x14ac:dyDescent="0.25">
      <c r="D469" s="7"/>
      <c r="E469" s="7"/>
      <c r="F469" s="55"/>
      <c r="I469" s="19"/>
      <c r="K469" s="19"/>
      <c r="L469" s="29"/>
    </row>
    <row r="470" spans="4:12" ht="15" customHeight="1" x14ac:dyDescent="0.25">
      <c r="D470" s="7"/>
      <c r="E470" s="7"/>
      <c r="F470" s="55"/>
      <c r="I470" s="19"/>
      <c r="K470" s="19"/>
      <c r="L470" s="29"/>
    </row>
    <row r="471" spans="4:12" ht="15" customHeight="1" x14ac:dyDescent="0.25">
      <c r="D471" s="7"/>
      <c r="E471" s="7"/>
      <c r="F471" s="55"/>
      <c r="I471" s="19"/>
      <c r="K471" s="19"/>
      <c r="L471" s="29"/>
    </row>
    <row r="472" spans="4:12" ht="15" customHeight="1" x14ac:dyDescent="0.25">
      <c r="D472" s="7"/>
      <c r="E472" s="7"/>
      <c r="F472" s="55"/>
      <c r="I472" s="19"/>
      <c r="K472" s="19"/>
      <c r="L472" s="29"/>
    </row>
    <row r="473" spans="4:12" ht="15" customHeight="1" x14ac:dyDescent="0.25">
      <c r="D473" s="7"/>
      <c r="E473" s="7"/>
      <c r="F473" s="55"/>
      <c r="I473" s="19"/>
      <c r="K473" s="19"/>
      <c r="L473" s="29"/>
    </row>
    <row r="474" spans="4:12" ht="15" customHeight="1" x14ac:dyDescent="0.25">
      <c r="D474" s="7"/>
      <c r="E474" s="7"/>
      <c r="F474" s="55"/>
      <c r="I474" s="19"/>
      <c r="K474" s="19"/>
      <c r="L474" s="29"/>
    </row>
    <row r="475" spans="4:12" ht="15" customHeight="1" x14ac:dyDescent="0.25">
      <c r="D475" s="7"/>
      <c r="E475" s="7"/>
      <c r="F475" s="55"/>
      <c r="I475" s="19"/>
      <c r="K475" s="19"/>
      <c r="L475" s="29"/>
    </row>
    <row r="476" spans="4:12" ht="15" customHeight="1" x14ac:dyDescent="0.25">
      <c r="D476" s="7"/>
      <c r="E476" s="7"/>
      <c r="F476" s="55"/>
      <c r="I476" s="19"/>
      <c r="K476" s="19"/>
      <c r="L476" s="29"/>
    </row>
    <row r="477" spans="4:12" ht="15" customHeight="1" x14ac:dyDescent="0.25">
      <c r="D477" s="7"/>
      <c r="E477" s="7"/>
      <c r="F477" s="55"/>
      <c r="I477" s="19"/>
      <c r="K477" s="19"/>
      <c r="L477" s="29"/>
    </row>
    <row r="478" spans="4:12" ht="15" customHeight="1" x14ac:dyDescent="0.25">
      <c r="D478" s="7"/>
      <c r="E478" s="7"/>
      <c r="F478" s="55"/>
      <c r="I478" s="19"/>
      <c r="K478" s="19"/>
      <c r="L478" s="29"/>
    </row>
    <row r="479" spans="4:12" ht="15" customHeight="1" x14ac:dyDescent="0.25">
      <c r="D479" s="7"/>
      <c r="E479" s="7"/>
      <c r="F479" s="55"/>
      <c r="I479" s="19"/>
      <c r="K479" s="19"/>
      <c r="L479" s="29"/>
    </row>
    <row r="480" spans="4:12" ht="15" customHeight="1" x14ac:dyDescent="0.25">
      <c r="D480" s="7"/>
      <c r="E480" s="7"/>
      <c r="F480" s="55"/>
      <c r="I480" s="19"/>
      <c r="K480" s="19"/>
      <c r="L480" s="29"/>
    </row>
    <row r="481" spans="4:12" ht="15" customHeight="1" x14ac:dyDescent="0.25">
      <c r="D481" s="7"/>
      <c r="E481" s="7"/>
      <c r="F481" s="55"/>
      <c r="I481" s="19"/>
      <c r="K481" s="19"/>
      <c r="L481" s="29"/>
    </row>
    <row r="482" spans="4:12" ht="15" customHeight="1" x14ac:dyDescent="0.25">
      <c r="D482" s="7"/>
      <c r="E482" s="7"/>
      <c r="F482" s="55"/>
      <c r="I482" s="19"/>
      <c r="K482" s="19"/>
      <c r="L482" s="29"/>
    </row>
    <row r="483" spans="4:12" ht="15" customHeight="1" x14ac:dyDescent="0.25">
      <c r="D483" s="7"/>
      <c r="E483" s="7"/>
      <c r="F483" s="55"/>
      <c r="I483" s="19"/>
      <c r="K483" s="19"/>
      <c r="L483" s="29"/>
    </row>
    <row r="484" spans="4:12" ht="15" customHeight="1" x14ac:dyDescent="0.25">
      <c r="D484" s="7"/>
      <c r="E484" s="7"/>
      <c r="F484" s="55"/>
      <c r="I484" s="19"/>
      <c r="K484" s="19"/>
      <c r="L484" s="29"/>
    </row>
    <row r="485" spans="4:12" ht="15" customHeight="1" x14ac:dyDescent="0.25">
      <c r="D485" s="7"/>
      <c r="E485" s="7"/>
      <c r="F485" s="55"/>
      <c r="I485" s="19"/>
      <c r="K485" s="19"/>
      <c r="L485" s="29"/>
    </row>
    <row r="486" spans="4:12" ht="15" customHeight="1" x14ac:dyDescent="0.25">
      <c r="D486" s="7"/>
      <c r="E486" s="7"/>
      <c r="F486" s="55"/>
      <c r="I486" s="19"/>
      <c r="K486" s="19"/>
      <c r="L486" s="29"/>
    </row>
    <row r="487" spans="4:12" ht="15" customHeight="1" x14ac:dyDescent="0.25">
      <c r="D487" s="7"/>
      <c r="E487" s="7"/>
      <c r="F487" s="55"/>
      <c r="I487" s="19"/>
      <c r="K487" s="19"/>
      <c r="L487" s="29"/>
    </row>
    <row r="488" spans="4:12" ht="15" customHeight="1" x14ac:dyDescent="0.25">
      <c r="D488" s="7"/>
      <c r="E488" s="7"/>
      <c r="F488" s="55"/>
      <c r="I488" s="19"/>
      <c r="K488" s="19"/>
      <c r="L488" s="29"/>
    </row>
    <row r="489" spans="4:12" ht="15" customHeight="1" x14ac:dyDescent="0.25">
      <c r="D489" s="7"/>
      <c r="E489" s="7"/>
      <c r="F489" s="55"/>
      <c r="I489" s="19"/>
      <c r="K489" s="19"/>
      <c r="L489" s="29"/>
    </row>
    <row r="490" spans="4:12" ht="15" customHeight="1" x14ac:dyDescent="0.25">
      <c r="D490" s="7"/>
      <c r="E490" s="7"/>
      <c r="F490" s="55"/>
      <c r="I490" s="19"/>
      <c r="K490" s="19"/>
      <c r="L490" s="29"/>
    </row>
    <row r="491" spans="4:12" ht="15" customHeight="1" x14ac:dyDescent="0.25">
      <c r="D491" s="7"/>
      <c r="E491" s="7"/>
      <c r="F491" s="55"/>
      <c r="I491" s="19"/>
      <c r="K491" s="19"/>
      <c r="L491" s="29"/>
    </row>
    <row r="492" spans="4:12" ht="15" customHeight="1" x14ac:dyDescent="0.25">
      <c r="D492" s="7"/>
      <c r="E492" s="7"/>
      <c r="F492" s="55"/>
      <c r="I492" s="19"/>
      <c r="K492" s="19"/>
      <c r="L492" s="29"/>
    </row>
    <row r="493" spans="4:12" ht="15" customHeight="1" x14ac:dyDescent="0.25">
      <c r="D493" s="7"/>
      <c r="E493" s="7"/>
      <c r="F493" s="55"/>
      <c r="I493" s="19"/>
      <c r="K493" s="19"/>
      <c r="L493" s="29"/>
    </row>
    <row r="494" spans="4:12" ht="15" customHeight="1" x14ac:dyDescent="0.25">
      <c r="D494" s="7"/>
      <c r="E494" s="7"/>
      <c r="F494" s="55"/>
      <c r="I494" s="19"/>
      <c r="K494" s="19"/>
      <c r="L494" s="29"/>
    </row>
    <row r="495" spans="4:12" ht="15" customHeight="1" x14ac:dyDescent="0.25">
      <c r="D495" s="7"/>
      <c r="E495" s="7"/>
      <c r="F495" s="55"/>
      <c r="I495" s="19"/>
      <c r="K495" s="19"/>
      <c r="L495" s="29"/>
    </row>
    <row r="496" spans="4:12" ht="15" customHeight="1" x14ac:dyDescent="0.25">
      <c r="D496" s="7"/>
      <c r="E496" s="7"/>
      <c r="F496" s="55"/>
      <c r="I496" s="19"/>
      <c r="K496" s="19"/>
      <c r="L496" s="29"/>
    </row>
    <row r="497" spans="4:12" ht="15" customHeight="1" x14ac:dyDescent="0.25">
      <c r="D497" s="7"/>
      <c r="E497" s="7"/>
      <c r="F497" s="55"/>
      <c r="I497" s="19"/>
      <c r="K497" s="19"/>
      <c r="L497" s="29"/>
    </row>
    <row r="498" spans="4:12" ht="15" customHeight="1" x14ac:dyDescent="0.25">
      <c r="D498" s="7"/>
      <c r="E498" s="7"/>
      <c r="F498" s="55"/>
      <c r="I498" s="19"/>
      <c r="K498" s="19"/>
      <c r="L498" s="29"/>
    </row>
    <row r="499" spans="4:12" ht="15" customHeight="1" x14ac:dyDescent="0.25">
      <c r="D499" s="7"/>
      <c r="E499" s="7"/>
      <c r="F499" s="55"/>
      <c r="I499" s="19"/>
      <c r="K499" s="19"/>
      <c r="L499" s="29"/>
    </row>
    <row r="500" spans="4:12" ht="15" customHeight="1" x14ac:dyDescent="0.25">
      <c r="D500" s="7"/>
      <c r="E500" s="7"/>
      <c r="F500" s="55"/>
      <c r="I500" s="19"/>
      <c r="K500" s="19"/>
      <c r="L500" s="29"/>
    </row>
    <row r="501" spans="4:12" ht="15" customHeight="1" x14ac:dyDescent="0.25">
      <c r="D501" s="7"/>
      <c r="E501" s="7"/>
      <c r="F501" s="55"/>
      <c r="I501" s="19"/>
      <c r="K501" s="19"/>
      <c r="L501" s="29"/>
    </row>
    <row r="502" spans="4:12" ht="15" customHeight="1" x14ac:dyDescent="0.25">
      <c r="D502" s="7"/>
      <c r="E502" s="7"/>
      <c r="F502" s="55"/>
      <c r="I502" s="19"/>
      <c r="K502" s="19"/>
      <c r="L502" s="29"/>
    </row>
    <row r="503" spans="4:12" ht="15" customHeight="1" x14ac:dyDescent="0.25">
      <c r="D503" s="7"/>
      <c r="E503" s="7"/>
      <c r="F503" s="55"/>
      <c r="I503" s="19"/>
      <c r="K503" s="19"/>
      <c r="L503" s="29"/>
    </row>
    <row r="504" spans="4:12" ht="15" customHeight="1" x14ac:dyDescent="0.25">
      <c r="D504" s="7"/>
      <c r="E504" s="7"/>
      <c r="F504" s="55"/>
      <c r="I504" s="19"/>
      <c r="K504" s="19"/>
      <c r="L504" s="29"/>
    </row>
    <row r="505" spans="4:12" ht="15" customHeight="1" x14ac:dyDescent="0.25">
      <c r="D505" s="7"/>
      <c r="E505" s="7"/>
      <c r="F505" s="55"/>
      <c r="I505" s="19"/>
      <c r="K505" s="19"/>
      <c r="L505" s="29"/>
    </row>
    <row r="506" spans="4:12" ht="15" customHeight="1" x14ac:dyDescent="0.25">
      <c r="D506" s="7"/>
      <c r="E506" s="7"/>
      <c r="F506" s="55"/>
      <c r="I506" s="19"/>
      <c r="K506" s="19"/>
      <c r="L506" s="29"/>
    </row>
    <row r="507" spans="4:12" ht="15" customHeight="1" x14ac:dyDescent="0.25">
      <c r="D507" s="7"/>
      <c r="E507" s="7"/>
      <c r="F507" s="55"/>
      <c r="I507" s="19"/>
      <c r="K507" s="19"/>
      <c r="L507" s="29"/>
    </row>
    <row r="508" spans="4:12" ht="15" customHeight="1" x14ac:dyDescent="0.25">
      <c r="D508" s="7"/>
      <c r="E508" s="7"/>
      <c r="F508" s="55"/>
      <c r="I508" s="19"/>
      <c r="K508" s="19"/>
      <c r="L508" s="29"/>
    </row>
    <row r="509" spans="4:12" ht="15" customHeight="1" x14ac:dyDescent="0.25">
      <c r="D509" s="7"/>
      <c r="E509" s="7"/>
      <c r="F509" s="55"/>
      <c r="I509" s="19"/>
      <c r="K509" s="19"/>
      <c r="L509" s="29"/>
    </row>
    <row r="510" spans="4:12" ht="15" customHeight="1" x14ac:dyDescent="0.25">
      <c r="D510" s="7"/>
      <c r="E510" s="7"/>
      <c r="F510" s="55"/>
      <c r="I510" s="19"/>
      <c r="K510" s="19"/>
      <c r="L510" s="29"/>
    </row>
    <row r="511" spans="4:12" ht="15" customHeight="1" x14ac:dyDescent="0.25">
      <c r="D511" s="7"/>
      <c r="E511" s="7"/>
      <c r="F511" s="55"/>
      <c r="I511" s="19"/>
      <c r="K511" s="19"/>
      <c r="L511" s="29"/>
    </row>
    <row r="512" spans="4:12" ht="15" customHeight="1" x14ac:dyDescent="0.25">
      <c r="D512" s="7"/>
      <c r="E512" s="7"/>
      <c r="F512" s="55"/>
      <c r="I512" s="19"/>
      <c r="K512" s="19"/>
      <c r="L512" s="29"/>
    </row>
    <row r="513" spans="4:12" ht="15" customHeight="1" x14ac:dyDescent="0.25">
      <c r="D513" s="7"/>
      <c r="E513" s="7"/>
      <c r="F513" s="55"/>
      <c r="I513" s="19"/>
      <c r="K513" s="19"/>
      <c r="L513" s="29"/>
    </row>
    <row r="514" spans="4:12" ht="15" customHeight="1" x14ac:dyDescent="0.25">
      <c r="D514" s="7"/>
      <c r="E514" s="7"/>
      <c r="F514" s="55"/>
      <c r="I514" s="19"/>
      <c r="K514" s="19"/>
      <c r="L514" s="29"/>
    </row>
    <row r="515" spans="4:12" ht="15" customHeight="1" x14ac:dyDescent="0.25">
      <c r="D515" s="7"/>
      <c r="E515" s="7"/>
      <c r="F515" s="55"/>
      <c r="I515" s="19"/>
      <c r="K515" s="19"/>
      <c r="L515" s="29"/>
    </row>
    <row r="516" spans="4:12" ht="15" customHeight="1" x14ac:dyDescent="0.25">
      <c r="D516" s="7"/>
      <c r="E516" s="7"/>
      <c r="F516" s="55"/>
      <c r="I516" s="19"/>
      <c r="K516" s="19"/>
      <c r="L516" s="29"/>
    </row>
    <row r="517" spans="4:12" ht="15" customHeight="1" x14ac:dyDescent="0.25">
      <c r="D517" s="7"/>
      <c r="E517" s="7"/>
      <c r="F517" s="55"/>
      <c r="I517" s="19"/>
      <c r="K517" s="19"/>
      <c r="L517" s="29"/>
    </row>
    <row r="518" spans="4:12" ht="15" customHeight="1" x14ac:dyDescent="0.25">
      <c r="D518" s="7"/>
      <c r="E518" s="7"/>
      <c r="F518" s="55"/>
      <c r="I518" s="19"/>
      <c r="K518" s="19"/>
      <c r="L518" s="29"/>
    </row>
    <row r="519" spans="4:12" ht="15" customHeight="1" x14ac:dyDescent="0.25">
      <c r="D519" s="7"/>
      <c r="E519" s="7"/>
      <c r="F519" s="55"/>
      <c r="I519" s="19"/>
      <c r="K519" s="19"/>
      <c r="L519" s="29"/>
    </row>
    <row r="520" spans="4:12" ht="15" customHeight="1" x14ac:dyDescent="0.25">
      <c r="D520" s="7"/>
      <c r="E520" s="7"/>
      <c r="F520" s="55"/>
      <c r="I520" s="19"/>
      <c r="K520" s="19"/>
      <c r="L520" s="29"/>
    </row>
    <row r="521" spans="4:12" ht="15" customHeight="1" x14ac:dyDescent="0.25">
      <c r="D521" s="7"/>
      <c r="E521" s="7"/>
      <c r="F521" s="55"/>
      <c r="I521" s="19"/>
      <c r="K521" s="19"/>
      <c r="L521" s="29"/>
    </row>
    <row r="522" spans="4:12" ht="15" customHeight="1" x14ac:dyDescent="0.25">
      <c r="D522" s="7"/>
      <c r="E522" s="7"/>
      <c r="F522" s="55"/>
      <c r="I522" s="19"/>
      <c r="K522" s="19"/>
      <c r="L522" s="29"/>
    </row>
    <row r="523" spans="4:12" ht="15" customHeight="1" x14ac:dyDescent="0.25">
      <c r="D523" s="7"/>
      <c r="E523" s="7"/>
      <c r="F523" s="55"/>
      <c r="I523" s="19"/>
      <c r="K523" s="19"/>
      <c r="L523" s="29"/>
    </row>
    <row r="524" spans="4:12" ht="15" customHeight="1" x14ac:dyDescent="0.25">
      <c r="D524" s="7"/>
      <c r="E524" s="7"/>
      <c r="F524" s="55"/>
      <c r="I524" s="19"/>
      <c r="K524" s="19"/>
      <c r="L524" s="29"/>
    </row>
    <row r="525" spans="4:12" ht="15" customHeight="1" x14ac:dyDescent="0.25">
      <c r="D525" s="7"/>
      <c r="E525" s="7"/>
      <c r="F525" s="55"/>
      <c r="I525" s="19"/>
      <c r="K525" s="19"/>
      <c r="L525" s="29"/>
    </row>
    <row r="526" spans="4:12" ht="15" customHeight="1" x14ac:dyDescent="0.25">
      <c r="D526" s="7"/>
      <c r="E526" s="7"/>
      <c r="F526" s="55"/>
      <c r="I526" s="19"/>
      <c r="K526" s="19"/>
      <c r="L526" s="29"/>
    </row>
    <row r="527" spans="4:12" ht="15" customHeight="1" x14ac:dyDescent="0.25">
      <c r="D527" s="7"/>
      <c r="E527" s="7"/>
      <c r="F527" s="55"/>
      <c r="I527" s="19"/>
      <c r="K527" s="19"/>
      <c r="L527" s="29"/>
    </row>
    <row r="528" spans="4:12" ht="15" customHeight="1" x14ac:dyDescent="0.25">
      <c r="D528" s="7"/>
      <c r="E528" s="7"/>
      <c r="F528" s="55"/>
      <c r="I528" s="19"/>
      <c r="K528" s="19"/>
      <c r="L528" s="29"/>
    </row>
    <row r="529" spans="4:12" ht="15" customHeight="1" x14ac:dyDescent="0.25">
      <c r="D529" s="7"/>
      <c r="E529" s="7"/>
      <c r="F529" s="55"/>
      <c r="I529" s="19"/>
      <c r="K529" s="19"/>
      <c r="L529" s="29"/>
    </row>
    <row r="530" spans="4:12" ht="15" customHeight="1" x14ac:dyDescent="0.25">
      <c r="D530" s="7"/>
      <c r="E530" s="7"/>
      <c r="F530" s="55"/>
      <c r="I530" s="19"/>
      <c r="K530" s="19"/>
      <c r="L530" s="29"/>
    </row>
    <row r="531" spans="4:12" ht="15" customHeight="1" x14ac:dyDescent="0.25">
      <c r="D531" s="7"/>
      <c r="E531" s="7"/>
      <c r="F531" s="55"/>
      <c r="I531" s="19"/>
      <c r="K531" s="19"/>
      <c r="L531" s="29"/>
    </row>
    <row r="532" spans="4:12" ht="15" customHeight="1" x14ac:dyDescent="0.25">
      <c r="D532" s="7"/>
      <c r="E532" s="7"/>
      <c r="F532" s="55"/>
      <c r="I532" s="19"/>
      <c r="K532" s="19"/>
      <c r="L532" s="29"/>
    </row>
    <row r="533" spans="4:12" ht="15" customHeight="1" x14ac:dyDescent="0.25">
      <c r="D533" s="7"/>
      <c r="E533" s="7"/>
      <c r="F533" s="55"/>
      <c r="I533" s="19"/>
      <c r="K533" s="19"/>
      <c r="L533" s="29"/>
    </row>
    <row r="534" spans="4:12" ht="15" customHeight="1" x14ac:dyDescent="0.25">
      <c r="D534" s="7"/>
      <c r="E534" s="7"/>
      <c r="F534" s="55"/>
      <c r="I534" s="19"/>
      <c r="K534" s="19"/>
      <c r="L534" s="29"/>
    </row>
    <row r="535" spans="4:12" ht="15" customHeight="1" x14ac:dyDescent="0.25">
      <c r="D535" s="7"/>
      <c r="E535" s="7"/>
      <c r="F535" s="55"/>
      <c r="I535" s="19"/>
      <c r="K535" s="19"/>
      <c r="L535" s="29"/>
    </row>
    <row r="536" spans="4:12" ht="15" customHeight="1" x14ac:dyDescent="0.25">
      <c r="D536" s="7"/>
      <c r="E536" s="7"/>
      <c r="F536" s="55"/>
      <c r="I536" s="19"/>
      <c r="K536" s="19"/>
      <c r="L536" s="29"/>
    </row>
    <row r="537" spans="4:12" ht="15" customHeight="1" x14ac:dyDescent="0.25">
      <c r="D537" s="7"/>
      <c r="E537" s="7"/>
      <c r="F537" s="55"/>
      <c r="I537" s="19"/>
      <c r="K537" s="19"/>
      <c r="L537" s="29"/>
    </row>
    <row r="538" spans="4:12" ht="15" customHeight="1" x14ac:dyDescent="0.25">
      <c r="D538" s="7"/>
      <c r="E538" s="7"/>
      <c r="F538" s="55"/>
      <c r="I538" s="19"/>
      <c r="K538" s="19"/>
      <c r="L538" s="29"/>
    </row>
    <row r="539" spans="4:12" ht="15" customHeight="1" x14ac:dyDescent="0.25">
      <c r="D539" s="7"/>
      <c r="E539" s="7"/>
      <c r="F539" s="55"/>
      <c r="I539" s="19"/>
      <c r="K539" s="19"/>
      <c r="L539" s="29"/>
    </row>
    <row r="540" spans="4:12" ht="15" customHeight="1" x14ac:dyDescent="0.25">
      <c r="D540" s="7"/>
      <c r="E540" s="7"/>
      <c r="F540" s="55"/>
      <c r="I540" s="19"/>
      <c r="K540" s="19"/>
      <c r="L540" s="29"/>
    </row>
    <row r="541" spans="4:12" ht="15" customHeight="1" x14ac:dyDescent="0.25">
      <c r="D541" s="7"/>
      <c r="E541" s="7"/>
      <c r="F541" s="55"/>
      <c r="I541" s="19"/>
      <c r="K541" s="19"/>
      <c r="L541" s="29"/>
    </row>
    <row r="542" spans="4:12" ht="15" customHeight="1" x14ac:dyDescent="0.25">
      <c r="D542" s="7"/>
      <c r="E542" s="7"/>
      <c r="F542" s="55"/>
      <c r="I542" s="19"/>
      <c r="K542" s="19"/>
      <c r="L542" s="29"/>
    </row>
    <row r="543" spans="4:12" ht="15" customHeight="1" x14ac:dyDescent="0.25">
      <c r="D543" s="7"/>
      <c r="E543" s="7"/>
      <c r="F543" s="55"/>
      <c r="I543" s="19"/>
      <c r="K543" s="19"/>
      <c r="L543" s="29"/>
    </row>
    <row r="544" spans="4:12" ht="15" customHeight="1" x14ac:dyDescent="0.25">
      <c r="D544" s="7"/>
      <c r="E544" s="7"/>
      <c r="F544" s="55"/>
      <c r="I544" s="19"/>
      <c r="K544" s="19"/>
      <c r="L544" s="29"/>
    </row>
    <row r="545" spans="4:12" ht="15" customHeight="1" x14ac:dyDescent="0.25">
      <c r="D545" s="7"/>
      <c r="E545" s="7"/>
      <c r="F545" s="55"/>
      <c r="I545" s="19"/>
      <c r="K545" s="19"/>
      <c r="L545" s="29"/>
    </row>
    <row r="546" spans="4:12" ht="15" customHeight="1" x14ac:dyDescent="0.25">
      <c r="D546" s="7"/>
      <c r="E546" s="7"/>
      <c r="F546" s="55"/>
      <c r="I546" s="19"/>
      <c r="K546" s="19"/>
      <c r="L546" s="29"/>
    </row>
    <row r="547" spans="4:12" ht="15" customHeight="1" x14ac:dyDescent="0.25">
      <c r="D547" s="7"/>
      <c r="E547" s="7"/>
      <c r="F547" s="55"/>
      <c r="I547" s="19"/>
      <c r="K547" s="19"/>
      <c r="L547" s="29"/>
    </row>
    <row r="548" spans="4:12" ht="15" customHeight="1" x14ac:dyDescent="0.25">
      <c r="D548" s="7"/>
      <c r="E548" s="7"/>
      <c r="F548" s="55"/>
      <c r="I548" s="19"/>
      <c r="K548" s="19"/>
      <c r="L548" s="29"/>
    </row>
    <row r="549" spans="4:12" ht="15" customHeight="1" x14ac:dyDescent="0.25">
      <c r="D549" s="7"/>
      <c r="E549" s="7"/>
      <c r="F549" s="55"/>
      <c r="I549" s="19"/>
      <c r="K549" s="19"/>
      <c r="L549" s="29"/>
    </row>
    <row r="550" spans="4:12" ht="15" customHeight="1" x14ac:dyDescent="0.25">
      <c r="D550" s="7"/>
      <c r="E550" s="7"/>
      <c r="F550" s="55"/>
      <c r="I550" s="19"/>
      <c r="K550" s="19"/>
      <c r="L550" s="29"/>
    </row>
    <row r="551" spans="4:12" ht="15" customHeight="1" x14ac:dyDescent="0.25">
      <c r="D551" s="7"/>
      <c r="E551" s="7"/>
      <c r="F551" s="55"/>
      <c r="I551" s="19"/>
      <c r="K551" s="19"/>
      <c r="L551" s="29"/>
    </row>
    <row r="552" spans="4:12" ht="15" customHeight="1" x14ac:dyDescent="0.25">
      <c r="D552" s="7"/>
      <c r="E552" s="7"/>
      <c r="F552" s="55"/>
      <c r="I552" s="19"/>
      <c r="K552" s="19"/>
      <c r="L552" s="29"/>
    </row>
    <row r="553" spans="4:12" ht="15" customHeight="1" x14ac:dyDescent="0.25">
      <c r="D553" s="7"/>
      <c r="E553" s="7"/>
      <c r="F553" s="55"/>
      <c r="I553" s="19"/>
      <c r="K553" s="19"/>
      <c r="L553" s="29"/>
    </row>
    <row r="554" spans="4:12" ht="15" customHeight="1" x14ac:dyDescent="0.25">
      <c r="D554" s="7"/>
      <c r="E554" s="7"/>
      <c r="F554" s="55"/>
      <c r="I554" s="19"/>
      <c r="K554" s="19"/>
      <c r="L554" s="29"/>
    </row>
    <row r="555" spans="4:12" ht="15" customHeight="1" x14ac:dyDescent="0.25">
      <c r="D555" s="7"/>
      <c r="E555" s="7"/>
      <c r="F555" s="55"/>
      <c r="I555" s="19"/>
      <c r="K555" s="19"/>
      <c r="L555" s="29"/>
    </row>
    <row r="556" spans="4:12" ht="15" customHeight="1" x14ac:dyDescent="0.25">
      <c r="D556" s="7"/>
      <c r="E556" s="7"/>
      <c r="F556" s="55"/>
      <c r="I556" s="19"/>
      <c r="K556" s="19"/>
      <c r="L556" s="29"/>
    </row>
    <row r="557" spans="4:12" ht="15" customHeight="1" x14ac:dyDescent="0.25">
      <c r="D557" s="7"/>
      <c r="E557" s="7"/>
      <c r="F557" s="55"/>
      <c r="I557" s="19"/>
      <c r="K557" s="19"/>
      <c r="L557" s="29"/>
    </row>
    <row r="558" spans="4:12" ht="15" customHeight="1" x14ac:dyDescent="0.25">
      <c r="D558" s="7"/>
      <c r="E558" s="7"/>
      <c r="F558" s="55"/>
      <c r="I558" s="19"/>
      <c r="K558" s="19"/>
      <c r="L558" s="29"/>
    </row>
    <row r="559" spans="4:12" ht="15" customHeight="1" x14ac:dyDescent="0.25">
      <c r="D559" s="7"/>
      <c r="E559" s="7"/>
      <c r="F559" s="55"/>
      <c r="I559" s="19"/>
      <c r="K559" s="19"/>
      <c r="L559" s="29"/>
    </row>
    <row r="560" spans="4:12" ht="15" customHeight="1" x14ac:dyDescent="0.25">
      <c r="D560" s="7"/>
      <c r="E560" s="7"/>
      <c r="F560" s="55"/>
      <c r="I560" s="19"/>
      <c r="K560" s="19"/>
      <c r="L560" s="29"/>
    </row>
    <row r="561" spans="4:12" ht="15" customHeight="1" x14ac:dyDescent="0.25">
      <c r="D561" s="7"/>
      <c r="E561" s="7"/>
      <c r="F561" s="55"/>
      <c r="I561" s="19"/>
      <c r="K561" s="19"/>
      <c r="L561" s="29"/>
    </row>
    <row r="562" spans="4:12" ht="15" customHeight="1" x14ac:dyDescent="0.25">
      <c r="D562" s="7"/>
      <c r="E562" s="7"/>
      <c r="F562" s="55"/>
      <c r="I562" s="19"/>
      <c r="K562" s="19"/>
      <c r="L562" s="29"/>
    </row>
    <row r="563" spans="4:12" ht="15" customHeight="1" x14ac:dyDescent="0.25">
      <c r="D563" s="7"/>
      <c r="E563" s="7"/>
      <c r="F563" s="55"/>
      <c r="I563" s="19"/>
      <c r="K563" s="19"/>
      <c r="L563" s="29"/>
    </row>
    <row r="564" spans="4:12" ht="15" customHeight="1" x14ac:dyDescent="0.25">
      <c r="D564" s="7"/>
      <c r="E564" s="7"/>
      <c r="F564" s="55"/>
      <c r="I564" s="19"/>
      <c r="K564" s="19"/>
      <c r="L564" s="29"/>
    </row>
    <row r="565" spans="4:12" ht="15" customHeight="1" x14ac:dyDescent="0.25">
      <c r="D565" s="7"/>
      <c r="E565" s="7"/>
      <c r="F565" s="55"/>
      <c r="I565" s="19"/>
      <c r="K565" s="19"/>
      <c r="L565" s="29"/>
    </row>
    <row r="566" spans="4:12" ht="15" customHeight="1" x14ac:dyDescent="0.25">
      <c r="D566" s="7"/>
      <c r="E566" s="7"/>
      <c r="F566" s="55"/>
      <c r="I566" s="19"/>
      <c r="K566" s="19"/>
      <c r="L566" s="29"/>
    </row>
    <row r="567" spans="4:12" ht="15" customHeight="1" x14ac:dyDescent="0.25">
      <c r="D567" s="7"/>
      <c r="E567" s="7"/>
      <c r="F567" s="55"/>
      <c r="I567" s="19"/>
      <c r="K567" s="19"/>
      <c r="L567" s="29"/>
    </row>
    <row r="568" spans="4:12" ht="15" customHeight="1" x14ac:dyDescent="0.25">
      <c r="D568" s="7"/>
      <c r="E568" s="7"/>
      <c r="F568" s="55"/>
      <c r="I568" s="19"/>
      <c r="K568" s="19"/>
      <c r="L568" s="29"/>
    </row>
    <row r="569" spans="4:12" ht="15" customHeight="1" x14ac:dyDescent="0.25">
      <c r="D569" s="7"/>
      <c r="E569" s="7"/>
      <c r="F569" s="55"/>
      <c r="I569" s="19"/>
      <c r="K569" s="19"/>
      <c r="L569" s="29"/>
    </row>
    <row r="570" spans="4:12" ht="15" customHeight="1" x14ac:dyDescent="0.25">
      <c r="D570" s="7"/>
      <c r="E570" s="7"/>
      <c r="F570" s="55"/>
      <c r="I570" s="19"/>
      <c r="K570" s="19"/>
      <c r="L570" s="29"/>
    </row>
    <row r="571" spans="4:12" ht="15" customHeight="1" x14ac:dyDescent="0.25">
      <c r="D571" s="7"/>
      <c r="E571" s="7"/>
      <c r="F571" s="55"/>
      <c r="I571" s="19"/>
      <c r="K571" s="19"/>
      <c r="L571" s="29"/>
    </row>
    <row r="572" spans="4:12" ht="15" customHeight="1" x14ac:dyDescent="0.25">
      <c r="D572" s="7"/>
      <c r="E572" s="7"/>
      <c r="F572" s="55"/>
      <c r="I572" s="19"/>
      <c r="K572" s="19"/>
      <c r="L572" s="29"/>
    </row>
    <row r="573" spans="4:12" ht="15" customHeight="1" x14ac:dyDescent="0.25">
      <c r="D573" s="7"/>
      <c r="E573" s="7"/>
      <c r="F573" s="55"/>
      <c r="I573" s="19"/>
      <c r="K573" s="19"/>
      <c r="L573" s="29"/>
    </row>
    <row r="574" spans="4:12" ht="15" customHeight="1" x14ac:dyDescent="0.25">
      <c r="D574" s="7"/>
      <c r="E574" s="7"/>
      <c r="F574" s="55"/>
      <c r="I574" s="19"/>
      <c r="K574" s="19"/>
      <c r="L574" s="29"/>
    </row>
    <row r="575" spans="4:12" ht="15" customHeight="1" x14ac:dyDescent="0.25">
      <c r="D575" s="7"/>
      <c r="E575" s="7"/>
      <c r="F575" s="55"/>
      <c r="I575" s="19"/>
      <c r="K575" s="19"/>
      <c r="L575" s="29"/>
    </row>
    <row r="576" spans="4:12" ht="15" customHeight="1" x14ac:dyDescent="0.25">
      <c r="D576" s="7"/>
      <c r="E576" s="7"/>
      <c r="F576" s="55"/>
      <c r="I576" s="19"/>
      <c r="K576" s="19"/>
      <c r="L576" s="29"/>
    </row>
    <row r="577" spans="4:12" ht="15" customHeight="1" x14ac:dyDescent="0.25">
      <c r="D577" s="7"/>
      <c r="E577" s="7"/>
      <c r="F577" s="55"/>
      <c r="I577" s="19"/>
      <c r="K577" s="19"/>
      <c r="L577" s="29"/>
    </row>
    <row r="578" spans="4:12" ht="15" customHeight="1" x14ac:dyDescent="0.25">
      <c r="D578" s="7"/>
      <c r="E578" s="7"/>
      <c r="F578" s="55"/>
      <c r="I578" s="19"/>
      <c r="K578" s="19"/>
      <c r="L578" s="29"/>
    </row>
    <row r="579" spans="4:12" ht="15" customHeight="1" x14ac:dyDescent="0.25">
      <c r="D579" s="7"/>
      <c r="E579" s="7"/>
      <c r="F579" s="55"/>
      <c r="I579" s="19"/>
      <c r="K579" s="19"/>
      <c r="L579" s="29"/>
    </row>
    <row r="580" spans="4:12" ht="15" customHeight="1" x14ac:dyDescent="0.25">
      <c r="D580" s="7"/>
      <c r="E580" s="7"/>
      <c r="F580" s="55"/>
      <c r="I580" s="19"/>
      <c r="K580" s="19"/>
      <c r="L580" s="29"/>
    </row>
    <row r="581" spans="4:12" ht="15" customHeight="1" x14ac:dyDescent="0.25">
      <c r="D581" s="7"/>
      <c r="E581" s="7"/>
      <c r="F581" s="55"/>
      <c r="I581" s="19"/>
      <c r="K581" s="19"/>
      <c r="L581" s="29"/>
    </row>
    <row r="582" spans="4:12" ht="15" customHeight="1" x14ac:dyDescent="0.25">
      <c r="D582" s="7"/>
      <c r="E582" s="7"/>
      <c r="F582" s="55"/>
      <c r="I582" s="19"/>
      <c r="K582" s="19"/>
      <c r="L582" s="29"/>
    </row>
    <row r="583" spans="4:12" ht="15" customHeight="1" x14ac:dyDescent="0.25">
      <c r="D583" s="7"/>
      <c r="E583" s="7"/>
      <c r="F583" s="55"/>
      <c r="I583" s="19"/>
      <c r="K583" s="19"/>
      <c r="L583" s="29"/>
    </row>
    <row r="584" spans="4:12" ht="15" customHeight="1" x14ac:dyDescent="0.25">
      <c r="D584" s="7"/>
      <c r="E584" s="7"/>
      <c r="F584" s="55"/>
      <c r="I584" s="19"/>
      <c r="K584" s="19"/>
      <c r="L584" s="29"/>
    </row>
    <row r="585" spans="4:12" ht="15" customHeight="1" x14ac:dyDescent="0.25">
      <c r="D585" s="7"/>
      <c r="E585" s="7"/>
      <c r="F585" s="55"/>
      <c r="I585" s="19"/>
      <c r="K585" s="19"/>
      <c r="L585" s="29"/>
    </row>
    <row r="586" spans="4:12" ht="15" customHeight="1" x14ac:dyDescent="0.25">
      <c r="D586" s="7"/>
      <c r="E586" s="7"/>
      <c r="F586" s="55"/>
      <c r="I586" s="19"/>
      <c r="K586" s="19"/>
      <c r="L586" s="29"/>
    </row>
    <row r="587" spans="4:12" ht="15" customHeight="1" x14ac:dyDescent="0.25">
      <c r="D587" s="7"/>
      <c r="E587" s="7"/>
      <c r="F587" s="55"/>
      <c r="I587" s="19"/>
      <c r="K587" s="19"/>
      <c r="L587" s="29"/>
    </row>
    <row r="588" spans="4:12" ht="15" customHeight="1" x14ac:dyDescent="0.25">
      <c r="D588" s="7"/>
      <c r="E588" s="7"/>
      <c r="F588" s="55"/>
      <c r="I588" s="19"/>
      <c r="K588" s="19"/>
      <c r="L588" s="29"/>
    </row>
    <row r="589" spans="4:12" ht="15" customHeight="1" x14ac:dyDescent="0.25">
      <c r="D589" s="7"/>
      <c r="E589" s="7"/>
      <c r="F589" s="55"/>
      <c r="I589" s="19"/>
      <c r="K589" s="19"/>
      <c r="L589" s="29"/>
    </row>
    <row r="590" spans="4:12" ht="15" customHeight="1" x14ac:dyDescent="0.25">
      <c r="D590" s="7"/>
      <c r="E590" s="7"/>
      <c r="F590" s="55"/>
      <c r="I590" s="19"/>
      <c r="K590" s="19"/>
      <c r="L590" s="29"/>
    </row>
    <row r="591" spans="4:12" ht="15" customHeight="1" x14ac:dyDescent="0.25">
      <c r="D591" s="7"/>
      <c r="E591" s="7"/>
      <c r="F591" s="55"/>
      <c r="I591" s="19"/>
      <c r="K591" s="19"/>
      <c r="L591" s="29"/>
    </row>
    <row r="592" spans="4:12" ht="15" customHeight="1" x14ac:dyDescent="0.25">
      <c r="D592" s="7"/>
      <c r="E592" s="7"/>
      <c r="F592" s="55"/>
      <c r="I592" s="19"/>
      <c r="K592" s="19"/>
      <c r="L592" s="29"/>
    </row>
    <row r="593" spans="4:12" ht="15" customHeight="1" x14ac:dyDescent="0.25">
      <c r="D593" s="7"/>
      <c r="E593" s="7"/>
      <c r="F593" s="55"/>
      <c r="I593" s="19"/>
      <c r="K593" s="19"/>
      <c r="L593" s="29"/>
    </row>
    <row r="594" spans="4:12" ht="15" customHeight="1" x14ac:dyDescent="0.25">
      <c r="D594" s="7"/>
      <c r="E594" s="7"/>
      <c r="F594" s="55"/>
      <c r="I594" s="19"/>
      <c r="K594" s="19"/>
      <c r="L594" s="29"/>
    </row>
    <row r="595" spans="4:12" ht="15" customHeight="1" x14ac:dyDescent="0.25">
      <c r="D595" s="7"/>
      <c r="E595" s="7"/>
      <c r="F595" s="55"/>
      <c r="I595" s="19"/>
      <c r="K595" s="19"/>
      <c r="L595" s="29"/>
    </row>
    <row r="596" spans="4:12" ht="15" customHeight="1" x14ac:dyDescent="0.25">
      <c r="D596" s="7"/>
      <c r="E596" s="7"/>
      <c r="F596" s="55"/>
      <c r="I596" s="19"/>
      <c r="K596" s="19"/>
      <c r="L596" s="29"/>
    </row>
    <row r="597" spans="4:12" ht="15" customHeight="1" x14ac:dyDescent="0.25">
      <c r="D597" s="7"/>
      <c r="E597" s="7"/>
      <c r="F597" s="55"/>
      <c r="I597" s="19"/>
      <c r="K597" s="19"/>
      <c r="L597" s="29"/>
    </row>
    <row r="598" spans="4:12" ht="15" customHeight="1" x14ac:dyDescent="0.25">
      <c r="D598" s="7"/>
      <c r="E598" s="7"/>
      <c r="F598" s="55"/>
      <c r="I598" s="19"/>
      <c r="K598" s="19"/>
      <c r="L598" s="29"/>
    </row>
    <row r="599" spans="4:12" ht="15" customHeight="1" x14ac:dyDescent="0.25">
      <c r="D599" s="7"/>
      <c r="E599" s="7"/>
      <c r="F599" s="55"/>
      <c r="I599" s="19"/>
      <c r="K599" s="19"/>
      <c r="L599" s="29"/>
    </row>
    <row r="600" spans="4:12" ht="15" customHeight="1" x14ac:dyDescent="0.25">
      <c r="D600" s="7"/>
      <c r="E600" s="7"/>
      <c r="F600" s="55"/>
      <c r="I600" s="19"/>
      <c r="K600" s="19"/>
      <c r="L600" s="29"/>
    </row>
    <row r="601" spans="4:12" ht="15" customHeight="1" x14ac:dyDescent="0.25">
      <c r="D601" s="7"/>
      <c r="E601" s="7"/>
      <c r="F601" s="55"/>
      <c r="I601" s="19"/>
      <c r="K601" s="19"/>
      <c r="L601" s="29"/>
    </row>
    <row r="602" spans="4:12" ht="15" customHeight="1" x14ac:dyDescent="0.25">
      <c r="D602" s="7"/>
      <c r="E602" s="7"/>
      <c r="F602" s="55"/>
      <c r="I602" s="19"/>
      <c r="K602" s="19"/>
      <c r="L602" s="29"/>
    </row>
    <row r="603" spans="4:12" ht="15" customHeight="1" x14ac:dyDescent="0.25">
      <c r="D603" s="7"/>
      <c r="E603" s="7"/>
      <c r="F603" s="55"/>
      <c r="I603" s="19"/>
      <c r="K603" s="19"/>
      <c r="L603" s="29"/>
    </row>
    <row r="604" spans="4:12" ht="15" customHeight="1" x14ac:dyDescent="0.25">
      <c r="D604" s="7"/>
      <c r="E604" s="7"/>
      <c r="F604" s="55"/>
      <c r="I604" s="19"/>
      <c r="K604" s="19"/>
      <c r="L604" s="29"/>
    </row>
    <row r="605" spans="4:12" ht="15" customHeight="1" x14ac:dyDescent="0.25">
      <c r="D605" s="7"/>
      <c r="E605" s="7"/>
      <c r="F605" s="55"/>
      <c r="I605" s="19"/>
      <c r="K605" s="19"/>
      <c r="L605" s="29"/>
    </row>
    <row r="606" spans="4:12" ht="15" customHeight="1" x14ac:dyDescent="0.25">
      <c r="D606" s="7"/>
      <c r="E606" s="7"/>
      <c r="F606" s="55"/>
      <c r="I606" s="19"/>
      <c r="K606" s="19"/>
      <c r="L606" s="29"/>
    </row>
    <row r="607" spans="4:12" ht="15" customHeight="1" x14ac:dyDescent="0.25">
      <c r="D607" s="7"/>
      <c r="E607" s="7"/>
      <c r="F607" s="55"/>
      <c r="I607" s="19"/>
      <c r="K607" s="19"/>
      <c r="L607" s="29"/>
    </row>
    <row r="608" spans="4:12" ht="15" customHeight="1" x14ac:dyDescent="0.25">
      <c r="D608" s="7"/>
      <c r="E608" s="7"/>
      <c r="F608" s="55"/>
      <c r="I608" s="19"/>
      <c r="K608" s="19"/>
      <c r="L608" s="29"/>
    </row>
    <row r="609" spans="4:12" ht="15" customHeight="1" x14ac:dyDescent="0.25">
      <c r="D609" s="7"/>
      <c r="E609" s="7"/>
      <c r="F609" s="55"/>
      <c r="I609" s="19"/>
      <c r="K609" s="19"/>
      <c r="L609" s="29"/>
    </row>
    <row r="610" spans="4:12" ht="15" customHeight="1" x14ac:dyDescent="0.25">
      <c r="D610" s="7"/>
      <c r="E610" s="7"/>
      <c r="F610" s="55"/>
      <c r="I610" s="19"/>
      <c r="K610" s="19"/>
      <c r="L610" s="29"/>
    </row>
    <row r="611" spans="4:12" ht="15" customHeight="1" x14ac:dyDescent="0.25">
      <c r="D611" s="7"/>
      <c r="E611" s="7"/>
      <c r="F611" s="55"/>
      <c r="I611" s="19"/>
      <c r="K611" s="19"/>
      <c r="L611" s="29"/>
    </row>
    <row r="612" spans="4:12" ht="15" customHeight="1" x14ac:dyDescent="0.25">
      <c r="D612" s="7"/>
      <c r="E612" s="7"/>
      <c r="F612" s="55"/>
      <c r="I612" s="19"/>
      <c r="K612" s="19"/>
      <c r="L612" s="29"/>
    </row>
    <row r="613" spans="4:12" ht="15" customHeight="1" x14ac:dyDescent="0.25">
      <c r="D613" s="7"/>
      <c r="E613" s="7"/>
      <c r="F613" s="55"/>
      <c r="I613" s="19"/>
      <c r="K613" s="19"/>
      <c r="L613" s="29"/>
    </row>
    <row r="614" spans="4:12" ht="15" customHeight="1" x14ac:dyDescent="0.25">
      <c r="D614" s="7"/>
      <c r="E614" s="7"/>
      <c r="F614" s="55"/>
      <c r="I614" s="19"/>
      <c r="K614" s="19"/>
      <c r="L614" s="29"/>
    </row>
    <row r="615" spans="4:12" ht="15" customHeight="1" x14ac:dyDescent="0.25">
      <c r="D615" s="7"/>
      <c r="E615" s="7"/>
      <c r="F615" s="55"/>
      <c r="I615" s="19"/>
      <c r="K615" s="19"/>
      <c r="L615" s="29"/>
    </row>
    <row r="616" spans="4:12" ht="15" customHeight="1" x14ac:dyDescent="0.25">
      <c r="D616" s="7"/>
      <c r="E616" s="7"/>
      <c r="F616" s="55"/>
      <c r="I616" s="19"/>
      <c r="K616" s="19"/>
      <c r="L616" s="29"/>
    </row>
    <row r="617" spans="4:12" ht="15" customHeight="1" x14ac:dyDescent="0.25">
      <c r="D617" s="7"/>
      <c r="E617" s="7"/>
      <c r="F617" s="55"/>
      <c r="I617" s="19"/>
      <c r="K617" s="19"/>
      <c r="L617" s="29"/>
    </row>
    <row r="618" spans="4:12" ht="15" customHeight="1" x14ac:dyDescent="0.25">
      <c r="D618" s="7"/>
      <c r="E618" s="7"/>
      <c r="F618" s="55"/>
      <c r="I618" s="19"/>
      <c r="K618" s="19"/>
      <c r="L618" s="29"/>
    </row>
    <row r="619" spans="4:12" ht="15" customHeight="1" x14ac:dyDescent="0.25">
      <c r="D619" s="7"/>
      <c r="E619" s="7"/>
      <c r="F619" s="55"/>
      <c r="I619" s="19"/>
      <c r="K619" s="19"/>
      <c r="L619" s="29"/>
    </row>
    <row r="620" spans="4:12" ht="15" customHeight="1" x14ac:dyDescent="0.25">
      <c r="D620" s="7"/>
      <c r="E620" s="7"/>
      <c r="F620" s="55"/>
      <c r="I620" s="19"/>
      <c r="K620" s="19"/>
      <c r="L620" s="29"/>
    </row>
    <row r="621" spans="4:12" ht="15" customHeight="1" x14ac:dyDescent="0.25">
      <c r="D621" s="7"/>
      <c r="E621" s="7"/>
      <c r="F621" s="55"/>
      <c r="I621" s="19"/>
      <c r="K621" s="19"/>
      <c r="L621" s="29"/>
    </row>
    <row r="622" spans="4:12" ht="15" customHeight="1" x14ac:dyDescent="0.25">
      <c r="D622" s="7"/>
      <c r="E622" s="7"/>
      <c r="F622" s="55"/>
      <c r="I622" s="19"/>
      <c r="K622" s="19"/>
      <c r="L622" s="29"/>
    </row>
    <row r="623" spans="4:12" ht="15" customHeight="1" x14ac:dyDescent="0.25">
      <c r="D623" s="7"/>
      <c r="E623" s="7"/>
      <c r="F623" s="55"/>
      <c r="I623" s="19"/>
      <c r="K623" s="19"/>
      <c r="L623" s="29"/>
    </row>
    <row r="624" spans="4:12" ht="15" customHeight="1" x14ac:dyDescent="0.25">
      <c r="D624" s="7"/>
      <c r="E624" s="7"/>
      <c r="F624" s="55"/>
      <c r="I624" s="19"/>
      <c r="K624" s="19"/>
      <c r="L624" s="29"/>
    </row>
    <row r="625" spans="4:12" ht="15" customHeight="1" x14ac:dyDescent="0.25">
      <c r="D625" s="7"/>
      <c r="E625" s="7"/>
      <c r="F625" s="55"/>
      <c r="I625" s="19"/>
      <c r="K625" s="19"/>
      <c r="L625" s="29"/>
    </row>
    <row r="626" spans="4:12" ht="15" customHeight="1" x14ac:dyDescent="0.25">
      <c r="D626" s="7"/>
      <c r="E626" s="7"/>
      <c r="F626" s="55"/>
      <c r="I626" s="19"/>
      <c r="K626" s="19"/>
      <c r="L626" s="29"/>
    </row>
    <row r="627" spans="4:12" ht="15" customHeight="1" x14ac:dyDescent="0.25">
      <c r="D627" s="7"/>
      <c r="E627" s="7"/>
      <c r="F627" s="55"/>
      <c r="I627" s="19"/>
      <c r="K627" s="19"/>
      <c r="L627" s="29"/>
    </row>
    <row r="628" spans="4:12" ht="15" customHeight="1" x14ac:dyDescent="0.25">
      <c r="D628" s="7"/>
      <c r="E628" s="7"/>
      <c r="F628" s="55"/>
      <c r="I628" s="19"/>
      <c r="K628" s="19"/>
      <c r="L628" s="29"/>
    </row>
    <row r="629" spans="4:12" ht="15" customHeight="1" x14ac:dyDescent="0.25">
      <c r="D629" s="7"/>
      <c r="E629" s="7"/>
      <c r="F629" s="55"/>
      <c r="I629" s="19"/>
      <c r="K629" s="19"/>
      <c r="L629" s="29"/>
    </row>
    <row r="630" spans="4:12" ht="15" customHeight="1" x14ac:dyDescent="0.25">
      <c r="D630" s="7"/>
      <c r="E630" s="7"/>
      <c r="F630" s="55"/>
      <c r="I630" s="19"/>
      <c r="K630" s="19"/>
      <c r="L630" s="29"/>
    </row>
    <row r="631" spans="4:12" ht="15" customHeight="1" x14ac:dyDescent="0.25">
      <c r="D631" s="7"/>
      <c r="E631" s="7"/>
      <c r="F631" s="55"/>
      <c r="I631" s="19"/>
      <c r="K631" s="19"/>
      <c r="L631" s="29"/>
    </row>
    <row r="632" spans="4:12" ht="15" customHeight="1" x14ac:dyDescent="0.25">
      <c r="D632" s="7"/>
      <c r="E632" s="7"/>
      <c r="F632" s="55"/>
      <c r="I632" s="19"/>
      <c r="K632" s="19"/>
      <c r="L632" s="29"/>
    </row>
    <row r="633" spans="4:12" ht="15" customHeight="1" x14ac:dyDescent="0.25">
      <c r="D633" s="7"/>
      <c r="E633" s="7"/>
      <c r="F633" s="55"/>
      <c r="I633" s="19"/>
      <c r="K633" s="19"/>
      <c r="L633" s="29"/>
    </row>
    <row r="634" spans="4:12" ht="15" customHeight="1" x14ac:dyDescent="0.25">
      <c r="D634" s="7"/>
      <c r="E634" s="7"/>
      <c r="F634" s="55"/>
      <c r="I634" s="19"/>
      <c r="K634" s="19"/>
      <c r="L634" s="29"/>
    </row>
    <row r="635" spans="4:12" ht="15" customHeight="1" x14ac:dyDescent="0.25">
      <c r="D635" s="7"/>
      <c r="E635" s="7"/>
      <c r="F635" s="55"/>
      <c r="I635" s="19"/>
      <c r="K635" s="19"/>
      <c r="L635" s="29"/>
    </row>
    <row r="636" spans="4:12" ht="15" customHeight="1" x14ac:dyDescent="0.25">
      <c r="D636" s="7"/>
      <c r="E636" s="7"/>
      <c r="F636" s="55"/>
      <c r="I636" s="19"/>
      <c r="K636" s="19"/>
      <c r="L636" s="29"/>
    </row>
    <row r="637" spans="4:12" ht="15" customHeight="1" x14ac:dyDescent="0.25">
      <c r="D637" s="7"/>
      <c r="E637" s="7"/>
      <c r="F637" s="55"/>
      <c r="I637" s="19"/>
      <c r="K637" s="19"/>
      <c r="L637" s="29"/>
    </row>
    <row r="638" spans="4:12" ht="15" customHeight="1" x14ac:dyDescent="0.25">
      <c r="D638" s="7"/>
      <c r="E638" s="7"/>
      <c r="F638" s="55"/>
      <c r="I638" s="19"/>
      <c r="K638" s="19"/>
      <c r="L638" s="29"/>
    </row>
    <row r="639" spans="4:12" ht="15" customHeight="1" x14ac:dyDescent="0.25">
      <c r="D639" s="7"/>
      <c r="E639" s="7"/>
      <c r="F639" s="55"/>
      <c r="I639" s="19"/>
      <c r="K639" s="19"/>
      <c r="L639" s="29"/>
    </row>
    <row r="640" spans="4:12" ht="15" customHeight="1" x14ac:dyDescent="0.25">
      <c r="D640" s="7"/>
      <c r="E640" s="7"/>
      <c r="F640" s="55"/>
      <c r="I640" s="19"/>
      <c r="K640" s="19"/>
      <c r="L640" s="29"/>
    </row>
    <row r="641" spans="4:12" ht="15" customHeight="1" x14ac:dyDescent="0.25">
      <c r="D641" s="7"/>
      <c r="E641" s="7"/>
      <c r="F641" s="55"/>
      <c r="I641" s="19"/>
      <c r="K641" s="19"/>
      <c r="L641" s="29"/>
    </row>
    <row r="642" spans="4:12" ht="15" customHeight="1" x14ac:dyDescent="0.25">
      <c r="D642" s="7"/>
      <c r="E642" s="7"/>
      <c r="F642" s="55"/>
      <c r="I642" s="19"/>
      <c r="K642" s="19"/>
      <c r="L642" s="29"/>
    </row>
    <row r="643" spans="4:12" ht="15" customHeight="1" x14ac:dyDescent="0.25">
      <c r="D643" s="7"/>
      <c r="E643" s="7"/>
      <c r="F643" s="55"/>
      <c r="I643" s="19"/>
      <c r="K643" s="19"/>
      <c r="L643" s="29"/>
    </row>
    <row r="644" spans="4:12" ht="15" customHeight="1" x14ac:dyDescent="0.25">
      <c r="D644" s="7"/>
      <c r="E644" s="7"/>
      <c r="F644" s="55"/>
      <c r="I644" s="19"/>
      <c r="K644" s="19"/>
      <c r="L644" s="29"/>
    </row>
    <row r="645" spans="4:12" ht="15" customHeight="1" x14ac:dyDescent="0.25">
      <c r="D645" s="7"/>
      <c r="E645" s="7"/>
      <c r="F645" s="55"/>
      <c r="I645" s="19"/>
      <c r="K645" s="19"/>
      <c r="L645" s="29"/>
    </row>
    <row r="646" spans="4:12" ht="15" customHeight="1" x14ac:dyDescent="0.25">
      <c r="D646" s="7"/>
      <c r="E646" s="7"/>
      <c r="F646" s="55"/>
      <c r="I646" s="19"/>
      <c r="K646" s="19"/>
      <c r="L646" s="29"/>
    </row>
    <row r="647" spans="4:12" ht="15" customHeight="1" x14ac:dyDescent="0.25">
      <c r="D647" s="7"/>
      <c r="E647" s="7"/>
      <c r="F647" s="55"/>
      <c r="I647" s="19"/>
      <c r="K647" s="19"/>
      <c r="L647" s="29"/>
    </row>
    <row r="648" spans="4:12" ht="15" customHeight="1" x14ac:dyDescent="0.25">
      <c r="D648" s="7"/>
      <c r="E648" s="7"/>
      <c r="F648" s="55"/>
      <c r="I648" s="19"/>
      <c r="K648" s="19"/>
      <c r="L648" s="29"/>
    </row>
    <row r="649" spans="4:12" ht="15" customHeight="1" x14ac:dyDescent="0.25">
      <c r="D649" s="7"/>
      <c r="E649" s="7"/>
      <c r="F649" s="55"/>
      <c r="I649" s="19"/>
      <c r="K649" s="19"/>
      <c r="L649" s="29"/>
    </row>
    <row r="650" spans="4:12" ht="15" customHeight="1" x14ac:dyDescent="0.25">
      <c r="D650" s="7"/>
      <c r="E650" s="7"/>
      <c r="F650" s="55"/>
      <c r="I650" s="19"/>
      <c r="K650" s="19"/>
      <c r="L650" s="29"/>
    </row>
    <row r="651" spans="4:12" ht="15" customHeight="1" x14ac:dyDescent="0.25">
      <c r="D651" s="7"/>
      <c r="E651" s="7"/>
      <c r="F651" s="55"/>
      <c r="I651" s="19"/>
      <c r="K651" s="19"/>
      <c r="L651" s="29"/>
    </row>
    <row r="652" spans="4:12" ht="15" customHeight="1" x14ac:dyDescent="0.25">
      <c r="D652" s="7"/>
      <c r="E652" s="7"/>
      <c r="F652" s="55"/>
      <c r="I652" s="19"/>
      <c r="K652" s="19"/>
      <c r="L652" s="29"/>
    </row>
    <row r="653" spans="4:12" ht="15" customHeight="1" x14ac:dyDescent="0.25">
      <c r="D653" s="7"/>
      <c r="E653" s="7"/>
      <c r="F653" s="55"/>
      <c r="I653" s="19"/>
      <c r="K653" s="19"/>
      <c r="L653" s="29"/>
    </row>
    <row r="654" spans="4:12" ht="15" customHeight="1" x14ac:dyDescent="0.25">
      <c r="D654" s="7"/>
      <c r="E654" s="7"/>
      <c r="F654" s="55"/>
      <c r="I654" s="19"/>
      <c r="K654" s="19"/>
      <c r="L654" s="29"/>
    </row>
    <row r="655" spans="4:12" ht="15" customHeight="1" x14ac:dyDescent="0.25">
      <c r="D655" s="7"/>
      <c r="E655" s="7"/>
      <c r="F655" s="55"/>
      <c r="I655" s="19"/>
      <c r="K655" s="19"/>
      <c r="L655" s="29"/>
    </row>
    <row r="656" spans="4:12" ht="15" customHeight="1" x14ac:dyDescent="0.25">
      <c r="D656" s="7"/>
      <c r="E656" s="7"/>
      <c r="F656" s="55"/>
      <c r="I656" s="19"/>
      <c r="K656" s="19"/>
      <c r="L656" s="29"/>
    </row>
    <row r="657" spans="4:12" ht="15" customHeight="1" x14ac:dyDescent="0.25">
      <c r="D657" s="7"/>
      <c r="E657" s="7"/>
      <c r="F657" s="55"/>
      <c r="I657" s="19"/>
      <c r="K657" s="19"/>
      <c r="L657" s="29"/>
    </row>
    <row r="658" spans="4:12" ht="15" customHeight="1" x14ac:dyDescent="0.25">
      <c r="D658" s="7"/>
      <c r="E658" s="7"/>
      <c r="F658" s="55"/>
      <c r="I658" s="19"/>
      <c r="K658" s="19"/>
      <c r="L658" s="29"/>
    </row>
    <row r="659" spans="4:12" ht="15" customHeight="1" x14ac:dyDescent="0.25">
      <c r="D659" s="7"/>
      <c r="E659" s="7"/>
      <c r="F659" s="55"/>
      <c r="I659" s="19"/>
      <c r="K659" s="19"/>
      <c r="L659" s="29"/>
    </row>
    <row r="660" spans="4:12" ht="15" customHeight="1" x14ac:dyDescent="0.25">
      <c r="D660" s="7"/>
      <c r="E660" s="7"/>
      <c r="F660" s="55"/>
      <c r="I660" s="19"/>
      <c r="K660" s="19"/>
      <c r="L660" s="29"/>
    </row>
    <row r="661" spans="4:12" ht="15" customHeight="1" x14ac:dyDescent="0.25">
      <c r="D661" s="7"/>
      <c r="E661" s="7"/>
      <c r="F661" s="55"/>
      <c r="I661" s="19"/>
      <c r="K661" s="19"/>
      <c r="L661" s="29"/>
    </row>
    <row r="662" spans="4:12" ht="15" customHeight="1" x14ac:dyDescent="0.25">
      <c r="D662" s="7"/>
      <c r="E662" s="7"/>
      <c r="F662" s="55"/>
      <c r="I662" s="19"/>
      <c r="K662" s="19"/>
      <c r="L662" s="29"/>
    </row>
    <row r="663" spans="4:12" ht="15" customHeight="1" x14ac:dyDescent="0.25">
      <c r="D663" s="7"/>
      <c r="E663" s="7"/>
      <c r="F663" s="55"/>
      <c r="I663" s="19"/>
      <c r="K663" s="19"/>
      <c r="L663" s="29"/>
    </row>
    <row r="664" spans="4:12" ht="15" customHeight="1" x14ac:dyDescent="0.25">
      <c r="D664" s="7"/>
      <c r="E664" s="7"/>
      <c r="F664" s="55"/>
      <c r="I664" s="19"/>
      <c r="K664" s="19"/>
      <c r="L664" s="29"/>
    </row>
    <row r="665" spans="4:12" ht="15" customHeight="1" x14ac:dyDescent="0.25">
      <c r="D665" s="7"/>
      <c r="E665" s="7"/>
      <c r="F665" s="55"/>
      <c r="I665" s="19"/>
      <c r="K665" s="19"/>
      <c r="L665" s="29"/>
    </row>
    <row r="666" spans="4:12" ht="15" customHeight="1" x14ac:dyDescent="0.25">
      <c r="D666" s="7"/>
      <c r="E666" s="7"/>
      <c r="F666" s="55"/>
      <c r="I666" s="19"/>
      <c r="K666" s="19"/>
      <c r="L666" s="29"/>
    </row>
    <row r="667" spans="4:12" ht="15" customHeight="1" x14ac:dyDescent="0.25">
      <c r="D667" s="7"/>
      <c r="E667" s="7"/>
      <c r="F667" s="55"/>
      <c r="I667" s="19"/>
      <c r="K667" s="19"/>
      <c r="L667" s="29"/>
    </row>
    <row r="668" spans="4:12" ht="15" customHeight="1" x14ac:dyDescent="0.25">
      <c r="D668" s="7"/>
      <c r="E668" s="7"/>
      <c r="F668" s="55"/>
      <c r="I668" s="19"/>
      <c r="K668" s="19"/>
      <c r="L668" s="29"/>
    </row>
    <row r="669" spans="4:12" ht="15" customHeight="1" x14ac:dyDescent="0.25">
      <c r="D669" s="7"/>
      <c r="E669" s="7"/>
      <c r="F669" s="55"/>
      <c r="I669" s="19"/>
      <c r="K669" s="19"/>
      <c r="L669" s="29"/>
    </row>
    <row r="670" spans="4:12" ht="15" customHeight="1" x14ac:dyDescent="0.25">
      <c r="D670" s="7"/>
      <c r="E670" s="7"/>
      <c r="F670" s="55"/>
      <c r="I670" s="19"/>
      <c r="K670" s="19"/>
      <c r="L670" s="29"/>
    </row>
    <row r="671" spans="4:12" ht="15" customHeight="1" x14ac:dyDescent="0.25">
      <c r="D671" s="7"/>
      <c r="E671" s="7"/>
      <c r="F671" s="55"/>
      <c r="I671" s="19"/>
      <c r="K671" s="19"/>
      <c r="L671" s="29"/>
    </row>
    <row r="672" spans="4:12" ht="15" customHeight="1" x14ac:dyDescent="0.25">
      <c r="D672" s="7"/>
      <c r="E672" s="7"/>
      <c r="F672" s="55"/>
      <c r="I672" s="19"/>
      <c r="K672" s="19"/>
      <c r="L672" s="29"/>
    </row>
    <row r="673" spans="4:12" ht="15" customHeight="1" x14ac:dyDescent="0.25">
      <c r="D673" s="7"/>
      <c r="E673" s="7"/>
      <c r="F673" s="55"/>
      <c r="I673" s="19"/>
      <c r="K673" s="19"/>
      <c r="L673" s="29"/>
    </row>
    <row r="674" spans="4:12" ht="15" customHeight="1" x14ac:dyDescent="0.25">
      <c r="D674" s="7"/>
      <c r="E674" s="7"/>
      <c r="F674" s="55"/>
      <c r="I674" s="19"/>
      <c r="K674" s="19"/>
      <c r="L674" s="29"/>
    </row>
    <row r="675" spans="4:12" ht="15" customHeight="1" x14ac:dyDescent="0.25">
      <c r="D675" s="7"/>
      <c r="E675" s="7"/>
      <c r="F675" s="55"/>
      <c r="I675" s="19"/>
      <c r="K675" s="19"/>
      <c r="L675" s="29"/>
    </row>
    <row r="676" spans="4:12" ht="15" customHeight="1" x14ac:dyDescent="0.25">
      <c r="D676" s="7"/>
      <c r="E676" s="7"/>
      <c r="F676" s="55"/>
      <c r="I676" s="19"/>
      <c r="K676" s="19"/>
      <c r="L676" s="29"/>
    </row>
    <row r="677" spans="4:12" ht="15" customHeight="1" x14ac:dyDescent="0.25">
      <c r="D677" s="7"/>
      <c r="E677" s="7"/>
      <c r="F677" s="55"/>
      <c r="I677" s="19"/>
      <c r="K677" s="19"/>
      <c r="L677" s="29"/>
    </row>
    <row r="678" spans="4:12" ht="15" customHeight="1" x14ac:dyDescent="0.25">
      <c r="D678" s="7"/>
      <c r="E678" s="7"/>
      <c r="F678" s="55"/>
      <c r="I678" s="19"/>
      <c r="K678" s="19"/>
      <c r="L678" s="29"/>
    </row>
    <row r="679" spans="4:12" ht="15" customHeight="1" x14ac:dyDescent="0.25">
      <c r="D679" s="7"/>
      <c r="E679" s="7"/>
      <c r="F679" s="55"/>
      <c r="I679" s="19"/>
      <c r="K679" s="19"/>
      <c r="L679" s="29"/>
    </row>
    <row r="680" spans="4:12" ht="15" customHeight="1" x14ac:dyDescent="0.25">
      <c r="D680" s="7"/>
      <c r="E680" s="7"/>
      <c r="F680" s="55"/>
      <c r="I680" s="19"/>
      <c r="K680" s="19"/>
      <c r="L680" s="29"/>
    </row>
    <row r="681" spans="4:12" ht="15" customHeight="1" x14ac:dyDescent="0.25">
      <c r="D681" s="7"/>
      <c r="E681" s="7"/>
      <c r="F681" s="55"/>
      <c r="I681" s="19"/>
      <c r="K681" s="19"/>
      <c r="L681" s="29"/>
    </row>
    <row r="682" spans="4:12" ht="15" customHeight="1" x14ac:dyDescent="0.25">
      <c r="D682" s="7"/>
      <c r="E682" s="7"/>
      <c r="F682" s="55"/>
      <c r="I682" s="19"/>
      <c r="K682" s="19"/>
      <c r="L682" s="29"/>
    </row>
    <row r="683" spans="4:12" ht="15" customHeight="1" x14ac:dyDescent="0.25">
      <c r="D683" s="7"/>
      <c r="E683" s="7"/>
      <c r="F683" s="55"/>
      <c r="I683" s="19"/>
      <c r="K683" s="19"/>
      <c r="L683" s="29"/>
    </row>
    <row r="684" spans="4:12" ht="15" customHeight="1" x14ac:dyDescent="0.25">
      <c r="D684" s="7"/>
      <c r="E684" s="7"/>
      <c r="F684" s="55"/>
      <c r="I684" s="19"/>
      <c r="K684" s="19"/>
      <c r="L684" s="29"/>
    </row>
    <row r="685" spans="4:12" ht="15" customHeight="1" x14ac:dyDescent="0.25">
      <c r="D685" s="7"/>
      <c r="E685" s="7"/>
      <c r="F685" s="55"/>
      <c r="I685" s="19"/>
      <c r="K685" s="19"/>
      <c r="L685" s="29"/>
    </row>
    <row r="686" spans="4:12" ht="15" customHeight="1" x14ac:dyDescent="0.25">
      <c r="D686" s="7"/>
      <c r="E686" s="7"/>
      <c r="F686" s="55"/>
      <c r="I686" s="19"/>
      <c r="K686" s="19"/>
    </row>
    <row r="687" spans="4:12" ht="15" customHeight="1" x14ac:dyDescent="0.25">
      <c r="D687" s="7"/>
      <c r="E687" s="7"/>
      <c r="F687" s="55"/>
      <c r="I687" s="19"/>
      <c r="K687" s="19"/>
    </row>
    <row r="688" spans="4:12" ht="15" customHeight="1" x14ac:dyDescent="0.25">
      <c r="D688" s="7"/>
      <c r="E688" s="7"/>
      <c r="F688" s="55"/>
      <c r="I688" s="19"/>
      <c r="K688" s="19"/>
    </row>
    <row r="689" spans="4:11" ht="15" customHeight="1" x14ac:dyDescent="0.25">
      <c r="D689" s="7"/>
      <c r="E689" s="7"/>
      <c r="F689" s="55"/>
      <c r="I689" s="19"/>
      <c r="K689" s="19"/>
    </row>
    <row r="690" spans="4:11" ht="15" customHeight="1" x14ac:dyDescent="0.25">
      <c r="D690" s="7"/>
      <c r="E690" s="7"/>
      <c r="F690" s="55"/>
      <c r="I690" s="19"/>
      <c r="K690" s="19"/>
    </row>
    <row r="691" spans="4:11" ht="15" customHeight="1" x14ac:dyDescent="0.25">
      <c r="D691" s="7"/>
      <c r="E691" s="7"/>
      <c r="F691" s="55"/>
      <c r="I691" s="19"/>
      <c r="K691" s="19"/>
    </row>
    <row r="692" spans="4:11" ht="15" customHeight="1" x14ac:dyDescent="0.25">
      <c r="D692" s="7"/>
      <c r="E692" s="7"/>
      <c r="F692" s="55"/>
      <c r="I692" s="19"/>
      <c r="K692" s="19"/>
    </row>
    <row r="693" spans="4:11" ht="15" customHeight="1" x14ac:dyDescent="0.25">
      <c r="D693" s="7"/>
      <c r="E693" s="7"/>
      <c r="F693" s="55"/>
      <c r="I693" s="19"/>
      <c r="K693" s="19"/>
    </row>
    <row r="694" spans="4:11" ht="15" customHeight="1" x14ac:dyDescent="0.25">
      <c r="D694" s="7"/>
      <c r="E694" s="7"/>
      <c r="F694" s="55"/>
      <c r="I694" s="19"/>
      <c r="K694" s="19"/>
    </row>
    <row r="695" spans="4:11" ht="15" customHeight="1" x14ac:dyDescent="0.25">
      <c r="D695" s="7"/>
      <c r="E695" s="7"/>
      <c r="F695" s="55"/>
      <c r="I695" s="19"/>
      <c r="K695" s="19"/>
    </row>
    <row r="696" spans="4:11" ht="15" customHeight="1" x14ac:dyDescent="0.25">
      <c r="D696" s="7"/>
      <c r="E696" s="7"/>
      <c r="F696" s="55"/>
      <c r="I696" s="19"/>
      <c r="K696" s="19"/>
    </row>
    <row r="697" spans="4:11" ht="15" customHeight="1" x14ac:dyDescent="0.25">
      <c r="D697" s="7"/>
      <c r="E697" s="7"/>
      <c r="F697" s="55"/>
    </row>
    <row r="698" spans="4:11" ht="15" customHeight="1" x14ac:dyDescent="0.25">
      <c r="D698" s="7"/>
      <c r="E698" s="7"/>
      <c r="F698" s="55"/>
    </row>
    <row r="699" spans="4:11" ht="15" customHeight="1" x14ac:dyDescent="0.25">
      <c r="D699" s="7"/>
      <c r="E699" s="7"/>
      <c r="F699" s="55"/>
    </row>
    <row r="700" spans="4:11" ht="15" customHeight="1" x14ac:dyDescent="0.25">
      <c r="D700" s="7"/>
      <c r="E700" s="7"/>
      <c r="F700" s="55"/>
    </row>
    <row r="701" spans="4:11" ht="15" customHeight="1" x14ac:dyDescent="0.25">
      <c r="D701" s="7"/>
      <c r="E701" s="7"/>
      <c r="F701" s="55"/>
    </row>
    <row r="702" spans="4:11" ht="15" customHeight="1" x14ac:dyDescent="0.25">
      <c r="D702" s="7"/>
      <c r="E702" s="7"/>
      <c r="F702" s="55"/>
    </row>
    <row r="703" spans="4:11" ht="15" customHeight="1" x14ac:dyDescent="0.25">
      <c r="D703" s="7"/>
      <c r="E703" s="7"/>
      <c r="F703" s="55"/>
    </row>
    <row r="704" spans="4:11" ht="15" customHeight="1" x14ac:dyDescent="0.25">
      <c r="D704" s="7"/>
      <c r="E704" s="7"/>
      <c r="F704" s="55"/>
    </row>
    <row r="705" spans="4:6" ht="15" customHeight="1" x14ac:dyDescent="0.25">
      <c r="D705" s="7"/>
      <c r="E705" s="7"/>
      <c r="F705" s="55"/>
    </row>
    <row r="706" spans="4:6" ht="15" customHeight="1" x14ac:dyDescent="0.25">
      <c r="D706" s="7"/>
      <c r="E706" s="7"/>
      <c r="F706" s="55"/>
    </row>
    <row r="707" spans="4:6" ht="15" customHeight="1" x14ac:dyDescent="0.25">
      <c r="D707" s="7"/>
      <c r="E707" s="7"/>
      <c r="F707" s="55"/>
    </row>
    <row r="708" spans="4:6" ht="15" customHeight="1" x14ac:dyDescent="0.25">
      <c r="D708" s="7"/>
      <c r="E708" s="7"/>
      <c r="F708" s="55"/>
    </row>
    <row r="709" spans="4:6" ht="15" customHeight="1" x14ac:dyDescent="0.25">
      <c r="D709" s="7"/>
      <c r="E709" s="7"/>
      <c r="F709" s="55"/>
    </row>
    <row r="710" spans="4:6" ht="15" customHeight="1" x14ac:dyDescent="0.25">
      <c r="D710" s="7"/>
      <c r="E710" s="7"/>
      <c r="F710" s="55"/>
    </row>
    <row r="711" spans="4:6" ht="15" customHeight="1" x14ac:dyDescent="0.25">
      <c r="D711" s="7"/>
      <c r="E711" s="7"/>
      <c r="F711" s="55"/>
    </row>
    <row r="712" spans="4:6" ht="15" customHeight="1" x14ac:dyDescent="0.25">
      <c r="D712" s="7"/>
      <c r="E712" s="7"/>
      <c r="F712" s="55"/>
    </row>
    <row r="713" spans="4:6" ht="15" customHeight="1" x14ac:dyDescent="0.25">
      <c r="D713" s="7"/>
      <c r="E713" s="7"/>
      <c r="F713" s="55"/>
    </row>
    <row r="714" spans="4:6" ht="15" customHeight="1" x14ac:dyDescent="0.25">
      <c r="D714" s="7"/>
      <c r="E714" s="7"/>
      <c r="F714" s="55"/>
    </row>
    <row r="715" spans="4:6" ht="15" customHeight="1" x14ac:dyDescent="0.25">
      <c r="D715" s="7"/>
      <c r="E715" s="7"/>
      <c r="F715" s="55"/>
    </row>
    <row r="716" spans="4:6" ht="15" customHeight="1" x14ac:dyDescent="0.25">
      <c r="D716" s="7"/>
      <c r="E716" s="7"/>
      <c r="F716" s="55"/>
    </row>
    <row r="717" spans="4:6" ht="15" customHeight="1" x14ac:dyDescent="0.25">
      <c r="D717" s="7"/>
      <c r="E717" s="7"/>
      <c r="F717" s="55"/>
    </row>
    <row r="718" spans="4:6" ht="15" customHeight="1" x14ac:dyDescent="0.25">
      <c r="D718" s="7"/>
      <c r="E718" s="7"/>
      <c r="F718" s="55"/>
    </row>
    <row r="719" spans="4:6" ht="15" customHeight="1" x14ac:dyDescent="0.25">
      <c r="D719" s="7"/>
      <c r="E719" s="7"/>
      <c r="F719" s="55"/>
    </row>
    <row r="720" spans="4:6" ht="15" customHeight="1" x14ac:dyDescent="0.25">
      <c r="D720" s="7"/>
      <c r="E720" s="7"/>
      <c r="F720" s="55"/>
    </row>
    <row r="721" spans="4:6" ht="15" customHeight="1" x14ac:dyDescent="0.25">
      <c r="D721" s="7"/>
      <c r="E721" s="7"/>
      <c r="F721" s="55"/>
    </row>
    <row r="722" spans="4:6" ht="15" customHeight="1" x14ac:dyDescent="0.25">
      <c r="D722" s="7"/>
      <c r="E722" s="7"/>
      <c r="F722" s="55"/>
    </row>
    <row r="723" spans="4:6" ht="15" customHeight="1" x14ac:dyDescent="0.25">
      <c r="D723" s="7"/>
      <c r="E723" s="7"/>
      <c r="F723" s="55"/>
    </row>
    <row r="724" spans="4:6" ht="15" customHeight="1" x14ac:dyDescent="0.25">
      <c r="D724" s="7"/>
      <c r="E724" s="7"/>
      <c r="F724" s="55"/>
    </row>
    <row r="725" spans="4:6" ht="15" customHeight="1" x14ac:dyDescent="0.25">
      <c r="D725" s="7"/>
      <c r="E725" s="7"/>
      <c r="F725" s="55"/>
    </row>
    <row r="726" spans="4:6" ht="15" customHeight="1" x14ac:dyDescent="0.25">
      <c r="D726" s="7"/>
      <c r="E726" s="7"/>
      <c r="F726" s="55"/>
    </row>
    <row r="727" spans="4:6" ht="15" customHeight="1" x14ac:dyDescent="0.25">
      <c r="D727" s="7"/>
      <c r="E727" s="7"/>
      <c r="F727" s="55"/>
    </row>
    <row r="728" spans="4:6" ht="15" customHeight="1" x14ac:dyDescent="0.25">
      <c r="D728" s="7"/>
      <c r="E728" s="7"/>
      <c r="F728" s="55"/>
    </row>
    <row r="729" spans="4:6" ht="15" customHeight="1" x14ac:dyDescent="0.25">
      <c r="D729" s="7"/>
      <c r="E729" s="7"/>
      <c r="F729" s="55"/>
    </row>
    <row r="730" spans="4:6" ht="15" customHeight="1" x14ac:dyDescent="0.25">
      <c r="D730" s="7"/>
      <c r="E730" s="7"/>
      <c r="F730" s="55"/>
    </row>
    <row r="731" spans="4:6" ht="15" customHeight="1" x14ac:dyDescent="0.25">
      <c r="D731" s="7"/>
      <c r="E731" s="7"/>
      <c r="F731" s="55"/>
    </row>
    <row r="732" spans="4:6" ht="15" customHeight="1" x14ac:dyDescent="0.25">
      <c r="D732" s="7"/>
      <c r="E732" s="7"/>
      <c r="F732" s="55"/>
    </row>
    <row r="733" spans="4:6" ht="15" customHeight="1" x14ac:dyDescent="0.25">
      <c r="D733" s="7"/>
      <c r="E733" s="7"/>
      <c r="F733" s="55"/>
    </row>
    <row r="734" spans="4:6" ht="15" customHeight="1" x14ac:dyDescent="0.25">
      <c r="D734" s="7"/>
      <c r="E734" s="7"/>
      <c r="F734" s="55"/>
    </row>
    <row r="735" spans="4:6" ht="15" customHeight="1" x14ac:dyDescent="0.25">
      <c r="D735" s="7"/>
      <c r="E735" s="7"/>
      <c r="F735" s="55"/>
    </row>
    <row r="736" spans="4:6" ht="15" customHeight="1" x14ac:dyDescent="0.25">
      <c r="D736" s="7"/>
      <c r="E736" s="7"/>
      <c r="F736" s="55"/>
    </row>
    <row r="737" spans="4:6" ht="15" customHeight="1" x14ac:dyDescent="0.25">
      <c r="D737" s="7"/>
      <c r="E737" s="7"/>
      <c r="F737" s="55"/>
    </row>
    <row r="738" spans="4:6" ht="15" customHeight="1" x14ac:dyDescent="0.25">
      <c r="D738" s="7"/>
      <c r="E738" s="7"/>
      <c r="F738" s="55"/>
    </row>
    <row r="739" spans="4:6" ht="15" customHeight="1" x14ac:dyDescent="0.25">
      <c r="D739" s="7"/>
      <c r="E739" s="7"/>
      <c r="F739" s="55"/>
    </row>
    <row r="740" spans="4:6" ht="15" customHeight="1" x14ac:dyDescent="0.25">
      <c r="D740" s="7"/>
      <c r="E740" s="7"/>
      <c r="F740" s="55"/>
    </row>
    <row r="741" spans="4:6" ht="15" customHeight="1" x14ac:dyDescent="0.25">
      <c r="D741" s="7"/>
      <c r="E741" s="7"/>
      <c r="F741" s="55"/>
    </row>
    <row r="742" spans="4:6" ht="15" customHeight="1" x14ac:dyDescent="0.25">
      <c r="D742" s="7"/>
      <c r="E742" s="7"/>
      <c r="F742" s="55"/>
    </row>
    <row r="743" spans="4:6" ht="15" customHeight="1" x14ac:dyDescent="0.25">
      <c r="D743" s="7"/>
      <c r="E743" s="7"/>
      <c r="F743" s="55"/>
    </row>
    <row r="744" spans="4:6" ht="15" customHeight="1" x14ac:dyDescent="0.25">
      <c r="D744" s="7"/>
      <c r="E744" s="7"/>
      <c r="F744" s="55"/>
    </row>
    <row r="745" spans="4:6" ht="15" customHeight="1" x14ac:dyDescent="0.25">
      <c r="D745" s="7"/>
      <c r="E745" s="7"/>
      <c r="F745" s="55"/>
    </row>
    <row r="746" spans="4:6" ht="15" customHeight="1" x14ac:dyDescent="0.25">
      <c r="D746" s="7"/>
      <c r="E746" s="7"/>
      <c r="F746" s="55"/>
    </row>
    <row r="747" spans="4:6" ht="15" customHeight="1" x14ac:dyDescent="0.25">
      <c r="D747" s="7"/>
      <c r="E747" s="7"/>
      <c r="F747" s="55"/>
    </row>
    <row r="748" spans="4:6" ht="15" customHeight="1" x14ac:dyDescent="0.25">
      <c r="D748" s="7"/>
      <c r="E748" s="7"/>
      <c r="F748" s="55"/>
    </row>
    <row r="749" spans="4:6" ht="15" customHeight="1" x14ac:dyDescent="0.25">
      <c r="D749" s="7"/>
      <c r="E749" s="7"/>
      <c r="F749" s="55"/>
    </row>
    <row r="750" spans="4:6" ht="15" customHeight="1" x14ac:dyDescent="0.25">
      <c r="D750" s="7"/>
      <c r="E750" s="7"/>
      <c r="F750" s="55"/>
    </row>
    <row r="751" spans="4:6" ht="15" customHeight="1" x14ac:dyDescent="0.25">
      <c r="D751" s="7"/>
      <c r="E751" s="7"/>
      <c r="F751" s="55"/>
    </row>
    <row r="752" spans="4:6" ht="15" customHeight="1" x14ac:dyDescent="0.25">
      <c r="D752" s="7"/>
      <c r="E752" s="7"/>
      <c r="F752" s="55"/>
    </row>
    <row r="753" spans="4:6" ht="15" customHeight="1" x14ac:dyDescent="0.25">
      <c r="D753" s="7"/>
      <c r="E753" s="7"/>
      <c r="F753" s="55"/>
    </row>
    <row r="754" spans="4:6" ht="15" customHeight="1" x14ac:dyDescent="0.25">
      <c r="D754" s="7"/>
      <c r="E754" s="7"/>
      <c r="F754" s="55"/>
    </row>
    <row r="755" spans="4:6" ht="15" customHeight="1" x14ac:dyDescent="0.25">
      <c r="D755" s="7"/>
      <c r="E755" s="7"/>
      <c r="F755" s="55"/>
    </row>
    <row r="756" spans="4:6" ht="15" customHeight="1" x14ac:dyDescent="0.25">
      <c r="D756" s="7"/>
      <c r="E756" s="7"/>
      <c r="F756" s="55"/>
    </row>
    <row r="757" spans="4:6" ht="15" customHeight="1" x14ac:dyDescent="0.25">
      <c r="D757" s="7"/>
      <c r="E757" s="7"/>
      <c r="F757" s="55"/>
    </row>
    <row r="758" spans="4:6" ht="15" customHeight="1" x14ac:dyDescent="0.25">
      <c r="D758" s="7"/>
      <c r="E758" s="7"/>
      <c r="F758" s="55"/>
    </row>
    <row r="759" spans="4:6" ht="15" customHeight="1" x14ac:dyDescent="0.25">
      <c r="D759" s="7"/>
      <c r="E759" s="7"/>
      <c r="F759" s="55"/>
    </row>
    <row r="760" spans="4:6" ht="15" customHeight="1" x14ac:dyDescent="0.25">
      <c r="D760" s="7"/>
      <c r="E760" s="7"/>
      <c r="F760" s="55"/>
    </row>
    <row r="761" spans="4:6" ht="15" customHeight="1" x14ac:dyDescent="0.25">
      <c r="D761" s="7"/>
      <c r="E761" s="7"/>
      <c r="F761" s="55"/>
    </row>
    <row r="762" spans="4:6" ht="15" customHeight="1" x14ac:dyDescent="0.25">
      <c r="D762" s="7"/>
      <c r="E762" s="7"/>
      <c r="F762" s="55"/>
    </row>
    <row r="763" spans="4:6" ht="15" customHeight="1" x14ac:dyDescent="0.25">
      <c r="D763" s="7"/>
      <c r="E763" s="7"/>
      <c r="F763" s="55"/>
    </row>
    <row r="764" spans="4:6" ht="15" customHeight="1" x14ac:dyDescent="0.25">
      <c r="D764" s="7"/>
      <c r="E764" s="7"/>
      <c r="F764" s="55"/>
    </row>
    <row r="765" spans="4:6" ht="15" customHeight="1" x14ac:dyDescent="0.25">
      <c r="D765" s="7"/>
      <c r="E765" s="7"/>
      <c r="F765" s="55"/>
    </row>
    <row r="766" spans="4:6" ht="15" customHeight="1" x14ac:dyDescent="0.25">
      <c r="D766" s="7"/>
      <c r="E766" s="7"/>
      <c r="F766" s="55"/>
    </row>
    <row r="767" spans="4:6" ht="15" customHeight="1" x14ac:dyDescent="0.25">
      <c r="D767" s="7"/>
      <c r="E767" s="7"/>
      <c r="F767" s="55"/>
    </row>
    <row r="768" spans="4:6" ht="15" customHeight="1" x14ac:dyDescent="0.25">
      <c r="D768" s="7"/>
      <c r="E768" s="7"/>
      <c r="F768" s="55"/>
    </row>
    <row r="769" spans="4:6" ht="15" customHeight="1" x14ac:dyDescent="0.25">
      <c r="D769" s="7"/>
      <c r="E769" s="7"/>
      <c r="F769" s="55"/>
    </row>
    <row r="770" spans="4:6" ht="15" customHeight="1" x14ac:dyDescent="0.25">
      <c r="D770" s="7"/>
      <c r="E770" s="7"/>
      <c r="F770" s="55"/>
    </row>
    <row r="771" spans="4:6" ht="15" customHeight="1" x14ac:dyDescent="0.25">
      <c r="D771" s="7"/>
      <c r="E771" s="7"/>
      <c r="F771" s="55"/>
    </row>
    <row r="772" spans="4:6" ht="15" customHeight="1" x14ac:dyDescent="0.25">
      <c r="D772" s="7"/>
      <c r="E772" s="7"/>
      <c r="F772" s="55"/>
    </row>
    <row r="773" spans="4:6" ht="15" customHeight="1" x14ac:dyDescent="0.25">
      <c r="D773" s="7"/>
      <c r="E773" s="7"/>
      <c r="F773" s="55"/>
    </row>
    <row r="774" spans="4:6" ht="15" customHeight="1" x14ac:dyDescent="0.25">
      <c r="D774" s="7"/>
      <c r="E774" s="7"/>
      <c r="F774" s="55"/>
    </row>
    <row r="775" spans="4:6" ht="15" customHeight="1" x14ac:dyDescent="0.25">
      <c r="D775" s="7"/>
      <c r="E775" s="7"/>
      <c r="F775" s="55"/>
    </row>
    <row r="776" spans="4:6" ht="15" customHeight="1" x14ac:dyDescent="0.25">
      <c r="D776" s="7"/>
      <c r="E776" s="7"/>
      <c r="F776" s="55"/>
    </row>
    <row r="777" spans="4:6" ht="15" customHeight="1" x14ac:dyDescent="0.25">
      <c r="D777" s="7"/>
      <c r="E777" s="7"/>
      <c r="F777" s="55"/>
    </row>
    <row r="778" spans="4:6" ht="15" customHeight="1" x14ac:dyDescent="0.25">
      <c r="D778" s="7"/>
      <c r="E778" s="7"/>
      <c r="F778" s="55"/>
    </row>
    <row r="779" spans="4:6" ht="15" customHeight="1" x14ac:dyDescent="0.25">
      <c r="D779" s="7"/>
      <c r="E779" s="7"/>
      <c r="F779" s="55"/>
    </row>
    <row r="780" spans="4:6" ht="15" customHeight="1" x14ac:dyDescent="0.25">
      <c r="D780" s="7"/>
      <c r="E780" s="7"/>
      <c r="F780" s="55"/>
    </row>
    <row r="781" spans="4:6" ht="15" customHeight="1" x14ac:dyDescent="0.25">
      <c r="D781" s="7"/>
      <c r="E781" s="7"/>
      <c r="F781" s="55"/>
    </row>
    <row r="782" spans="4:6" ht="15" customHeight="1" x14ac:dyDescent="0.25">
      <c r="D782" s="7"/>
      <c r="E782" s="7"/>
      <c r="F782" s="55"/>
    </row>
    <row r="783" spans="4:6" ht="15" customHeight="1" x14ac:dyDescent="0.25">
      <c r="D783" s="7"/>
      <c r="E783" s="7"/>
      <c r="F783" s="55"/>
    </row>
    <row r="784" spans="4:6" ht="15" customHeight="1" x14ac:dyDescent="0.25">
      <c r="D784" s="7"/>
      <c r="E784" s="7"/>
      <c r="F784" s="55"/>
    </row>
    <row r="785" spans="4:6" ht="15" customHeight="1" x14ac:dyDescent="0.25">
      <c r="D785" s="7"/>
      <c r="E785" s="7"/>
      <c r="F785" s="55"/>
    </row>
    <row r="786" spans="4:6" ht="15" customHeight="1" x14ac:dyDescent="0.25">
      <c r="D786" s="7"/>
      <c r="E786" s="7"/>
      <c r="F786" s="55"/>
    </row>
    <row r="787" spans="4:6" ht="15" customHeight="1" x14ac:dyDescent="0.25">
      <c r="D787" s="7"/>
      <c r="E787" s="7"/>
      <c r="F787" s="55"/>
    </row>
    <row r="788" spans="4:6" ht="15" customHeight="1" x14ac:dyDescent="0.25">
      <c r="D788" s="7"/>
      <c r="E788" s="7"/>
      <c r="F788" s="55"/>
    </row>
    <row r="789" spans="4:6" ht="15" customHeight="1" x14ac:dyDescent="0.25">
      <c r="D789" s="7"/>
      <c r="E789" s="7"/>
      <c r="F789" s="55"/>
    </row>
    <row r="790" spans="4:6" ht="15" customHeight="1" x14ac:dyDescent="0.25">
      <c r="D790" s="7"/>
      <c r="E790" s="7"/>
      <c r="F790" s="55"/>
    </row>
    <row r="791" spans="4:6" ht="15" customHeight="1" x14ac:dyDescent="0.25">
      <c r="D791" s="7"/>
      <c r="E791" s="7"/>
      <c r="F791" s="55"/>
    </row>
    <row r="792" spans="4:6" ht="15" customHeight="1" x14ac:dyDescent="0.25">
      <c r="D792" s="7"/>
      <c r="E792" s="7"/>
      <c r="F792" s="55"/>
    </row>
    <row r="793" spans="4:6" ht="15" customHeight="1" x14ac:dyDescent="0.25">
      <c r="D793" s="7"/>
      <c r="E793" s="7"/>
      <c r="F793" s="55"/>
    </row>
    <row r="794" spans="4:6" ht="15" customHeight="1" x14ac:dyDescent="0.25">
      <c r="D794" s="7"/>
      <c r="E794" s="7"/>
      <c r="F794" s="55"/>
    </row>
    <row r="795" spans="4:6" ht="15" customHeight="1" x14ac:dyDescent="0.25">
      <c r="D795" s="7"/>
      <c r="E795" s="7"/>
      <c r="F795" s="55"/>
    </row>
    <row r="796" spans="4:6" ht="15" customHeight="1" x14ac:dyDescent="0.25">
      <c r="D796" s="7"/>
      <c r="E796" s="7"/>
      <c r="F796" s="55"/>
    </row>
    <row r="797" spans="4:6" ht="15" customHeight="1" x14ac:dyDescent="0.25">
      <c r="D797" s="7"/>
      <c r="E797" s="7"/>
      <c r="F797" s="55"/>
    </row>
    <row r="798" spans="4:6" ht="15" customHeight="1" x14ac:dyDescent="0.25">
      <c r="D798" s="7"/>
      <c r="E798" s="7"/>
      <c r="F798" s="55"/>
    </row>
    <row r="799" spans="4:6" ht="15" customHeight="1" x14ac:dyDescent="0.25">
      <c r="D799" s="7"/>
      <c r="E799" s="7"/>
      <c r="F799" s="55"/>
    </row>
    <row r="800" spans="4:6" ht="15" customHeight="1" x14ac:dyDescent="0.25">
      <c r="D800" s="7"/>
      <c r="E800" s="7"/>
      <c r="F800" s="55"/>
    </row>
    <row r="801" spans="4:6" ht="15" customHeight="1" x14ac:dyDescent="0.25">
      <c r="D801" s="7"/>
      <c r="E801" s="7"/>
      <c r="F801" s="55"/>
    </row>
    <row r="802" spans="4:6" ht="15" customHeight="1" x14ac:dyDescent="0.25">
      <c r="D802" s="7"/>
      <c r="E802" s="7"/>
      <c r="F802" s="55"/>
    </row>
    <row r="803" spans="4:6" ht="15" customHeight="1" x14ac:dyDescent="0.25">
      <c r="D803" s="7"/>
      <c r="E803" s="7"/>
      <c r="F803" s="55"/>
    </row>
    <row r="804" spans="4:6" ht="15" customHeight="1" x14ac:dyDescent="0.25">
      <c r="D804" s="7"/>
      <c r="E804" s="7"/>
      <c r="F804" s="55"/>
    </row>
    <row r="805" spans="4:6" ht="15" customHeight="1" x14ac:dyDescent="0.25">
      <c r="D805" s="7"/>
      <c r="E805" s="7"/>
      <c r="F805" s="55"/>
    </row>
    <row r="806" spans="4:6" ht="15" customHeight="1" x14ac:dyDescent="0.25">
      <c r="D806" s="7"/>
      <c r="E806" s="7"/>
      <c r="F806" s="55"/>
    </row>
    <row r="807" spans="4:6" ht="15" customHeight="1" x14ac:dyDescent="0.25">
      <c r="D807" s="7"/>
      <c r="E807" s="7"/>
      <c r="F807" s="55"/>
    </row>
    <row r="808" spans="4:6" ht="15" customHeight="1" x14ac:dyDescent="0.25">
      <c r="D808" s="7"/>
      <c r="E808" s="7"/>
      <c r="F808" s="55"/>
    </row>
    <row r="809" spans="4:6" ht="15" customHeight="1" x14ac:dyDescent="0.25">
      <c r="D809" s="7"/>
      <c r="E809" s="7"/>
      <c r="F809" s="55"/>
    </row>
    <row r="810" spans="4:6" ht="15" customHeight="1" x14ac:dyDescent="0.25">
      <c r="D810" s="7"/>
      <c r="E810" s="7"/>
      <c r="F810" s="55"/>
    </row>
    <row r="811" spans="4:6" ht="15" customHeight="1" x14ac:dyDescent="0.25">
      <c r="D811" s="7"/>
      <c r="E811" s="7"/>
      <c r="F811" s="55"/>
    </row>
    <row r="812" spans="4:6" ht="15" customHeight="1" x14ac:dyDescent="0.25">
      <c r="D812" s="7"/>
      <c r="E812" s="7"/>
      <c r="F812" s="55"/>
    </row>
    <row r="813" spans="4:6" ht="15" customHeight="1" x14ac:dyDescent="0.25">
      <c r="D813" s="7"/>
      <c r="E813" s="7"/>
      <c r="F813" s="55"/>
    </row>
    <row r="814" spans="4:6" ht="15" customHeight="1" x14ac:dyDescent="0.25">
      <c r="D814" s="7"/>
      <c r="E814" s="7"/>
      <c r="F814" s="55"/>
    </row>
    <row r="815" spans="4:6" ht="15" customHeight="1" x14ac:dyDescent="0.25">
      <c r="D815" s="7"/>
      <c r="E815" s="7"/>
      <c r="F815" s="55"/>
    </row>
    <row r="816" spans="4:6" ht="15" customHeight="1" x14ac:dyDescent="0.25">
      <c r="D816" s="7"/>
      <c r="E816" s="7"/>
      <c r="F816" s="55"/>
    </row>
    <row r="817" spans="4:6" ht="15" customHeight="1" x14ac:dyDescent="0.25">
      <c r="D817" s="7"/>
      <c r="E817" s="7"/>
      <c r="F817" s="55"/>
    </row>
    <row r="818" spans="4:6" ht="15" customHeight="1" x14ac:dyDescent="0.25">
      <c r="D818" s="7"/>
      <c r="E818" s="7"/>
      <c r="F818" s="55"/>
    </row>
    <row r="819" spans="4:6" ht="15" customHeight="1" x14ac:dyDescent="0.25">
      <c r="D819" s="7"/>
      <c r="E819" s="7"/>
      <c r="F819" s="55"/>
    </row>
    <row r="820" spans="4:6" ht="15" customHeight="1" x14ac:dyDescent="0.25">
      <c r="D820" s="7"/>
      <c r="E820" s="7"/>
      <c r="F820" s="55"/>
    </row>
    <row r="821" spans="4:6" ht="15" customHeight="1" x14ac:dyDescent="0.25">
      <c r="D821" s="7"/>
      <c r="E821" s="7"/>
      <c r="F821" s="55"/>
    </row>
    <row r="822" spans="4:6" ht="15" customHeight="1" x14ac:dyDescent="0.25">
      <c r="D822" s="7"/>
      <c r="E822" s="7"/>
      <c r="F822" s="55"/>
    </row>
    <row r="823" spans="4:6" ht="15" customHeight="1" x14ac:dyDescent="0.25">
      <c r="D823" s="7"/>
      <c r="E823" s="7"/>
      <c r="F823" s="55"/>
    </row>
    <row r="824" spans="4:6" ht="15" customHeight="1" x14ac:dyDescent="0.25">
      <c r="D824" s="7"/>
      <c r="E824" s="7"/>
      <c r="F824" s="55"/>
    </row>
    <row r="825" spans="4:6" ht="15" customHeight="1" x14ac:dyDescent="0.25">
      <c r="D825" s="7"/>
      <c r="E825" s="7"/>
      <c r="F825" s="55"/>
    </row>
    <row r="826" spans="4:6" ht="15" customHeight="1" x14ac:dyDescent="0.25">
      <c r="D826" s="7"/>
      <c r="E826" s="7"/>
      <c r="F826" s="55"/>
    </row>
    <row r="827" spans="4:6" ht="15" customHeight="1" x14ac:dyDescent="0.25">
      <c r="D827" s="7"/>
      <c r="E827" s="7"/>
      <c r="F827" s="55"/>
    </row>
    <row r="828" spans="4:6" ht="15" customHeight="1" x14ac:dyDescent="0.25">
      <c r="D828" s="7"/>
      <c r="E828" s="7"/>
      <c r="F828" s="55"/>
    </row>
    <row r="829" spans="4:6" ht="15" customHeight="1" x14ac:dyDescent="0.25">
      <c r="D829" s="7"/>
      <c r="E829" s="7"/>
      <c r="F829" s="55"/>
    </row>
    <row r="830" spans="4:6" ht="15" customHeight="1" x14ac:dyDescent="0.25">
      <c r="D830" s="7"/>
      <c r="E830" s="7"/>
      <c r="F830" s="55"/>
    </row>
    <row r="831" spans="4:6" ht="15" customHeight="1" x14ac:dyDescent="0.25">
      <c r="D831" s="7"/>
      <c r="E831" s="7"/>
      <c r="F831" s="55"/>
    </row>
    <row r="832" spans="4:6" ht="15" customHeight="1" x14ac:dyDescent="0.25">
      <c r="D832" s="7"/>
      <c r="E832" s="7"/>
      <c r="F832" s="55"/>
    </row>
    <row r="833" spans="4:6" ht="15" customHeight="1" x14ac:dyDescent="0.25">
      <c r="D833" s="7"/>
      <c r="E833" s="7"/>
      <c r="F833" s="55"/>
    </row>
    <row r="834" spans="4:6" ht="15" customHeight="1" x14ac:dyDescent="0.25">
      <c r="D834" s="7"/>
      <c r="E834" s="7"/>
      <c r="F834" s="55"/>
    </row>
    <row r="835" spans="4:6" ht="15" customHeight="1" x14ac:dyDescent="0.25">
      <c r="D835" s="7"/>
      <c r="E835" s="7"/>
      <c r="F835" s="55"/>
    </row>
    <row r="836" spans="4:6" ht="15" customHeight="1" x14ac:dyDescent="0.25">
      <c r="D836" s="7"/>
      <c r="E836" s="7"/>
      <c r="F836" s="55"/>
    </row>
    <row r="837" spans="4:6" ht="15" customHeight="1" x14ac:dyDescent="0.25">
      <c r="D837" s="7"/>
      <c r="E837" s="7"/>
      <c r="F837" s="55"/>
    </row>
    <row r="838" spans="4:6" ht="15" customHeight="1" x14ac:dyDescent="0.25">
      <c r="D838" s="7"/>
      <c r="E838" s="7"/>
      <c r="F838" s="55"/>
    </row>
    <row r="839" spans="4:6" ht="15" customHeight="1" x14ac:dyDescent="0.25">
      <c r="D839" s="7"/>
      <c r="E839" s="7"/>
      <c r="F839" s="55"/>
    </row>
    <row r="840" spans="4:6" ht="15" customHeight="1" x14ac:dyDescent="0.25">
      <c r="D840" s="7"/>
      <c r="E840" s="7"/>
      <c r="F840" s="55"/>
    </row>
    <row r="841" spans="4:6" ht="15" customHeight="1" x14ac:dyDescent="0.25">
      <c r="D841" s="7"/>
      <c r="E841" s="7"/>
      <c r="F841" s="55"/>
    </row>
    <row r="842" spans="4:6" ht="15" customHeight="1" x14ac:dyDescent="0.25">
      <c r="D842" s="7"/>
      <c r="E842" s="7"/>
      <c r="F842" s="55"/>
    </row>
    <row r="843" spans="4:6" ht="15" customHeight="1" x14ac:dyDescent="0.25">
      <c r="D843" s="7"/>
      <c r="E843" s="7"/>
      <c r="F843" s="55"/>
    </row>
    <row r="844" spans="4:6" ht="15" customHeight="1" x14ac:dyDescent="0.25">
      <c r="D844" s="7"/>
      <c r="E844" s="7"/>
      <c r="F844" s="55"/>
    </row>
    <row r="845" spans="4:6" ht="15" customHeight="1" x14ac:dyDescent="0.25">
      <c r="D845" s="7"/>
      <c r="E845" s="7"/>
      <c r="F845" s="55"/>
    </row>
    <row r="846" spans="4:6" ht="15" customHeight="1" x14ac:dyDescent="0.25">
      <c r="D846" s="7"/>
      <c r="E846" s="7"/>
      <c r="F846" s="55"/>
    </row>
    <row r="847" spans="4:6" ht="15" customHeight="1" x14ac:dyDescent="0.25">
      <c r="D847" s="7"/>
      <c r="E847" s="7"/>
      <c r="F847" s="55"/>
    </row>
    <row r="848" spans="4:6" ht="15" customHeight="1" x14ac:dyDescent="0.25">
      <c r="D848" s="7"/>
      <c r="E848" s="7"/>
      <c r="F848" s="55"/>
    </row>
    <row r="849" spans="4:6" ht="15" customHeight="1" x14ac:dyDescent="0.25">
      <c r="D849" s="7"/>
      <c r="E849" s="7"/>
      <c r="F849" s="55"/>
    </row>
    <row r="850" spans="4:6" ht="15" customHeight="1" x14ac:dyDescent="0.25">
      <c r="D850" s="7"/>
      <c r="E850" s="7"/>
      <c r="F850" s="55"/>
    </row>
    <row r="851" spans="4:6" ht="15" customHeight="1" x14ac:dyDescent="0.25">
      <c r="D851" s="7"/>
      <c r="E851" s="7"/>
      <c r="F851" s="55"/>
    </row>
    <row r="852" spans="4:6" ht="15" customHeight="1" x14ac:dyDescent="0.25">
      <c r="D852" s="7"/>
      <c r="E852" s="7"/>
      <c r="F852" s="55"/>
    </row>
    <row r="853" spans="4:6" ht="15" customHeight="1" x14ac:dyDescent="0.25">
      <c r="D853" s="7"/>
      <c r="E853" s="7"/>
      <c r="F853" s="55"/>
    </row>
    <row r="854" spans="4:6" ht="15" customHeight="1" x14ac:dyDescent="0.25">
      <c r="D854" s="7"/>
      <c r="E854" s="7"/>
      <c r="F854" s="55"/>
    </row>
    <row r="855" spans="4:6" ht="15" customHeight="1" x14ac:dyDescent="0.25">
      <c r="D855" s="7"/>
      <c r="E855" s="7"/>
      <c r="F855" s="55"/>
    </row>
    <row r="856" spans="4:6" ht="15" customHeight="1" x14ac:dyDescent="0.25">
      <c r="D856" s="7"/>
      <c r="E856" s="7"/>
      <c r="F856" s="55"/>
    </row>
    <row r="857" spans="4:6" ht="15" customHeight="1" x14ac:dyDescent="0.25">
      <c r="D857" s="7"/>
      <c r="E857" s="7"/>
      <c r="F857" s="55"/>
    </row>
    <row r="858" spans="4:6" ht="15" customHeight="1" x14ac:dyDescent="0.25">
      <c r="D858" s="7"/>
      <c r="E858" s="7"/>
      <c r="F858" s="55"/>
    </row>
    <row r="859" spans="4:6" ht="15" customHeight="1" x14ac:dyDescent="0.25">
      <c r="D859" s="7"/>
      <c r="E859" s="7"/>
      <c r="F859" s="55"/>
    </row>
    <row r="860" spans="4:6" ht="15" customHeight="1" x14ac:dyDescent="0.25">
      <c r="D860" s="7"/>
      <c r="E860" s="7"/>
      <c r="F860" s="55"/>
    </row>
    <row r="861" spans="4:6" ht="15" customHeight="1" x14ac:dyDescent="0.25">
      <c r="D861" s="7"/>
      <c r="E861" s="7"/>
      <c r="F861" s="55"/>
    </row>
    <row r="862" spans="4:6" ht="15" customHeight="1" x14ac:dyDescent="0.25">
      <c r="D862" s="7"/>
      <c r="E862" s="7"/>
      <c r="F862" s="55"/>
    </row>
    <row r="863" spans="4:6" ht="15" customHeight="1" x14ac:dyDescent="0.25">
      <c r="D863" s="7"/>
      <c r="E863" s="7"/>
      <c r="F863" s="55"/>
    </row>
    <row r="864" spans="4:6" ht="15" customHeight="1" x14ac:dyDescent="0.25">
      <c r="D864" s="7"/>
      <c r="E864" s="7"/>
      <c r="F864" s="55"/>
    </row>
    <row r="865" spans="4:6" ht="15" customHeight="1" x14ac:dyDescent="0.25">
      <c r="D865" s="7"/>
      <c r="E865" s="7"/>
      <c r="F865" s="55"/>
    </row>
    <row r="866" spans="4:6" ht="15" customHeight="1" x14ac:dyDescent="0.25">
      <c r="D866" s="7"/>
      <c r="E866" s="7"/>
      <c r="F866" s="55"/>
    </row>
    <row r="867" spans="4:6" ht="15" customHeight="1" x14ac:dyDescent="0.25">
      <c r="D867" s="7"/>
      <c r="E867" s="7"/>
      <c r="F867" s="55"/>
    </row>
    <row r="868" spans="4:6" ht="15" customHeight="1" x14ac:dyDescent="0.25">
      <c r="D868" s="7"/>
      <c r="E868" s="7"/>
      <c r="F868" s="55"/>
    </row>
    <row r="869" spans="4:6" ht="15" customHeight="1" x14ac:dyDescent="0.25">
      <c r="D869" s="7"/>
      <c r="E869" s="7"/>
      <c r="F869" s="55"/>
    </row>
    <row r="870" spans="4:6" ht="15" customHeight="1" x14ac:dyDescent="0.25">
      <c r="D870" s="7"/>
      <c r="E870" s="7"/>
      <c r="F870" s="55"/>
    </row>
    <row r="871" spans="4:6" ht="15" customHeight="1" x14ac:dyDescent="0.25">
      <c r="D871" s="7"/>
      <c r="E871" s="7"/>
      <c r="F871" s="55"/>
    </row>
    <row r="872" spans="4:6" ht="15" customHeight="1" x14ac:dyDescent="0.25">
      <c r="D872" s="7"/>
      <c r="E872" s="7"/>
      <c r="F872" s="55"/>
    </row>
    <row r="873" spans="4:6" ht="15" customHeight="1" x14ac:dyDescent="0.25">
      <c r="D873" s="7"/>
      <c r="E873" s="7"/>
      <c r="F873" s="55"/>
    </row>
    <row r="874" spans="4:6" ht="15" customHeight="1" x14ac:dyDescent="0.25">
      <c r="D874" s="7"/>
      <c r="E874" s="7"/>
      <c r="F874" s="55"/>
    </row>
    <row r="875" spans="4:6" ht="15" customHeight="1" x14ac:dyDescent="0.25">
      <c r="D875" s="7"/>
      <c r="E875" s="7"/>
      <c r="F875" s="55"/>
    </row>
    <row r="876" spans="4:6" ht="15" customHeight="1" x14ac:dyDescent="0.25">
      <c r="D876" s="7"/>
      <c r="E876" s="7"/>
      <c r="F876" s="55"/>
    </row>
    <row r="877" spans="4:6" ht="15" customHeight="1" x14ac:dyDescent="0.25">
      <c r="D877" s="7"/>
      <c r="E877" s="7"/>
      <c r="F877" s="55"/>
    </row>
    <row r="878" spans="4:6" ht="15" customHeight="1" x14ac:dyDescent="0.25">
      <c r="D878" s="7"/>
      <c r="E878" s="7"/>
      <c r="F878" s="55"/>
    </row>
    <row r="879" spans="4:6" ht="15" customHeight="1" x14ac:dyDescent="0.25">
      <c r="D879" s="7"/>
      <c r="E879" s="7"/>
      <c r="F879" s="55"/>
    </row>
    <row r="880" spans="4:6" ht="15" customHeight="1" x14ac:dyDescent="0.25">
      <c r="D880" s="7"/>
      <c r="E880" s="7"/>
      <c r="F880" s="55"/>
    </row>
    <row r="881" spans="4:6" ht="15" customHeight="1" x14ac:dyDescent="0.25">
      <c r="D881" s="7"/>
      <c r="E881" s="7"/>
      <c r="F881" s="55"/>
    </row>
    <row r="882" spans="4:6" ht="15" customHeight="1" x14ac:dyDescent="0.25">
      <c r="D882" s="7"/>
      <c r="E882" s="7"/>
      <c r="F882" s="55"/>
    </row>
    <row r="883" spans="4:6" ht="15" customHeight="1" x14ac:dyDescent="0.25">
      <c r="D883" s="7"/>
      <c r="E883" s="7"/>
      <c r="F883" s="55"/>
    </row>
    <row r="884" spans="4:6" ht="15" customHeight="1" x14ac:dyDescent="0.25">
      <c r="D884" s="7"/>
      <c r="E884" s="7"/>
      <c r="F884" s="55"/>
    </row>
    <row r="885" spans="4:6" ht="15" customHeight="1" x14ac:dyDescent="0.25">
      <c r="D885" s="7"/>
      <c r="E885" s="7"/>
      <c r="F885" s="55"/>
    </row>
    <row r="886" spans="4:6" ht="15" customHeight="1" x14ac:dyDescent="0.25">
      <c r="D886" s="7"/>
      <c r="E886" s="7"/>
      <c r="F886" s="55"/>
    </row>
    <row r="887" spans="4:6" ht="15" customHeight="1" x14ac:dyDescent="0.25">
      <c r="D887" s="7"/>
      <c r="E887" s="7"/>
      <c r="F887" s="55"/>
    </row>
    <row r="888" spans="4:6" ht="15" customHeight="1" x14ac:dyDescent="0.25">
      <c r="D888" s="7"/>
      <c r="E888" s="7"/>
      <c r="F888" s="55"/>
    </row>
    <row r="889" spans="4:6" ht="15" customHeight="1" x14ac:dyDescent="0.25">
      <c r="D889" s="7"/>
      <c r="E889" s="7"/>
      <c r="F889" s="55"/>
    </row>
    <row r="890" spans="4:6" ht="15" customHeight="1" x14ac:dyDescent="0.25">
      <c r="D890" s="7"/>
      <c r="E890" s="7"/>
      <c r="F890" s="55"/>
    </row>
    <row r="891" spans="4:6" ht="15" customHeight="1" x14ac:dyDescent="0.25">
      <c r="D891" s="7"/>
      <c r="E891" s="7"/>
      <c r="F891" s="55"/>
    </row>
    <row r="892" spans="4:6" ht="15" customHeight="1" x14ac:dyDescent="0.25">
      <c r="D892" s="7"/>
      <c r="E892" s="7"/>
      <c r="F892" s="55"/>
    </row>
    <row r="893" spans="4:6" ht="15" customHeight="1" x14ac:dyDescent="0.25">
      <c r="D893" s="7"/>
      <c r="E893" s="7"/>
      <c r="F893" s="55"/>
    </row>
    <row r="894" spans="4:6" ht="15" customHeight="1" x14ac:dyDescent="0.25">
      <c r="D894" s="7"/>
      <c r="E894" s="7"/>
      <c r="F894" s="55"/>
    </row>
    <row r="895" spans="4:6" ht="15" customHeight="1" x14ac:dyDescent="0.25">
      <c r="D895" s="7"/>
      <c r="E895" s="7"/>
      <c r="F895" s="55"/>
    </row>
    <row r="896" spans="4:6" ht="15" customHeight="1" x14ac:dyDescent="0.25">
      <c r="D896" s="7"/>
      <c r="E896" s="7"/>
      <c r="F896" s="55"/>
    </row>
    <row r="897" spans="4:6" ht="15" customHeight="1" x14ac:dyDescent="0.25">
      <c r="D897" s="7"/>
      <c r="E897" s="7"/>
      <c r="F897" s="55"/>
    </row>
    <row r="898" spans="4:6" ht="15" customHeight="1" x14ac:dyDescent="0.25">
      <c r="D898" s="7"/>
      <c r="E898" s="7"/>
      <c r="F898" s="55"/>
    </row>
    <row r="899" spans="4:6" ht="15" customHeight="1" x14ac:dyDescent="0.25">
      <c r="D899" s="7"/>
      <c r="E899" s="7"/>
      <c r="F899" s="55"/>
    </row>
    <row r="900" spans="4:6" ht="15" customHeight="1" x14ac:dyDescent="0.25">
      <c r="D900" s="7"/>
      <c r="E900" s="7"/>
      <c r="F900" s="55"/>
    </row>
    <row r="901" spans="4:6" ht="15" customHeight="1" x14ac:dyDescent="0.25">
      <c r="D901" s="7"/>
      <c r="E901" s="7"/>
      <c r="F901" s="55"/>
    </row>
    <row r="902" spans="4:6" ht="15" customHeight="1" x14ac:dyDescent="0.25">
      <c r="D902" s="7"/>
      <c r="E902" s="7"/>
      <c r="F902" s="55"/>
    </row>
    <row r="903" spans="4:6" ht="15" customHeight="1" x14ac:dyDescent="0.25">
      <c r="D903" s="7"/>
      <c r="E903" s="7"/>
      <c r="F903" s="55"/>
    </row>
    <row r="904" spans="4:6" ht="15" customHeight="1" x14ac:dyDescent="0.25">
      <c r="D904" s="7"/>
      <c r="E904" s="7"/>
      <c r="F904" s="55"/>
    </row>
    <row r="905" spans="4:6" ht="15" customHeight="1" x14ac:dyDescent="0.25">
      <c r="D905" s="7"/>
      <c r="E905" s="7"/>
      <c r="F905" s="55"/>
    </row>
    <row r="906" spans="4:6" ht="15" customHeight="1" x14ac:dyDescent="0.25">
      <c r="D906" s="7"/>
      <c r="E906" s="7"/>
      <c r="F906" s="55"/>
    </row>
    <row r="907" spans="4:6" ht="15" customHeight="1" x14ac:dyDescent="0.25">
      <c r="D907" s="7"/>
      <c r="E907" s="7"/>
      <c r="F907" s="55"/>
    </row>
    <row r="908" spans="4:6" ht="15" customHeight="1" x14ac:dyDescent="0.25">
      <c r="D908" s="7"/>
      <c r="E908" s="7"/>
      <c r="F908" s="55"/>
    </row>
    <row r="909" spans="4:6" ht="15" customHeight="1" x14ac:dyDescent="0.25">
      <c r="D909" s="7"/>
      <c r="E909" s="7"/>
      <c r="F909" s="55"/>
    </row>
    <row r="910" spans="4:6" ht="15" customHeight="1" x14ac:dyDescent="0.25">
      <c r="D910" s="7"/>
      <c r="E910" s="7"/>
      <c r="F910" s="55"/>
    </row>
    <row r="911" spans="4:6" ht="15" customHeight="1" x14ac:dyDescent="0.25">
      <c r="D911" s="7"/>
      <c r="E911" s="7"/>
      <c r="F911" s="55"/>
    </row>
    <row r="912" spans="4:6" ht="15" customHeight="1" x14ac:dyDescent="0.25">
      <c r="D912" s="7"/>
      <c r="E912" s="7"/>
      <c r="F912" s="55"/>
    </row>
    <row r="913" spans="4:6" ht="15" customHeight="1" x14ac:dyDescent="0.25">
      <c r="D913" s="7"/>
      <c r="E913" s="7"/>
      <c r="F913" s="55"/>
    </row>
    <row r="914" spans="4:6" ht="15" customHeight="1" x14ac:dyDescent="0.25">
      <c r="D914" s="7"/>
      <c r="E914" s="7"/>
      <c r="F914" s="55"/>
    </row>
    <row r="915" spans="4:6" ht="15" customHeight="1" x14ac:dyDescent="0.25">
      <c r="D915" s="7"/>
      <c r="E915" s="7"/>
      <c r="F915" s="55"/>
    </row>
    <row r="916" spans="4:6" ht="15" customHeight="1" x14ac:dyDescent="0.25">
      <c r="D916" s="7"/>
      <c r="E916" s="7"/>
      <c r="F916" s="55"/>
    </row>
    <row r="917" spans="4:6" ht="15" customHeight="1" x14ac:dyDescent="0.25">
      <c r="D917" s="7"/>
      <c r="E917" s="7"/>
      <c r="F917" s="55"/>
    </row>
    <row r="918" spans="4:6" ht="15" customHeight="1" x14ac:dyDescent="0.25">
      <c r="D918" s="7"/>
      <c r="E918" s="7"/>
      <c r="F918" s="55"/>
    </row>
    <row r="919" spans="4:6" ht="15" customHeight="1" x14ac:dyDescent="0.25">
      <c r="D919" s="7"/>
      <c r="E919" s="7"/>
      <c r="F919" s="55"/>
    </row>
    <row r="920" spans="4:6" ht="15" customHeight="1" x14ac:dyDescent="0.25">
      <c r="D920" s="7"/>
      <c r="E920" s="7"/>
      <c r="F920" s="55"/>
    </row>
    <row r="921" spans="4:6" ht="15" customHeight="1" x14ac:dyDescent="0.25">
      <c r="D921" s="7"/>
      <c r="E921" s="7"/>
      <c r="F921" s="55"/>
    </row>
    <row r="922" spans="4:6" ht="15" customHeight="1" x14ac:dyDescent="0.25">
      <c r="D922" s="7"/>
      <c r="E922" s="7"/>
      <c r="F922" s="55"/>
    </row>
    <row r="923" spans="4:6" ht="15" customHeight="1" x14ac:dyDescent="0.25">
      <c r="D923" s="7"/>
      <c r="E923" s="7"/>
      <c r="F923" s="55"/>
    </row>
    <row r="924" spans="4:6" ht="15" customHeight="1" x14ac:dyDescent="0.25">
      <c r="D924" s="7"/>
      <c r="E924" s="7"/>
      <c r="F924" s="55"/>
    </row>
    <row r="925" spans="4:6" ht="15" customHeight="1" x14ac:dyDescent="0.25">
      <c r="D925" s="7"/>
      <c r="E925" s="7"/>
      <c r="F925" s="55"/>
    </row>
    <row r="926" spans="4:6" ht="15" customHeight="1" x14ac:dyDescent="0.25">
      <c r="D926" s="7"/>
      <c r="E926" s="7"/>
      <c r="F926" s="55"/>
    </row>
    <row r="927" spans="4:6" ht="15" customHeight="1" x14ac:dyDescent="0.25">
      <c r="D927" s="7"/>
      <c r="E927" s="7"/>
      <c r="F927" s="55"/>
    </row>
    <row r="928" spans="4:6" ht="15" customHeight="1" x14ac:dyDescent="0.25">
      <c r="D928" s="7"/>
      <c r="E928" s="7"/>
      <c r="F928" s="55"/>
    </row>
    <row r="929" spans="4:6" ht="15" customHeight="1" x14ac:dyDescent="0.25">
      <c r="D929" s="7"/>
      <c r="E929" s="7"/>
      <c r="F929" s="55"/>
    </row>
    <row r="930" spans="4:6" ht="15" customHeight="1" x14ac:dyDescent="0.25">
      <c r="D930" s="7"/>
      <c r="E930" s="7"/>
      <c r="F930" s="55"/>
    </row>
    <row r="931" spans="4:6" ht="15" customHeight="1" x14ac:dyDescent="0.25">
      <c r="D931" s="7"/>
      <c r="E931" s="7"/>
      <c r="F931" s="55"/>
    </row>
    <row r="932" spans="4:6" ht="15" customHeight="1" x14ac:dyDescent="0.25">
      <c r="D932" s="7"/>
      <c r="E932" s="7"/>
      <c r="F932" s="55"/>
    </row>
    <row r="933" spans="4:6" ht="15" customHeight="1" x14ac:dyDescent="0.25">
      <c r="D933" s="7"/>
      <c r="E933" s="7"/>
      <c r="F933" s="55"/>
    </row>
    <row r="934" spans="4:6" ht="15" customHeight="1" x14ac:dyDescent="0.25">
      <c r="D934" s="7"/>
      <c r="E934" s="7"/>
      <c r="F934" s="55"/>
    </row>
    <row r="935" spans="4:6" ht="15" customHeight="1" x14ac:dyDescent="0.25">
      <c r="D935" s="7"/>
      <c r="E935" s="7"/>
      <c r="F935" s="55"/>
    </row>
    <row r="936" spans="4:6" ht="15" customHeight="1" x14ac:dyDescent="0.25">
      <c r="D936" s="7"/>
      <c r="E936" s="7"/>
      <c r="F936" s="55"/>
    </row>
    <row r="937" spans="4:6" ht="15" customHeight="1" x14ac:dyDescent="0.25">
      <c r="D937" s="7"/>
      <c r="E937" s="7"/>
      <c r="F937" s="55"/>
    </row>
    <row r="938" spans="4:6" ht="15" customHeight="1" x14ac:dyDescent="0.25">
      <c r="D938" s="7"/>
      <c r="E938" s="7"/>
      <c r="F938" s="55"/>
    </row>
    <row r="939" spans="4:6" ht="15" customHeight="1" x14ac:dyDescent="0.25">
      <c r="D939" s="7"/>
      <c r="E939" s="7"/>
      <c r="F939" s="55"/>
    </row>
    <row r="940" spans="4:6" ht="15" customHeight="1" x14ac:dyDescent="0.25">
      <c r="D940" s="7"/>
      <c r="E940" s="7"/>
      <c r="F940" s="55"/>
    </row>
    <row r="941" spans="4:6" ht="15" customHeight="1" x14ac:dyDescent="0.25">
      <c r="D941" s="7"/>
      <c r="E941" s="7"/>
      <c r="F941" s="55"/>
    </row>
    <row r="942" spans="4:6" ht="15" customHeight="1" x14ac:dyDescent="0.25">
      <c r="D942" s="7"/>
      <c r="E942" s="7"/>
      <c r="F942" s="55"/>
    </row>
    <row r="943" spans="4:6" ht="15" customHeight="1" x14ac:dyDescent="0.25">
      <c r="D943" s="7"/>
      <c r="E943" s="7"/>
      <c r="F943" s="55"/>
    </row>
    <row r="944" spans="4:6" ht="15" customHeight="1" x14ac:dyDescent="0.25">
      <c r="D944" s="7"/>
      <c r="E944" s="7"/>
      <c r="F944" s="55"/>
    </row>
    <row r="945" spans="4:6" ht="15" customHeight="1" x14ac:dyDescent="0.25">
      <c r="D945" s="7"/>
      <c r="E945" s="7"/>
      <c r="F945" s="55"/>
    </row>
    <row r="946" spans="4:6" ht="15" customHeight="1" x14ac:dyDescent="0.25">
      <c r="D946" s="7"/>
      <c r="E946" s="7"/>
      <c r="F946" s="55"/>
    </row>
    <row r="947" spans="4:6" ht="15" customHeight="1" x14ac:dyDescent="0.25">
      <c r="D947" s="7"/>
      <c r="E947" s="7"/>
      <c r="F947" s="55"/>
    </row>
    <row r="948" spans="4:6" ht="15" customHeight="1" x14ac:dyDescent="0.25">
      <c r="D948" s="7"/>
      <c r="E948" s="7"/>
      <c r="F948" s="55"/>
    </row>
    <row r="949" spans="4:6" ht="15" customHeight="1" x14ac:dyDescent="0.25">
      <c r="D949" s="7"/>
      <c r="E949" s="7"/>
      <c r="F949" s="55"/>
    </row>
    <row r="950" spans="4:6" ht="15" customHeight="1" x14ac:dyDescent="0.25">
      <c r="D950" s="7"/>
      <c r="E950" s="7"/>
      <c r="F950" s="55"/>
    </row>
    <row r="951" spans="4:6" ht="15" customHeight="1" x14ac:dyDescent="0.25">
      <c r="D951" s="7"/>
      <c r="E951" s="7"/>
      <c r="F951" s="55"/>
    </row>
    <row r="952" spans="4:6" ht="15" customHeight="1" x14ac:dyDescent="0.25">
      <c r="D952" s="7"/>
      <c r="E952" s="7"/>
      <c r="F952" s="55"/>
    </row>
    <row r="953" spans="4:6" ht="15" customHeight="1" x14ac:dyDescent="0.25">
      <c r="D953" s="7"/>
      <c r="E953" s="7"/>
      <c r="F953" s="55"/>
    </row>
    <row r="954" spans="4:6" ht="15" customHeight="1" x14ac:dyDescent="0.25">
      <c r="D954" s="7"/>
      <c r="E954" s="7"/>
      <c r="F954" s="55"/>
    </row>
    <row r="955" spans="4:6" ht="15" customHeight="1" x14ac:dyDescent="0.25">
      <c r="D955" s="7"/>
      <c r="E955" s="7"/>
      <c r="F955" s="55"/>
    </row>
    <row r="956" spans="4:6" ht="15" customHeight="1" x14ac:dyDescent="0.25">
      <c r="D956" s="7"/>
      <c r="E956" s="7"/>
      <c r="F956" s="55"/>
    </row>
    <row r="957" spans="4:6" ht="15" customHeight="1" x14ac:dyDescent="0.25">
      <c r="D957" s="7"/>
      <c r="E957" s="7"/>
      <c r="F957" s="55"/>
    </row>
    <row r="958" spans="4:6" ht="15" customHeight="1" x14ac:dyDescent="0.25">
      <c r="D958" s="7"/>
      <c r="E958" s="7"/>
      <c r="F958" s="55"/>
    </row>
    <row r="959" spans="4:6" ht="15" customHeight="1" x14ac:dyDescent="0.25">
      <c r="D959" s="7"/>
      <c r="E959" s="7"/>
      <c r="F959" s="55"/>
    </row>
    <row r="960" spans="4:6" ht="15" customHeight="1" x14ac:dyDescent="0.25">
      <c r="D960" s="7"/>
      <c r="E960" s="7"/>
      <c r="F960" s="55"/>
    </row>
    <row r="961" spans="4:6" ht="15" customHeight="1" x14ac:dyDescent="0.25">
      <c r="D961" s="7"/>
      <c r="E961" s="7"/>
      <c r="F961" s="55"/>
    </row>
    <row r="962" spans="4:6" ht="15" customHeight="1" x14ac:dyDescent="0.25">
      <c r="D962" s="7"/>
      <c r="E962" s="7"/>
      <c r="F962" s="55"/>
    </row>
    <row r="963" spans="4:6" ht="15" customHeight="1" x14ac:dyDescent="0.25">
      <c r="D963" s="7"/>
      <c r="E963" s="7"/>
      <c r="F963" s="55"/>
    </row>
    <row r="964" spans="4:6" ht="15" customHeight="1" x14ac:dyDescent="0.25">
      <c r="D964" s="7"/>
      <c r="E964" s="7"/>
      <c r="F964" s="55"/>
    </row>
    <row r="965" spans="4:6" ht="15" customHeight="1" x14ac:dyDescent="0.25">
      <c r="D965" s="7"/>
      <c r="E965" s="7"/>
      <c r="F965" s="55"/>
    </row>
    <row r="966" spans="4:6" ht="15" customHeight="1" x14ac:dyDescent="0.25">
      <c r="D966" s="7"/>
      <c r="E966" s="7"/>
      <c r="F966" s="55"/>
    </row>
    <row r="967" spans="4:6" ht="15" customHeight="1" x14ac:dyDescent="0.25">
      <c r="D967" s="7"/>
      <c r="E967" s="7"/>
      <c r="F967" s="55"/>
    </row>
    <row r="968" spans="4:6" ht="15" customHeight="1" x14ac:dyDescent="0.25">
      <c r="D968" s="7"/>
      <c r="E968" s="7"/>
      <c r="F968" s="55"/>
    </row>
    <row r="969" spans="4:6" ht="15" customHeight="1" x14ac:dyDescent="0.25">
      <c r="D969" s="7"/>
      <c r="E969" s="7"/>
      <c r="F969" s="55"/>
    </row>
    <row r="970" spans="4:6" ht="15" customHeight="1" x14ac:dyDescent="0.25">
      <c r="D970" s="7"/>
      <c r="E970" s="7"/>
      <c r="F970" s="55"/>
    </row>
    <row r="971" spans="4:6" ht="15" customHeight="1" x14ac:dyDescent="0.25">
      <c r="D971" s="7"/>
      <c r="E971" s="7"/>
      <c r="F971" s="55"/>
    </row>
    <row r="972" spans="4:6" ht="15" customHeight="1" x14ac:dyDescent="0.25">
      <c r="D972" s="7"/>
      <c r="E972" s="7"/>
      <c r="F972" s="55"/>
    </row>
    <row r="973" spans="4:6" ht="15" customHeight="1" x14ac:dyDescent="0.25">
      <c r="D973" s="7"/>
      <c r="E973" s="7"/>
      <c r="F973" s="55"/>
    </row>
    <row r="974" spans="4:6" ht="15" customHeight="1" x14ac:dyDescent="0.25">
      <c r="D974" s="7"/>
      <c r="E974" s="7"/>
      <c r="F974" s="55"/>
    </row>
    <row r="975" spans="4:6" ht="15" customHeight="1" x14ac:dyDescent="0.25">
      <c r="D975" s="7"/>
      <c r="E975" s="7"/>
      <c r="F975" s="55"/>
    </row>
    <row r="976" spans="4:6" ht="15" customHeight="1" x14ac:dyDescent="0.25">
      <c r="D976" s="7"/>
      <c r="E976" s="7"/>
      <c r="F976" s="55"/>
    </row>
    <row r="977" spans="4:6" ht="15" customHeight="1" x14ac:dyDescent="0.25">
      <c r="D977" s="7"/>
      <c r="E977" s="7"/>
      <c r="F977" s="55"/>
    </row>
    <row r="978" spans="4:6" ht="15" customHeight="1" x14ac:dyDescent="0.25">
      <c r="D978" s="7"/>
      <c r="E978" s="7"/>
      <c r="F978" s="55"/>
    </row>
    <row r="979" spans="4:6" ht="15" customHeight="1" x14ac:dyDescent="0.25">
      <c r="D979" s="7"/>
      <c r="E979" s="7"/>
      <c r="F979" s="55"/>
    </row>
    <row r="980" spans="4:6" ht="15" customHeight="1" x14ac:dyDescent="0.25">
      <c r="D980" s="7"/>
      <c r="E980" s="7"/>
      <c r="F980" s="55"/>
    </row>
    <row r="981" spans="4:6" ht="15" customHeight="1" x14ac:dyDescent="0.25">
      <c r="D981" s="7"/>
      <c r="E981" s="7"/>
      <c r="F981" s="55"/>
    </row>
    <row r="982" spans="4:6" ht="15" customHeight="1" x14ac:dyDescent="0.25">
      <c r="D982" s="7"/>
      <c r="E982" s="7"/>
      <c r="F982" s="55"/>
    </row>
    <row r="983" spans="4:6" ht="15" customHeight="1" x14ac:dyDescent="0.25">
      <c r="D983" s="7"/>
      <c r="E983" s="7"/>
      <c r="F983" s="55"/>
    </row>
    <row r="984" spans="4:6" ht="15" customHeight="1" x14ac:dyDescent="0.25">
      <c r="D984" s="7"/>
      <c r="E984" s="7"/>
      <c r="F984" s="55"/>
    </row>
    <row r="985" spans="4:6" ht="15" customHeight="1" x14ac:dyDescent="0.25">
      <c r="D985" s="7"/>
      <c r="E985" s="7"/>
      <c r="F985" s="55"/>
    </row>
    <row r="986" spans="4:6" ht="15" customHeight="1" x14ac:dyDescent="0.25">
      <c r="D986" s="7"/>
      <c r="E986" s="7"/>
      <c r="F986" s="55"/>
    </row>
    <row r="987" spans="4:6" ht="15" customHeight="1" x14ac:dyDescent="0.25">
      <c r="D987" s="7"/>
      <c r="E987" s="7"/>
      <c r="F987" s="55"/>
    </row>
    <row r="988" spans="4:6" ht="15" customHeight="1" x14ac:dyDescent="0.25">
      <c r="D988" s="7"/>
      <c r="E988" s="7"/>
      <c r="F988" s="55"/>
    </row>
    <row r="989" spans="4:6" ht="15" customHeight="1" x14ac:dyDescent="0.25">
      <c r="D989" s="7"/>
      <c r="E989" s="7"/>
      <c r="F989" s="55"/>
    </row>
    <row r="990" spans="4:6" ht="15" customHeight="1" x14ac:dyDescent="0.25">
      <c r="D990" s="7"/>
      <c r="E990" s="7"/>
      <c r="F990" s="55"/>
    </row>
    <row r="991" spans="4:6" ht="15" customHeight="1" x14ac:dyDescent="0.25">
      <c r="D991" s="7"/>
      <c r="E991" s="7"/>
      <c r="F991" s="55"/>
    </row>
    <row r="992" spans="4:6" ht="15" customHeight="1" x14ac:dyDescent="0.25">
      <c r="D992" s="7"/>
      <c r="E992" s="7"/>
      <c r="F992" s="55"/>
    </row>
    <row r="993" spans="4:6" ht="15" customHeight="1" x14ac:dyDescent="0.25">
      <c r="D993" s="7"/>
      <c r="E993" s="7"/>
      <c r="F993" s="55"/>
    </row>
    <row r="994" spans="4:6" ht="15" customHeight="1" x14ac:dyDescent="0.25">
      <c r="D994" s="7"/>
      <c r="E994" s="7"/>
      <c r="F994" s="55"/>
    </row>
    <row r="995" spans="4:6" ht="15" customHeight="1" x14ac:dyDescent="0.25">
      <c r="D995" s="7"/>
      <c r="E995" s="7"/>
      <c r="F995" s="55"/>
    </row>
    <row r="996" spans="4:6" ht="15" customHeight="1" x14ac:dyDescent="0.25">
      <c r="D996" s="7"/>
      <c r="E996" s="7"/>
      <c r="F996" s="55"/>
    </row>
    <row r="997" spans="4:6" ht="15" customHeight="1" x14ac:dyDescent="0.25">
      <c r="D997" s="7"/>
      <c r="E997" s="7"/>
      <c r="F997" s="55"/>
    </row>
    <row r="998" spans="4:6" ht="15" customHeight="1" x14ac:dyDescent="0.25">
      <c r="D998" s="7"/>
      <c r="E998" s="7"/>
      <c r="F998" s="55"/>
    </row>
    <row r="999" spans="4:6" ht="15" customHeight="1" x14ac:dyDescent="0.25">
      <c r="D999" s="7"/>
      <c r="E999" s="7"/>
      <c r="F999" s="55"/>
    </row>
    <row r="1000" spans="4:6" ht="15" customHeight="1" x14ac:dyDescent="0.25">
      <c r="D1000" s="7"/>
      <c r="E1000" s="7"/>
      <c r="F1000" s="55"/>
    </row>
    <row r="1001" spans="4:6" ht="15" customHeight="1" x14ac:dyDescent="0.25">
      <c r="D1001" s="7"/>
      <c r="E1001" s="7"/>
      <c r="F1001" s="55"/>
    </row>
    <row r="1002" spans="4:6" ht="15" customHeight="1" x14ac:dyDescent="0.25">
      <c r="D1002" s="7"/>
      <c r="E1002" s="7"/>
      <c r="F1002" s="55"/>
    </row>
    <row r="1003" spans="4:6" ht="15" customHeight="1" x14ac:dyDescent="0.25">
      <c r="D1003" s="7"/>
      <c r="E1003" s="7"/>
      <c r="F1003" s="55"/>
    </row>
    <row r="1004" spans="4:6" ht="15" customHeight="1" x14ac:dyDescent="0.25">
      <c r="D1004" s="7"/>
      <c r="E1004" s="7"/>
      <c r="F1004" s="55"/>
    </row>
    <row r="1005" spans="4:6" ht="15" customHeight="1" x14ac:dyDescent="0.25">
      <c r="D1005" s="7"/>
      <c r="E1005" s="7"/>
      <c r="F1005" s="55"/>
    </row>
    <row r="1006" spans="4:6" ht="15" customHeight="1" x14ac:dyDescent="0.25">
      <c r="D1006" s="7"/>
      <c r="E1006" s="7"/>
      <c r="F1006" s="55"/>
    </row>
    <row r="1007" spans="4:6" ht="15" customHeight="1" x14ac:dyDescent="0.25">
      <c r="D1007" s="7"/>
      <c r="E1007" s="7"/>
      <c r="F1007" s="55"/>
    </row>
    <row r="1008" spans="4:6" ht="15" customHeight="1" x14ac:dyDescent="0.25">
      <c r="D1008" s="7"/>
      <c r="E1008" s="7"/>
      <c r="F1008" s="55"/>
    </row>
    <row r="1009" spans="2:6" ht="15" customHeight="1" x14ac:dyDescent="0.25">
      <c r="B1009" s="1"/>
      <c r="C1009" s="1"/>
      <c r="D1009" s="7"/>
      <c r="E1009" s="7"/>
      <c r="F1009" s="55"/>
    </row>
    <row r="1010" spans="2:6" ht="15" customHeight="1" x14ac:dyDescent="0.25">
      <c r="B1010" s="1"/>
      <c r="C1010" s="1"/>
      <c r="D1010" s="7"/>
      <c r="E1010" s="7"/>
      <c r="F1010" s="55"/>
    </row>
    <row r="1011" spans="2:6" ht="15" customHeight="1" x14ac:dyDescent="0.25">
      <c r="B1011" s="1"/>
      <c r="C1011" s="1"/>
      <c r="D1011" s="7"/>
      <c r="E1011" s="7"/>
      <c r="F1011" s="55"/>
    </row>
    <row r="1012" spans="2:6" ht="15" customHeight="1" x14ac:dyDescent="0.25">
      <c r="B1012" s="1"/>
      <c r="C1012" s="1"/>
      <c r="D1012" s="7"/>
      <c r="E1012" s="7"/>
      <c r="F1012" s="55"/>
    </row>
    <row r="1013" spans="2:6" ht="15" customHeight="1" x14ac:dyDescent="0.25">
      <c r="B1013" s="1"/>
      <c r="C1013" s="1"/>
      <c r="D1013" s="7"/>
      <c r="E1013" s="7"/>
      <c r="F1013" s="55"/>
    </row>
    <row r="1014" spans="2:6" ht="15" customHeight="1" x14ac:dyDescent="0.25">
      <c r="B1014" s="1"/>
      <c r="C1014" s="1"/>
      <c r="D1014" s="7"/>
      <c r="E1014" s="7"/>
      <c r="F1014" s="55"/>
    </row>
    <row r="1015" spans="2:6" ht="15" customHeight="1" x14ac:dyDescent="0.25">
      <c r="B1015" s="1"/>
      <c r="C1015" s="1"/>
      <c r="D1015" s="7"/>
      <c r="E1015" s="7"/>
      <c r="F1015" s="55"/>
    </row>
    <row r="1016" spans="2:6" ht="15" customHeight="1" x14ac:dyDescent="0.25">
      <c r="B1016" s="1"/>
      <c r="C1016" s="1"/>
      <c r="D1016" s="7"/>
      <c r="E1016" s="7"/>
      <c r="F1016" s="55"/>
    </row>
    <row r="1017" spans="2:6" ht="15" customHeight="1" x14ac:dyDescent="0.25">
      <c r="B1017" s="1"/>
      <c r="C1017" s="1"/>
      <c r="D1017" s="7"/>
      <c r="E1017" s="7"/>
      <c r="F1017" s="55"/>
    </row>
    <row r="1018" spans="2:6" ht="15" customHeight="1" x14ac:dyDescent="0.25">
      <c r="B1018" s="1"/>
      <c r="C1018" s="1"/>
      <c r="D1018" s="7"/>
      <c r="E1018" s="7"/>
      <c r="F1018" s="55"/>
    </row>
    <row r="1019" spans="2:6" ht="15" customHeight="1" x14ac:dyDescent="0.25">
      <c r="B1019" s="1"/>
      <c r="C1019" s="1"/>
      <c r="D1019" s="7"/>
      <c r="E1019" s="7"/>
      <c r="F1019" s="55"/>
    </row>
    <row r="1020" spans="2:6" ht="15" customHeight="1" x14ac:dyDescent="0.25">
      <c r="B1020" s="1"/>
      <c r="C1020" s="1"/>
      <c r="D1020" s="7"/>
      <c r="E1020" s="7"/>
      <c r="F1020" s="55"/>
    </row>
    <row r="1021" spans="2:6" ht="15" customHeight="1" x14ac:dyDescent="0.25">
      <c r="B1021" s="1"/>
      <c r="C1021" s="1"/>
      <c r="D1021" s="7"/>
      <c r="E1021" s="7"/>
      <c r="F1021" s="55"/>
    </row>
    <row r="1022" spans="2:6" ht="15" customHeight="1" x14ac:dyDescent="0.25">
      <c r="B1022" s="1"/>
      <c r="C1022" s="1"/>
      <c r="D1022" s="7"/>
      <c r="E1022" s="7"/>
      <c r="F1022" s="55"/>
    </row>
    <row r="1023" spans="2:6" ht="15" customHeight="1" x14ac:dyDescent="0.25">
      <c r="B1023" s="1"/>
      <c r="C1023" s="1"/>
      <c r="D1023" s="7"/>
      <c r="E1023" s="7"/>
      <c r="F1023" s="55"/>
    </row>
    <row r="1024" spans="2:6" ht="15" customHeight="1" x14ac:dyDescent="0.25">
      <c r="B1024" s="1"/>
      <c r="C1024" s="1"/>
      <c r="D1024" s="7"/>
      <c r="E1024" s="7"/>
      <c r="F1024" s="55"/>
    </row>
    <row r="1025" spans="2:6" ht="15" customHeight="1" x14ac:dyDescent="0.25">
      <c r="B1025" s="1"/>
      <c r="C1025" s="1"/>
      <c r="D1025" s="7"/>
      <c r="E1025" s="7"/>
      <c r="F1025" s="55"/>
    </row>
    <row r="1026" spans="2:6" ht="15" customHeight="1" x14ac:dyDescent="0.25">
      <c r="B1026" s="1"/>
      <c r="C1026" s="1"/>
      <c r="D1026" s="7"/>
      <c r="E1026" s="7"/>
      <c r="F1026" s="55"/>
    </row>
    <row r="1027" spans="2:6" ht="15" customHeight="1" x14ac:dyDescent="0.25">
      <c r="B1027" s="1"/>
      <c r="C1027" s="1"/>
      <c r="D1027" s="7"/>
      <c r="E1027" s="7"/>
      <c r="F1027" s="55"/>
    </row>
    <row r="1028" spans="2:6" ht="15" customHeight="1" x14ac:dyDescent="0.25">
      <c r="B1028" s="1"/>
      <c r="C1028" s="1"/>
      <c r="D1028" s="7"/>
      <c r="E1028" s="7"/>
      <c r="F1028" s="55"/>
    </row>
    <row r="1029" spans="2:6" ht="15" customHeight="1" x14ac:dyDescent="0.25">
      <c r="B1029" s="1"/>
      <c r="C1029" s="1"/>
      <c r="D1029" s="7"/>
      <c r="E1029" s="7"/>
      <c r="F1029" s="55"/>
    </row>
    <row r="1030" spans="2:6" ht="15" customHeight="1" x14ac:dyDescent="0.25">
      <c r="B1030" s="1"/>
      <c r="C1030" s="1"/>
      <c r="D1030" s="7"/>
      <c r="E1030" s="7"/>
      <c r="F1030" s="55"/>
    </row>
    <row r="1031" spans="2:6" ht="15" customHeight="1" x14ac:dyDescent="0.25">
      <c r="B1031" s="1"/>
      <c r="C1031" s="1"/>
      <c r="D1031" s="7"/>
      <c r="E1031" s="7"/>
      <c r="F1031" s="55"/>
    </row>
    <row r="1032" spans="2:6" ht="15" customHeight="1" x14ac:dyDescent="0.25">
      <c r="B1032" s="1"/>
      <c r="C1032" s="1"/>
      <c r="D1032" s="7"/>
      <c r="E1032" s="7"/>
      <c r="F1032" s="55"/>
    </row>
    <row r="1033" spans="2:6" ht="15" customHeight="1" x14ac:dyDescent="0.25">
      <c r="B1033" s="1"/>
      <c r="C1033" s="1"/>
      <c r="D1033" s="7"/>
      <c r="E1033" s="7"/>
      <c r="F1033" s="55"/>
    </row>
    <row r="1034" spans="2:6" ht="15" customHeight="1" x14ac:dyDescent="0.25">
      <c r="B1034" s="1"/>
      <c r="C1034" s="1"/>
      <c r="D1034" s="7"/>
      <c r="E1034" s="7"/>
      <c r="F1034" s="55"/>
    </row>
    <row r="1035" spans="2:6" ht="15" customHeight="1" x14ac:dyDescent="0.25">
      <c r="B1035" s="1"/>
      <c r="C1035" s="1"/>
      <c r="D1035" s="7"/>
      <c r="E1035" s="7"/>
      <c r="F1035" s="55"/>
    </row>
    <row r="1036" spans="2:6" ht="15" customHeight="1" x14ac:dyDescent="0.25">
      <c r="B1036" s="1"/>
      <c r="C1036" s="1"/>
      <c r="D1036" s="7"/>
      <c r="E1036" s="7"/>
      <c r="F1036" s="55"/>
    </row>
    <row r="1037" spans="2:6" ht="15" customHeight="1" x14ac:dyDescent="0.25">
      <c r="B1037" s="1"/>
      <c r="C1037" s="1"/>
      <c r="D1037" s="7"/>
      <c r="E1037" s="7"/>
      <c r="F1037" s="55"/>
    </row>
    <row r="1038" spans="2:6" ht="15" customHeight="1" x14ac:dyDescent="0.25">
      <c r="B1038" s="1"/>
      <c r="C1038" s="1"/>
      <c r="D1038" s="7"/>
      <c r="E1038" s="7"/>
      <c r="F1038" s="55"/>
    </row>
    <row r="1039" spans="2:6" ht="15" customHeight="1" x14ac:dyDescent="0.25">
      <c r="B1039" s="1"/>
      <c r="C1039" s="1"/>
      <c r="D1039" s="7"/>
      <c r="E1039" s="7"/>
      <c r="F1039" s="55"/>
    </row>
    <row r="1040" spans="2:6" ht="15" customHeight="1" x14ac:dyDescent="0.25">
      <c r="B1040" s="1"/>
      <c r="C1040" s="1"/>
      <c r="D1040" s="7"/>
      <c r="E1040" s="7"/>
      <c r="F1040" s="55"/>
    </row>
    <row r="1041" spans="2:6" ht="15" customHeight="1" x14ac:dyDescent="0.25">
      <c r="B1041" s="1"/>
      <c r="C1041" s="1"/>
      <c r="D1041" s="7"/>
      <c r="E1041" s="7"/>
      <c r="F1041" s="55"/>
    </row>
    <row r="1042" spans="2:6" ht="15" customHeight="1" x14ac:dyDescent="0.25">
      <c r="B1042" s="1"/>
      <c r="C1042" s="1"/>
      <c r="D1042" s="7"/>
      <c r="E1042" s="7"/>
      <c r="F1042" s="55"/>
    </row>
    <row r="1043" spans="2:6" ht="15" customHeight="1" x14ac:dyDescent="0.25">
      <c r="B1043" s="1"/>
      <c r="C1043" s="1"/>
      <c r="D1043" s="7"/>
      <c r="E1043" s="7"/>
      <c r="F1043" s="55"/>
    </row>
    <row r="1044" spans="2:6" ht="15" customHeight="1" x14ac:dyDescent="0.25">
      <c r="B1044" s="1"/>
      <c r="C1044" s="1"/>
      <c r="D1044" s="7"/>
      <c r="E1044" s="7"/>
      <c r="F1044" s="55"/>
    </row>
    <row r="1045" spans="2:6" ht="15" customHeight="1" x14ac:dyDescent="0.25">
      <c r="B1045" s="1"/>
      <c r="C1045" s="1"/>
      <c r="D1045" s="7"/>
      <c r="E1045" s="7"/>
      <c r="F1045" s="55"/>
    </row>
    <row r="1046" spans="2:6" ht="15" customHeight="1" x14ac:dyDescent="0.25">
      <c r="B1046" s="1"/>
      <c r="C1046" s="1"/>
      <c r="D1046" s="7"/>
      <c r="E1046" s="7"/>
      <c r="F1046" s="55"/>
    </row>
    <row r="1047" spans="2:6" ht="15" customHeight="1" x14ac:dyDescent="0.25">
      <c r="B1047" s="1"/>
      <c r="C1047" s="1"/>
      <c r="D1047" s="7"/>
      <c r="E1047" s="7"/>
      <c r="F1047" s="55"/>
    </row>
    <row r="1048" spans="2:6" ht="15" customHeight="1" x14ac:dyDescent="0.25">
      <c r="B1048" s="1"/>
      <c r="C1048" s="1"/>
      <c r="D1048" s="7"/>
      <c r="E1048" s="7"/>
      <c r="F1048" s="55"/>
    </row>
    <row r="1049" spans="2:6" ht="15" customHeight="1" x14ac:dyDescent="0.25">
      <c r="B1049" s="1"/>
      <c r="C1049" s="1"/>
      <c r="D1049" s="7"/>
      <c r="E1049" s="7"/>
      <c r="F1049" s="55"/>
    </row>
    <row r="1050" spans="2:6" ht="15" customHeight="1" x14ac:dyDescent="0.25">
      <c r="B1050" s="1"/>
      <c r="C1050" s="1"/>
      <c r="D1050" s="7"/>
      <c r="E1050" s="7"/>
      <c r="F1050" s="55"/>
    </row>
    <row r="1051" spans="2:6" ht="15" customHeight="1" x14ac:dyDescent="0.25">
      <c r="B1051" s="1"/>
      <c r="C1051" s="1"/>
      <c r="D1051" s="7"/>
      <c r="E1051" s="7"/>
      <c r="F1051" s="55"/>
    </row>
    <row r="1052" spans="2:6" ht="15" customHeight="1" x14ac:dyDescent="0.25">
      <c r="B1052" s="1"/>
      <c r="C1052" s="1"/>
      <c r="D1052" s="7"/>
      <c r="E1052" s="7"/>
      <c r="F1052" s="55"/>
    </row>
    <row r="1053" spans="2:6" ht="15" customHeight="1" x14ac:dyDescent="0.25">
      <c r="B1053" s="1"/>
      <c r="C1053" s="1"/>
      <c r="D1053" s="7"/>
      <c r="E1053" s="7"/>
      <c r="F1053" s="55"/>
    </row>
    <row r="1054" spans="2:6" ht="15" customHeight="1" x14ac:dyDescent="0.25">
      <c r="B1054" s="1"/>
      <c r="C1054" s="1"/>
      <c r="D1054" s="7"/>
      <c r="E1054" s="7"/>
      <c r="F1054" s="55"/>
    </row>
    <row r="1055" spans="2:6" ht="15" customHeight="1" x14ac:dyDescent="0.25">
      <c r="B1055" s="1"/>
      <c r="C1055" s="1"/>
      <c r="D1055" s="7"/>
      <c r="E1055" s="7"/>
      <c r="F1055" s="55"/>
    </row>
    <row r="1056" spans="2:6" ht="15" customHeight="1" x14ac:dyDescent="0.25">
      <c r="B1056" s="1"/>
      <c r="C1056" s="1"/>
      <c r="D1056" s="7"/>
      <c r="E1056" s="7"/>
      <c r="F1056" s="55"/>
    </row>
    <row r="1057" spans="2:6" ht="15" customHeight="1" x14ac:dyDescent="0.25">
      <c r="B1057" s="1"/>
      <c r="C1057" s="1"/>
      <c r="D1057" s="7"/>
      <c r="E1057" s="7"/>
      <c r="F1057" s="55"/>
    </row>
    <row r="1058" spans="2:6" ht="15" customHeight="1" x14ac:dyDescent="0.25">
      <c r="B1058" s="1"/>
      <c r="C1058" s="1"/>
      <c r="D1058" s="7"/>
      <c r="E1058" s="7"/>
      <c r="F1058" s="55"/>
    </row>
    <row r="1059" spans="2:6" ht="15" customHeight="1" x14ac:dyDescent="0.25">
      <c r="B1059" s="1"/>
      <c r="C1059" s="1"/>
      <c r="D1059" s="7"/>
      <c r="E1059" s="7"/>
      <c r="F1059" s="55"/>
    </row>
    <row r="1060" spans="2:6" ht="15" customHeight="1" x14ac:dyDescent="0.25">
      <c r="B1060" s="1"/>
      <c r="C1060" s="1"/>
      <c r="D1060" s="7"/>
      <c r="E1060" s="7"/>
      <c r="F1060" s="55"/>
    </row>
    <row r="1061" spans="2:6" ht="15" customHeight="1" x14ac:dyDescent="0.25">
      <c r="B1061" s="1"/>
      <c r="C1061" s="1"/>
      <c r="D1061" s="7"/>
      <c r="E1061" s="7"/>
      <c r="F1061" s="55"/>
    </row>
    <row r="1062" spans="2:6" ht="15" customHeight="1" x14ac:dyDescent="0.25">
      <c r="B1062" s="1"/>
      <c r="C1062" s="1"/>
      <c r="D1062" s="7"/>
      <c r="E1062" s="7"/>
      <c r="F1062" s="55"/>
    </row>
    <row r="1063" spans="2:6" ht="15" customHeight="1" x14ac:dyDescent="0.25">
      <c r="B1063" s="1"/>
      <c r="C1063" s="1"/>
      <c r="D1063" s="7"/>
      <c r="E1063" s="7"/>
      <c r="F1063" s="55"/>
    </row>
    <row r="1064" spans="2:6" ht="15" customHeight="1" x14ac:dyDescent="0.25">
      <c r="B1064" s="1"/>
      <c r="C1064" s="1"/>
      <c r="D1064" s="7"/>
      <c r="E1064" s="7"/>
      <c r="F1064" s="55"/>
    </row>
    <row r="1065" spans="2:6" ht="15" customHeight="1" x14ac:dyDescent="0.25">
      <c r="B1065" s="1"/>
      <c r="C1065" s="1"/>
      <c r="D1065" s="7"/>
      <c r="E1065" s="7"/>
      <c r="F1065" s="55"/>
    </row>
    <row r="1066" spans="2:6" ht="15" customHeight="1" x14ac:dyDescent="0.25">
      <c r="B1066" s="1"/>
      <c r="C1066" s="1"/>
      <c r="D1066" s="7"/>
      <c r="E1066" s="7"/>
      <c r="F1066" s="55"/>
    </row>
    <row r="1067" spans="2:6" ht="15" customHeight="1" x14ac:dyDescent="0.25">
      <c r="B1067" s="1"/>
      <c r="C1067" s="1"/>
      <c r="D1067" s="7"/>
      <c r="E1067" s="7"/>
      <c r="F1067" s="55"/>
    </row>
    <row r="1068" spans="2:6" ht="15" customHeight="1" x14ac:dyDescent="0.25">
      <c r="B1068" s="1"/>
      <c r="C1068" s="1"/>
      <c r="D1068" s="7"/>
      <c r="E1068" s="7"/>
      <c r="F1068" s="55"/>
    </row>
    <row r="1069" spans="2:6" ht="15" customHeight="1" x14ac:dyDescent="0.25">
      <c r="B1069" s="1"/>
      <c r="C1069" s="1"/>
      <c r="D1069" s="7"/>
      <c r="E1069" s="7"/>
      <c r="F1069" s="55"/>
    </row>
    <row r="1070" spans="2:6" ht="15" customHeight="1" x14ac:dyDescent="0.25">
      <c r="B1070" s="1"/>
      <c r="C1070" s="1"/>
      <c r="D1070" s="7"/>
      <c r="E1070" s="7"/>
      <c r="F1070" s="55"/>
    </row>
    <row r="1071" spans="2:6" ht="15" customHeight="1" x14ac:dyDescent="0.25">
      <c r="B1071" s="1"/>
      <c r="C1071" s="1"/>
      <c r="D1071" s="7"/>
      <c r="E1071" s="7"/>
      <c r="F1071" s="55"/>
    </row>
    <row r="1072" spans="2:6" ht="15" customHeight="1" x14ac:dyDescent="0.25">
      <c r="B1072" s="1"/>
      <c r="C1072" s="1"/>
      <c r="D1072" s="7"/>
      <c r="E1072" s="7"/>
      <c r="F1072" s="55"/>
    </row>
    <row r="1073" spans="2:6" ht="15" customHeight="1" x14ac:dyDescent="0.25">
      <c r="B1073" s="1"/>
      <c r="C1073" s="1"/>
      <c r="D1073" s="7"/>
      <c r="E1073" s="7"/>
      <c r="F1073" s="55"/>
    </row>
    <row r="1074" spans="2:6" ht="15" customHeight="1" x14ac:dyDescent="0.25">
      <c r="B1074" s="1"/>
      <c r="C1074" s="1"/>
      <c r="D1074" s="7"/>
      <c r="E1074" s="7"/>
      <c r="F1074" s="55"/>
    </row>
    <row r="1075" spans="2:6" ht="15" customHeight="1" x14ac:dyDescent="0.25">
      <c r="B1075" s="1"/>
      <c r="C1075" s="1"/>
      <c r="D1075" s="7"/>
      <c r="E1075" s="7"/>
      <c r="F1075" s="55"/>
    </row>
    <row r="1076" spans="2:6" ht="15" customHeight="1" x14ac:dyDescent="0.25">
      <c r="B1076" s="1"/>
      <c r="C1076" s="1"/>
      <c r="D1076" s="7"/>
      <c r="E1076" s="7"/>
      <c r="F1076" s="55"/>
    </row>
    <row r="1077" spans="2:6" ht="15" customHeight="1" x14ac:dyDescent="0.25">
      <c r="B1077" s="1"/>
      <c r="C1077" s="1"/>
      <c r="D1077" s="7"/>
      <c r="E1077" s="7"/>
      <c r="F1077" s="55"/>
    </row>
    <row r="1078" spans="2:6" ht="15" customHeight="1" x14ac:dyDescent="0.25">
      <c r="B1078" s="1"/>
      <c r="C1078" s="1"/>
      <c r="D1078" s="7"/>
      <c r="E1078" s="7"/>
      <c r="F1078" s="55"/>
    </row>
    <row r="1079" spans="2:6" ht="15" customHeight="1" x14ac:dyDescent="0.25">
      <c r="B1079" s="1"/>
      <c r="C1079" s="1"/>
      <c r="D1079" s="7"/>
      <c r="E1079" s="7"/>
      <c r="F1079" s="55"/>
    </row>
    <row r="1080" spans="2:6" ht="15" customHeight="1" x14ac:dyDescent="0.25">
      <c r="B1080" s="1"/>
      <c r="C1080" s="1"/>
      <c r="D1080" s="7"/>
      <c r="E1080" s="7"/>
      <c r="F1080" s="55"/>
    </row>
    <row r="1081" spans="2:6" ht="15" customHeight="1" x14ac:dyDescent="0.25">
      <c r="B1081" s="1"/>
      <c r="C1081" s="1"/>
      <c r="D1081" s="7"/>
      <c r="E1081" s="7"/>
      <c r="F1081" s="55"/>
    </row>
    <row r="1082" spans="2:6" ht="15" customHeight="1" x14ac:dyDescent="0.25">
      <c r="B1082" s="1"/>
      <c r="C1082" s="1"/>
      <c r="D1082" s="7"/>
      <c r="E1082" s="7"/>
      <c r="F1082" s="55"/>
    </row>
    <row r="1083" spans="2:6" ht="15" customHeight="1" x14ac:dyDescent="0.25">
      <c r="B1083" s="1"/>
      <c r="C1083" s="1"/>
      <c r="D1083" s="7"/>
      <c r="E1083" s="7"/>
      <c r="F1083" s="55"/>
    </row>
    <row r="1084" spans="2:6" ht="15" customHeight="1" x14ac:dyDescent="0.25">
      <c r="B1084" s="1"/>
      <c r="C1084" s="1"/>
      <c r="D1084" s="7"/>
      <c r="E1084" s="7"/>
      <c r="F1084" s="55"/>
    </row>
    <row r="1085" spans="2:6" ht="15" customHeight="1" x14ac:dyDescent="0.25">
      <c r="B1085" s="1"/>
      <c r="C1085" s="1"/>
      <c r="D1085" s="7"/>
      <c r="E1085" s="7"/>
      <c r="F1085" s="55"/>
    </row>
    <row r="1086" spans="2:6" ht="15" customHeight="1" x14ac:dyDescent="0.25">
      <c r="B1086" s="1"/>
      <c r="C1086" s="1"/>
      <c r="D1086" s="7"/>
      <c r="E1086" s="7"/>
      <c r="F1086" s="55"/>
    </row>
    <row r="1087" spans="2:6" ht="15" customHeight="1" x14ac:dyDescent="0.25">
      <c r="B1087" s="1"/>
      <c r="C1087" s="1"/>
      <c r="D1087" s="7"/>
      <c r="E1087" s="7"/>
      <c r="F1087" s="55"/>
    </row>
    <row r="1088" spans="2:6" ht="15" customHeight="1" x14ac:dyDescent="0.25">
      <c r="B1088" s="1"/>
      <c r="C1088" s="1"/>
      <c r="D1088" s="7"/>
      <c r="E1088" s="7"/>
      <c r="F1088" s="55"/>
    </row>
    <row r="1089" spans="2:6" ht="15" customHeight="1" x14ac:dyDescent="0.25">
      <c r="B1089" s="1"/>
      <c r="C1089" s="1"/>
      <c r="D1089" s="7"/>
      <c r="E1089" s="7"/>
      <c r="F1089" s="55"/>
    </row>
    <row r="1090" spans="2:6" ht="15" customHeight="1" x14ac:dyDescent="0.25">
      <c r="B1090" s="1"/>
      <c r="C1090" s="1"/>
      <c r="D1090" s="7"/>
      <c r="E1090" s="7"/>
      <c r="F1090" s="55"/>
    </row>
    <row r="1091" spans="2:6" ht="15" customHeight="1" x14ac:dyDescent="0.25">
      <c r="B1091" s="1"/>
      <c r="C1091" s="1"/>
      <c r="D1091" s="7"/>
      <c r="E1091" s="7"/>
      <c r="F1091" s="55"/>
    </row>
    <row r="1092" spans="2:6" ht="15" customHeight="1" x14ac:dyDescent="0.25">
      <c r="B1092" s="1"/>
      <c r="C1092" s="1"/>
      <c r="D1092" s="7"/>
      <c r="E1092" s="7"/>
      <c r="F1092" s="55"/>
    </row>
    <row r="1093" spans="2:6" ht="15" customHeight="1" x14ac:dyDescent="0.25">
      <c r="B1093" s="1"/>
      <c r="C1093" s="1"/>
      <c r="D1093" s="7"/>
      <c r="E1093" s="7"/>
      <c r="F1093" s="55"/>
    </row>
    <row r="1094" spans="2:6" ht="15" customHeight="1" x14ac:dyDescent="0.25">
      <c r="B1094" s="1"/>
      <c r="C1094" s="1"/>
      <c r="D1094" s="7"/>
      <c r="E1094" s="7"/>
      <c r="F1094" s="55"/>
    </row>
    <row r="1095" spans="2:6" ht="15" customHeight="1" x14ac:dyDescent="0.25">
      <c r="B1095" s="1"/>
      <c r="C1095" s="1"/>
      <c r="D1095" s="7"/>
      <c r="E1095" s="7"/>
      <c r="F1095" s="55"/>
    </row>
    <row r="1096" spans="2:6" ht="15" customHeight="1" x14ac:dyDescent="0.25">
      <c r="B1096" s="1"/>
      <c r="C1096" s="1"/>
      <c r="D1096" s="7"/>
      <c r="E1096" s="7"/>
      <c r="F1096" s="55"/>
    </row>
    <row r="1097" spans="2:6" ht="15" customHeight="1" x14ac:dyDescent="0.25">
      <c r="B1097" s="1"/>
      <c r="C1097" s="1"/>
      <c r="D1097" s="7"/>
      <c r="E1097" s="7"/>
      <c r="F1097" s="55"/>
    </row>
    <row r="1098" spans="2:6" ht="15" customHeight="1" x14ac:dyDescent="0.25">
      <c r="B1098" s="1"/>
      <c r="C1098" s="1"/>
      <c r="D1098" s="7"/>
      <c r="E1098" s="7"/>
      <c r="F1098" s="55"/>
    </row>
    <row r="1099" spans="2:6" ht="15" customHeight="1" x14ac:dyDescent="0.25">
      <c r="B1099" s="1"/>
      <c r="C1099" s="1"/>
      <c r="D1099" s="7"/>
      <c r="E1099" s="7"/>
      <c r="F1099" s="55"/>
    </row>
    <row r="1100" spans="2:6" ht="15" customHeight="1" x14ac:dyDescent="0.25">
      <c r="B1100" s="1"/>
      <c r="C1100" s="1"/>
      <c r="D1100" s="7"/>
      <c r="E1100" s="7"/>
      <c r="F1100" s="55"/>
    </row>
    <row r="1101" spans="2:6" ht="15" customHeight="1" x14ac:dyDescent="0.25">
      <c r="B1101" s="1"/>
      <c r="C1101" s="1"/>
      <c r="D1101" s="7"/>
      <c r="E1101" s="7"/>
      <c r="F1101" s="55"/>
    </row>
    <row r="1102" spans="2:6" ht="15" customHeight="1" x14ac:dyDescent="0.25">
      <c r="B1102" s="1"/>
      <c r="C1102" s="1"/>
      <c r="D1102" s="7"/>
      <c r="E1102" s="7"/>
      <c r="F1102" s="55"/>
    </row>
    <row r="1103" spans="2:6" ht="15" customHeight="1" x14ac:dyDescent="0.25">
      <c r="B1103" s="1"/>
      <c r="C1103" s="1"/>
      <c r="D1103" s="7"/>
      <c r="E1103" s="7"/>
      <c r="F1103" s="55"/>
    </row>
    <row r="1104" spans="2:6" ht="15" customHeight="1" x14ac:dyDescent="0.25">
      <c r="B1104" s="1"/>
      <c r="C1104" s="1"/>
      <c r="D1104" s="7"/>
      <c r="E1104" s="7"/>
      <c r="F1104" s="55"/>
    </row>
    <row r="1105" spans="2:6" ht="15" customHeight="1" x14ac:dyDescent="0.25">
      <c r="B1105" s="1"/>
      <c r="C1105" s="1"/>
      <c r="D1105" s="7"/>
      <c r="E1105" s="7"/>
      <c r="F1105" s="55"/>
    </row>
    <row r="1106" spans="2:6" ht="15" customHeight="1" x14ac:dyDescent="0.25">
      <c r="B1106" s="1"/>
      <c r="C1106" s="1"/>
      <c r="D1106" s="7"/>
      <c r="E1106" s="7"/>
      <c r="F1106" s="55"/>
    </row>
    <row r="1107" spans="2:6" ht="15" customHeight="1" x14ac:dyDescent="0.25">
      <c r="B1107" s="1"/>
      <c r="C1107" s="1"/>
      <c r="D1107" s="7"/>
      <c r="E1107" s="7"/>
      <c r="F1107" s="55"/>
    </row>
    <row r="1108" spans="2:6" ht="15" customHeight="1" x14ac:dyDescent="0.25">
      <c r="B1108" s="1"/>
      <c r="C1108" s="1"/>
      <c r="D1108" s="7"/>
      <c r="E1108" s="7"/>
      <c r="F1108" s="55"/>
    </row>
    <row r="1109" spans="2:6" ht="15" customHeight="1" x14ac:dyDescent="0.25">
      <c r="B1109" s="1"/>
      <c r="C1109" s="1"/>
      <c r="D1109" s="7"/>
      <c r="E1109" s="7"/>
      <c r="F1109" s="55"/>
    </row>
    <row r="1110" spans="2:6" ht="15" customHeight="1" x14ac:dyDescent="0.25">
      <c r="B1110" s="1"/>
      <c r="C1110" s="1"/>
      <c r="D1110" s="7"/>
      <c r="E1110" s="7"/>
      <c r="F1110" s="55"/>
    </row>
    <row r="1111" spans="2:6" ht="15" customHeight="1" x14ac:dyDescent="0.25">
      <c r="B1111" s="1"/>
      <c r="C1111" s="1"/>
      <c r="D1111" s="7"/>
      <c r="E1111" s="7"/>
      <c r="F1111" s="55"/>
    </row>
    <row r="1112" spans="2:6" ht="15" customHeight="1" x14ac:dyDescent="0.25">
      <c r="B1112" s="1"/>
      <c r="C1112" s="1"/>
      <c r="D1112" s="7"/>
      <c r="E1112" s="7"/>
      <c r="F1112" s="55"/>
    </row>
    <row r="1113" spans="2:6" ht="15" customHeight="1" x14ac:dyDescent="0.25">
      <c r="B1113" s="1"/>
      <c r="C1113" s="1"/>
      <c r="D1113" s="7"/>
      <c r="E1113" s="7"/>
      <c r="F1113" s="55"/>
    </row>
    <row r="1114" spans="2:6" ht="15" customHeight="1" x14ac:dyDescent="0.25">
      <c r="B1114" s="1"/>
      <c r="C1114" s="1"/>
      <c r="D1114" s="7"/>
      <c r="E1114" s="7"/>
      <c r="F1114" s="55"/>
    </row>
    <row r="1115" spans="2:6" ht="15" customHeight="1" x14ac:dyDescent="0.25">
      <c r="B1115" s="1"/>
      <c r="C1115" s="1"/>
      <c r="D1115" s="7"/>
      <c r="E1115" s="7"/>
      <c r="F1115" s="55"/>
    </row>
    <row r="1116" spans="2:6" ht="15" customHeight="1" x14ac:dyDescent="0.25">
      <c r="B1116" s="1"/>
      <c r="C1116" s="1"/>
      <c r="D1116" s="7"/>
      <c r="E1116" s="7"/>
      <c r="F1116" s="55"/>
    </row>
    <row r="1117" spans="2:6" ht="15" customHeight="1" x14ac:dyDescent="0.25">
      <c r="B1117" s="1"/>
      <c r="C1117" s="1"/>
      <c r="D1117" s="7"/>
      <c r="E1117" s="7"/>
      <c r="F1117" s="55"/>
    </row>
    <row r="1118" spans="2:6" ht="15" customHeight="1" x14ac:dyDescent="0.25">
      <c r="B1118" s="1"/>
      <c r="C1118" s="1"/>
      <c r="D1118" s="7"/>
      <c r="E1118" s="7"/>
      <c r="F1118" s="55"/>
    </row>
    <row r="1119" spans="2:6" ht="15" customHeight="1" x14ac:dyDescent="0.25">
      <c r="B1119" s="1"/>
      <c r="C1119" s="1"/>
      <c r="D1119" s="7"/>
      <c r="E1119" s="7"/>
      <c r="F1119" s="55"/>
    </row>
    <row r="1120" spans="2:6" ht="15" customHeight="1" x14ac:dyDescent="0.25">
      <c r="B1120" s="1"/>
      <c r="C1120" s="1"/>
      <c r="D1120" s="7"/>
      <c r="E1120" s="7"/>
      <c r="F1120" s="55"/>
    </row>
    <row r="1121" spans="2:6" ht="15" customHeight="1" x14ac:dyDescent="0.25">
      <c r="B1121" s="1"/>
      <c r="C1121" s="1"/>
      <c r="D1121" s="7"/>
      <c r="E1121" s="7"/>
      <c r="F1121" s="55"/>
    </row>
    <row r="1122" spans="2:6" ht="15" customHeight="1" x14ac:dyDescent="0.25">
      <c r="B1122" s="1"/>
      <c r="C1122" s="1"/>
      <c r="D1122" s="7"/>
      <c r="E1122" s="7"/>
      <c r="F1122" s="55"/>
    </row>
    <row r="1123" spans="2:6" ht="15" customHeight="1" x14ac:dyDescent="0.25">
      <c r="B1123" s="1"/>
      <c r="C1123" s="1"/>
      <c r="D1123" s="7"/>
      <c r="E1123" s="7"/>
      <c r="F1123" s="55"/>
    </row>
    <row r="1124" spans="2:6" ht="15" customHeight="1" x14ac:dyDescent="0.25">
      <c r="B1124" s="1"/>
      <c r="C1124" s="1"/>
      <c r="D1124" s="7"/>
      <c r="E1124" s="7"/>
      <c r="F1124" s="55"/>
    </row>
    <row r="1125" spans="2:6" ht="15" customHeight="1" x14ac:dyDescent="0.25">
      <c r="B1125" s="1"/>
      <c r="C1125" s="1"/>
      <c r="D1125" s="7"/>
      <c r="E1125" s="7"/>
      <c r="F1125" s="55"/>
    </row>
    <row r="1126" spans="2:6" ht="15" customHeight="1" x14ac:dyDescent="0.25">
      <c r="B1126" s="1"/>
      <c r="C1126" s="1"/>
      <c r="D1126" s="7"/>
      <c r="E1126" s="7"/>
      <c r="F1126" s="55"/>
    </row>
    <row r="1127" spans="2:6" ht="15" customHeight="1" x14ac:dyDescent="0.25">
      <c r="B1127" s="1"/>
      <c r="C1127" s="1"/>
      <c r="D1127" s="7"/>
      <c r="E1127" s="7"/>
      <c r="F1127" s="55"/>
    </row>
    <row r="1128" spans="2:6" ht="15" customHeight="1" x14ac:dyDescent="0.25">
      <c r="B1128" s="1"/>
      <c r="C1128" s="1"/>
      <c r="D1128" s="7"/>
      <c r="E1128" s="7"/>
      <c r="F1128" s="55"/>
    </row>
    <row r="1129" spans="2:6" ht="15" customHeight="1" x14ac:dyDescent="0.25">
      <c r="B1129" s="1"/>
      <c r="C1129" s="1"/>
      <c r="D1129" s="7"/>
      <c r="E1129" s="7"/>
      <c r="F1129" s="55"/>
    </row>
    <row r="1130" spans="2:6" ht="15" customHeight="1" x14ac:dyDescent="0.25">
      <c r="B1130" s="1"/>
      <c r="C1130" s="1"/>
      <c r="D1130" s="7"/>
      <c r="E1130" s="7"/>
      <c r="F1130" s="55"/>
    </row>
    <row r="1131" spans="2:6" ht="15" customHeight="1" x14ac:dyDescent="0.25">
      <c r="B1131" s="1"/>
      <c r="C1131" s="1"/>
      <c r="D1131" s="7"/>
      <c r="E1131" s="7"/>
      <c r="F1131" s="55"/>
    </row>
    <row r="1132" spans="2:6" ht="15" customHeight="1" x14ac:dyDescent="0.25">
      <c r="B1132" s="1"/>
      <c r="C1132" s="1"/>
      <c r="D1132" s="7"/>
      <c r="E1132" s="7"/>
      <c r="F1132" s="55"/>
    </row>
    <row r="1133" spans="2:6" ht="15" customHeight="1" x14ac:dyDescent="0.25">
      <c r="B1133" s="1"/>
      <c r="C1133" s="1"/>
      <c r="D1133" s="7"/>
      <c r="E1133" s="7"/>
      <c r="F1133" s="55"/>
    </row>
    <row r="1134" spans="2:6" ht="15" customHeight="1" x14ac:dyDescent="0.25">
      <c r="B1134" s="1"/>
      <c r="C1134" s="1"/>
      <c r="D1134" s="7"/>
      <c r="E1134" s="7"/>
      <c r="F1134" s="55"/>
    </row>
    <row r="1135" spans="2:6" ht="15" customHeight="1" x14ac:dyDescent="0.25">
      <c r="B1135" s="1"/>
      <c r="C1135" s="1"/>
      <c r="D1135" s="7"/>
      <c r="E1135" s="7"/>
      <c r="F1135" s="55"/>
    </row>
    <row r="1136" spans="2:6" ht="15" customHeight="1" x14ac:dyDescent="0.25">
      <c r="B1136" s="1"/>
      <c r="C1136" s="1"/>
      <c r="D1136" s="7"/>
      <c r="E1136" s="7"/>
      <c r="F1136" s="55"/>
    </row>
    <row r="1137" spans="2:6" ht="15" customHeight="1" x14ac:dyDescent="0.25">
      <c r="B1137" s="1"/>
      <c r="C1137" s="1"/>
      <c r="D1137" s="7"/>
      <c r="E1137" s="7"/>
      <c r="F1137" s="55"/>
    </row>
    <row r="1138" spans="2:6" ht="15" customHeight="1" x14ac:dyDescent="0.25">
      <c r="B1138" s="1"/>
      <c r="C1138" s="1"/>
      <c r="D1138" s="7"/>
      <c r="E1138" s="7"/>
      <c r="F1138" s="55"/>
    </row>
    <row r="1139" spans="2:6" ht="15" customHeight="1" x14ac:dyDescent="0.25">
      <c r="B1139" s="1"/>
      <c r="C1139" s="1"/>
      <c r="D1139" s="7"/>
      <c r="E1139" s="7"/>
      <c r="F1139" s="55"/>
    </row>
    <row r="1140" spans="2:6" ht="15" customHeight="1" x14ac:dyDescent="0.25">
      <c r="B1140" s="1"/>
      <c r="C1140" s="1"/>
      <c r="D1140" s="7"/>
      <c r="E1140" s="7"/>
      <c r="F1140" s="55"/>
    </row>
    <row r="1141" spans="2:6" ht="15" customHeight="1" x14ac:dyDescent="0.25">
      <c r="B1141" s="1"/>
      <c r="C1141" s="1"/>
      <c r="D1141" s="7"/>
      <c r="E1141" s="7"/>
      <c r="F1141" s="55"/>
    </row>
    <row r="1142" spans="2:6" ht="15" customHeight="1" x14ac:dyDescent="0.25">
      <c r="B1142" s="1"/>
      <c r="C1142" s="1"/>
      <c r="D1142" s="7"/>
      <c r="E1142" s="7"/>
      <c r="F1142" s="55"/>
    </row>
    <row r="1143" spans="2:6" ht="15" customHeight="1" x14ac:dyDescent="0.25">
      <c r="B1143" s="1"/>
      <c r="C1143" s="1"/>
      <c r="D1143" s="7"/>
      <c r="E1143" s="7"/>
      <c r="F1143" s="55"/>
    </row>
    <row r="1144" spans="2:6" ht="15" customHeight="1" x14ac:dyDescent="0.25">
      <c r="B1144" s="1"/>
      <c r="C1144" s="1"/>
      <c r="D1144" s="7"/>
      <c r="E1144" s="7"/>
      <c r="F1144" s="55"/>
    </row>
    <row r="1145" spans="2:6" ht="15" customHeight="1" x14ac:dyDescent="0.25">
      <c r="B1145" s="1"/>
      <c r="C1145" s="1"/>
      <c r="D1145" s="7"/>
      <c r="E1145" s="7"/>
      <c r="F1145" s="55"/>
    </row>
    <row r="1146" spans="2:6" ht="15" customHeight="1" x14ac:dyDescent="0.25">
      <c r="B1146" s="1"/>
      <c r="C1146" s="1"/>
      <c r="D1146" s="7"/>
      <c r="E1146" s="7"/>
      <c r="F1146" s="55"/>
    </row>
    <row r="1147" spans="2:6" ht="15" customHeight="1" x14ac:dyDescent="0.25">
      <c r="B1147" s="1"/>
      <c r="C1147" s="1"/>
      <c r="D1147" s="7"/>
      <c r="E1147" s="7"/>
      <c r="F1147" s="55"/>
    </row>
    <row r="1148" spans="2:6" ht="15" customHeight="1" x14ac:dyDescent="0.25">
      <c r="B1148" s="1"/>
      <c r="C1148" s="1"/>
      <c r="D1148" s="7"/>
      <c r="E1148" s="7"/>
      <c r="F1148" s="55"/>
    </row>
    <row r="1149" spans="2:6" ht="15" customHeight="1" x14ac:dyDescent="0.25">
      <c r="B1149" s="1"/>
      <c r="C1149" s="1"/>
      <c r="D1149" s="7"/>
      <c r="E1149" s="7"/>
      <c r="F1149" s="55"/>
    </row>
    <row r="1150" spans="2:6" ht="15" customHeight="1" x14ac:dyDescent="0.25">
      <c r="B1150" s="1"/>
      <c r="C1150" s="1"/>
      <c r="D1150" s="7"/>
      <c r="E1150" s="7"/>
      <c r="F1150" s="55"/>
    </row>
    <row r="1151" spans="2:6" ht="15" customHeight="1" x14ac:dyDescent="0.25">
      <c r="B1151" s="1"/>
      <c r="C1151" s="1"/>
      <c r="D1151" s="7"/>
      <c r="E1151" s="7"/>
      <c r="F1151" s="55"/>
    </row>
    <row r="1152" spans="2:6" ht="15" customHeight="1" x14ac:dyDescent="0.25">
      <c r="B1152" s="1"/>
      <c r="C1152" s="1"/>
      <c r="D1152" s="7"/>
      <c r="E1152" s="7"/>
      <c r="F1152" s="55"/>
    </row>
    <row r="1153" spans="2:6" ht="15" customHeight="1" x14ac:dyDescent="0.25">
      <c r="B1153" s="1"/>
      <c r="C1153" s="1"/>
      <c r="D1153" s="7"/>
      <c r="E1153" s="7"/>
      <c r="F1153" s="55"/>
    </row>
    <row r="1154" spans="2:6" ht="15" customHeight="1" x14ac:dyDescent="0.25">
      <c r="B1154" s="1"/>
      <c r="C1154" s="1"/>
      <c r="D1154" s="7"/>
      <c r="E1154" s="7"/>
      <c r="F1154" s="55"/>
    </row>
    <row r="1155" spans="2:6" ht="15" customHeight="1" x14ac:dyDescent="0.25">
      <c r="B1155" s="1"/>
      <c r="C1155" s="1"/>
      <c r="D1155" s="7"/>
      <c r="E1155" s="7"/>
      <c r="F1155" s="55"/>
    </row>
    <row r="1156" spans="2:6" ht="15" customHeight="1" x14ac:dyDescent="0.25">
      <c r="B1156" s="1"/>
      <c r="C1156" s="1"/>
      <c r="D1156" s="7"/>
      <c r="E1156" s="7"/>
      <c r="F1156" s="55"/>
    </row>
    <row r="1157" spans="2:6" ht="15" customHeight="1" x14ac:dyDescent="0.25">
      <c r="B1157" s="1"/>
      <c r="C1157" s="1"/>
      <c r="D1157" s="7"/>
      <c r="E1157" s="7"/>
      <c r="F1157" s="55"/>
    </row>
    <row r="1158" spans="2:6" ht="15" customHeight="1" x14ac:dyDescent="0.25">
      <c r="B1158" s="1"/>
      <c r="C1158" s="1"/>
      <c r="D1158" s="7"/>
      <c r="E1158" s="7"/>
      <c r="F1158" s="55"/>
    </row>
    <row r="1159" spans="2:6" ht="15" customHeight="1" x14ac:dyDescent="0.25">
      <c r="B1159" s="1"/>
      <c r="C1159" s="1"/>
      <c r="D1159" s="7"/>
      <c r="E1159" s="7"/>
      <c r="F1159" s="55"/>
    </row>
    <row r="1160" spans="2:6" ht="15" customHeight="1" x14ac:dyDescent="0.25">
      <c r="B1160" s="1"/>
      <c r="C1160" s="1"/>
      <c r="D1160" s="7"/>
      <c r="E1160" s="7"/>
      <c r="F1160" s="55"/>
    </row>
    <row r="1161" spans="2:6" ht="15" customHeight="1" x14ac:dyDescent="0.25">
      <c r="B1161" s="1"/>
      <c r="C1161" s="1"/>
      <c r="D1161" s="7"/>
      <c r="E1161" s="7"/>
      <c r="F1161" s="55"/>
    </row>
    <row r="1162" spans="2:6" ht="15" customHeight="1" x14ac:dyDescent="0.25">
      <c r="B1162" s="1"/>
      <c r="C1162" s="1"/>
      <c r="D1162" s="7"/>
      <c r="E1162" s="7"/>
      <c r="F1162" s="55"/>
    </row>
    <row r="1163" spans="2:6" ht="15" customHeight="1" x14ac:dyDescent="0.25">
      <c r="B1163" s="1"/>
      <c r="C1163" s="1"/>
      <c r="D1163" s="7"/>
      <c r="E1163" s="7"/>
      <c r="F1163" s="55"/>
    </row>
    <row r="1164" spans="2:6" ht="15" customHeight="1" x14ac:dyDescent="0.25">
      <c r="B1164" s="1"/>
      <c r="C1164" s="1"/>
      <c r="D1164" s="7"/>
      <c r="E1164" s="7"/>
      <c r="F1164" s="55"/>
    </row>
    <row r="1165" spans="2:6" ht="15" customHeight="1" x14ac:dyDescent="0.25">
      <c r="B1165" s="1"/>
      <c r="C1165" s="1"/>
      <c r="D1165" s="7"/>
      <c r="E1165" s="7"/>
      <c r="F1165" s="55"/>
    </row>
    <row r="1166" spans="2:6" ht="15" customHeight="1" x14ac:dyDescent="0.25">
      <c r="B1166" s="1"/>
      <c r="C1166" s="1"/>
      <c r="D1166" s="7"/>
      <c r="E1166" s="7"/>
      <c r="F1166" s="55"/>
    </row>
    <row r="1167" spans="2:6" ht="15" customHeight="1" x14ac:dyDescent="0.25">
      <c r="B1167" s="1"/>
      <c r="C1167" s="1"/>
      <c r="D1167" s="7"/>
      <c r="E1167" s="7"/>
      <c r="F1167" s="55"/>
    </row>
    <row r="1168" spans="2:6" ht="15" customHeight="1" x14ac:dyDescent="0.25">
      <c r="B1168" s="1"/>
      <c r="C1168" s="1"/>
      <c r="D1168" s="7"/>
      <c r="E1168" s="7"/>
      <c r="F1168" s="55"/>
    </row>
    <row r="1169" spans="2:6" ht="15" customHeight="1" x14ac:dyDescent="0.25">
      <c r="B1169" s="1"/>
      <c r="C1169" s="1"/>
      <c r="D1169" s="7"/>
      <c r="E1169" s="7"/>
      <c r="F1169" s="55"/>
    </row>
    <row r="1170" spans="2:6" ht="15" customHeight="1" x14ac:dyDescent="0.25">
      <c r="B1170" s="1"/>
      <c r="C1170" s="1"/>
      <c r="D1170" s="7"/>
      <c r="E1170" s="7"/>
      <c r="F1170" s="55"/>
    </row>
    <row r="1171" spans="2:6" ht="15" customHeight="1" x14ac:dyDescent="0.25">
      <c r="B1171" s="1"/>
      <c r="C1171" s="1"/>
      <c r="D1171" s="7"/>
      <c r="E1171" s="7"/>
      <c r="F1171" s="55"/>
    </row>
    <row r="1172" spans="2:6" ht="15" customHeight="1" x14ac:dyDescent="0.25">
      <c r="B1172" s="1"/>
      <c r="C1172" s="1"/>
      <c r="D1172" s="7"/>
      <c r="E1172" s="7"/>
      <c r="F1172" s="55"/>
    </row>
    <row r="1173" spans="2:6" ht="15" customHeight="1" x14ac:dyDescent="0.25">
      <c r="B1173" s="1"/>
      <c r="C1173" s="1"/>
      <c r="D1173" s="7"/>
      <c r="E1173" s="7"/>
      <c r="F1173" s="55"/>
    </row>
    <row r="1174" spans="2:6" ht="15" customHeight="1" x14ac:dyDescent="0.25">
      <c r="B1174" s="1"/>
      <c r="C1174" s="1"/>
      <c r="D1174" s="7"/>
      <c r="E1174" s="7"/>
      <c r="F1174" s="55"/>
    </row>
    <row r="1175" spans="2:6" ht="15" customHeight="1" x14ac:dyDescent="0.25">
      <c r="B1175" s="1"/>
      <c r="C1175" s="1"/>
      <c r="D1175" s="7"/>
      <c r="E1175" s="7"/>
      <c r="F1175" s="55"/>
    </row>
    <row r="1176" spans="2:6" ht="15" customHeight="1" x14ac:dyDescent="0.25">
      <c r="B1176" s="1"/>
      <c r="C1176" s="1"/>
      <c r="D1176" s="7"/>
      <c r="E1176" s="7"/>
      <c r="F1176" s="55"/>
    </row>
    <row r="1177" spans="2:6" ht="15" customHeight="1" x14ac:dyDescent="0.25">
      <c r="B1177" s="1"/>
      <c r="C1177" s="1"/>
      <c r="D1177" s="7"/>
      <c r="E1177" s="7"/>
      <c r="F1177" s="55"/>
    </row>
    <row r="1178" spans="2:6" ht="15" customHeight="1" x14ac:dyDescent="0.25">
      <c r="B1178" s="1"/>
      <c r="C1178" s="1"/>
      <c r="D1178" s="7"/>
      <c r="E1178" s="7"/>
      <c r="F1178" s="55"/>
    </row>
    <row r="1179" spans="2:6" ht="15" customHeight="1" x14ac:dyDescent="0.25">
      <c r="B1179" s="1"/>
      <c r="C1179" s="1"/>
      <c r="D1179" s="7"/>
      <c r="E1179" s="7"/>
      <c r="F1179" s="55"/>
    </row>
    <row r="1180" spans="2:6" ht="15" customHeight="1" x14ac:dyDescent="0.25">
      <c r="B1180" s="1"/>
      <c r="C1180" s="1"/>
      <c r="D1180" s="7"/>
      <c r="E1180" s="7"/>
      <c r="F1180" s="55"/>
    </row>
    <row r="1181" spans="2:6" ht="15" customHeight="1" x14ac:dyDescent="0.25">
      <c r="B1181" s="1"/>
      <c r="C1181" s="1"/>
      <c r="D1181" s="7"/>
      <c r="E1181" s="7"/>
      <c r="F1181" s="55"/>
    </row>
    <row r="1182" spans="2:6" ht="15" customHeight="1" x14ac:dyDescent="0.25">
      <c r="B1182" s="1"/>
      <c r="C1182" s="1"/>
      <c r="D1182" s="7"/>
      <c r="E1182" s="7"/>
      <c r="F1182" s="55"/>
    </row>
    <row r="1183" spans="2:6" ht="15" customHeight="1" x14ac:dyDescent="0.25">
      <c r="B1183" s="1"/>
      <c r="C1183" s="1"/>
      <c r="D1183" s="7"/>
      <c r="E1183" s="7"/>
      <c r="F1183" s="55"/>
    </row>
    <row r="1184" spans="2:6" ht="15" customHeight="1" x14ac:dyDescent="0.25">
      <c r="B1184" s="1"/>
      <c r="C1184" s="1"/>
      <c r="D1184" s="7"/>
      <c r="E1184" s="7"/>
      <c r="F1184" s="55"/>
    </row>
    <row r="1185" spans="2:6" ht="15" customHeight="1" x14ac:dyDescent="0.25">
      <c r="B1185" s="1"/>
      <c r="C1185" s="1"/>
      <c r="D1185" s="7"/>
      <c r="E1185" s="7"/>
      <c r="F1185" s="55"/>
    </row>
    <row r="1186" spans="2:6" ht="15" customHeight="1" x14ac:dyDescent="0.25">
      <c r="B1186" s="1"/>
      <c r="C1186" s="1"/>
      <c r="D1186" s="7"/>
      <c r="E1186" s="7"/>
      <c r="F1186" s="55"/>
    </row>
    <row r="1187" spans="2:6" ht="15" customHeight="1" x14ac:dyDescent="0.25">
      <c r="B1187" s="1"/>
      <c r="C1187" s="1"/>
      <c r="D1187" s="7"/>
      <c r="E1187" s="7"/>
      <c r="F1187" s="55"/>
    </row>
    <row r="1188" spans="2:6" ht="15" customHeight="1" x14ac:dyDescent="0.25">
      <c r="B1188" s="1"/>
      <c r="C1188" s="1"/>
      <c r="D1188" s="7"/>
      <c r="E1188" s="7"/>
      <c r="F1188" s="55"/>
    </row>
    <row r="1189" spans="2:6" ht="15" customHeight="1" x14ac:dyDescent="0.25">
      <c r="B1189" s="1"/>
      <c r="C1189" s="1"/>
      <c r="D1189" s="7"/>
      <c r="E1189" s="7"/>
      <c r="F1189" s="55"/>
    </row>
    <row r="1190" spans="2:6" ht="15" customHeight="1" x14ac:dyDescent="0.25">
      <c r="B1190" s="1"/>
      <c r="C1190" s="1"/>
      <c r="D1190" s="7"/>
      <c r="E1190" s="7"/>
      <c r="F1190" s="55"/>
    </row>
    <row r="1191" spans="2:6" ht="15" customHeight="1" x14ac:dyDescent="0.25">
      <c r="B1191" s="1"/>
      <c r="C1191" s="1"/>
      <c r="D1191" s="7"/>
      <c r="E1191" s="7"/>
      <c r="F1191" s="55"/>
    </row>
    <row r="1192" spans="2:6" ht="15" customHeight="1" x14ac:dyDescent="0.25">
      <c r="B1192" s="1"/>
      <c r="C1192" s="1"/>
      <c r="D1192" s="7"/>
      <c r="E1192" s="7"/>
      <c r="F1192" s="55"/>
    </row>
    <row r="1193" spans="2:6" ht="15" customHeight="1" x14ac:dyDescent="0.25">
      <c r="B1193" s="1"/>
      <c r="C1193" s="1"/>
      <c r="D1193" s="7"/>
      <c r="E1193" s="7"/>
      <c r="F1193" s="55"/>
    </row>
    <row r="1194" spans="2:6" ht="15" customHeight="1" x14ac:dyDescent="0.25">
      <c r="B1194" s="1"/>
      <c r="C1194" s="1"/>
      <c r="D1194" s="7"/>
      <c r="E1194" s="7"/>
      <c r="F1194" s="55"/>
    </row>
    <row r="1195" spans="2:6" ht="15" customHeight="1" x14ac:dyDescent="0.25">
      <c r="B1195" s="1"/>
      <c r="C1195" s="1"/>
      <c r="D1195" s="7"/>
      <c r="E1195" s="7"/>
      <c r="F1195" s="55"/>
    </row>
    <row r="1196" spans="2:6" ht="15" customHeight="1" x14ac:dyDescent="0.25">
      <c r="B1196" s="1"/>
      <c r="C1196" s="1"/>
      <c r="D1196" s="7"/>
      <c r="E1196" s="7"/>
      <c r="F1196" s="55"/>
    </row>
    <row r="1197" spans="2:6" ht="15" customHeight="1" x14ac:dyDescent="0.25">
      <c r="B1197" s="1"/>
      <c r="C1197" s="1"/>
      <c r="D1197" s="7"/>
      <c r="E1197" s="7"/>
      <c r="F1197" s="55"/>
    </row>
    <row r="1198" spans="2:6" ht="15" customHeight="1" x14ac:dyDescent="0.25">
      <c r="B1198" s="1"/>
      <c r="C1198" s="1"/>
      <c r="D1198" s="7"/>
      <c r="E1198" s="7"/>
      <c r="F1198" s="55"/>
    </row>
    <row r="1199" spans="2:6" ht="15" customHeight="1" x14ac:dyDescent="0.25">
      <c r="B1199" s="1"/>
      <c r="C1199" s="1"/>
      <c r="D1199" s="7"/>
      <c r="E1199" s="7"/>
      <c r="F1199" s="55"/>
    </row>
    <row r="1200" spans="2:6" ht="15" customHeight="1" x14ac:dyDescent="0.25">
      <c r="B1200" s="1"/>
      <c r="C1200" s="1"/>
      <c r="D1200" s="7"/>
      <c r="E1200" s="7"/>
      <c r="F1200" s="55"/>
    </row>
    <row r="1201" spans="2:6" ht="15" customHeight="1" x14ac:dyDescent="0.25">
      <c r="B1201" s="1"/>
      <c r="C1201" s="1"/>
      <c r="D1201" s="7"/>
      <c r="E1201" s="7"/>
      <c r="F1201" s="55"/>
    </row>
    <row r="1202" spans="2:6" ht="15" customHeight="1" x14ac:dyDescent="0.25">
      <c r="B1202" s="1"/>
      <c r="C1202" s="1"/>
      <c r="D1202" s="7"/>
      <c r="E1202" s="7"/>
      <c r="F1202" s="55"/>
    </row>
    <row r="1203" spans="2:6" ht="15" customHeight="1" x14ac:dyDescent="0.25">
      <c r="B1203" s="1"/>
      <c r="C1203" s="1"/>
      <c r="D1203" s="7"/>
      <c r="E1203" s="7"/>
      <c r="F1203" s="55"/>
    </row>
    <row r="1204" spans="2:6" ht="15" customHeight="1" x14ac:dyDescent="0.25">
      <c r="B1204" s="1"/>
      <c r="C1204" s="1"/>
      <c r="D1204" s="7"/>
      <c r="E1204" s="7"/>
      <c r="F1204" s="55"/>
    </row>
    <row r="1205" spans="2:6" ht="15" customHeight="1" x14ac:dyDescent="0.25">
      <c r="B1205" s="1"/>
      <c r="C1205" s="1"/>
      <c r="D1205" s="7"/>
      <c r="E1205" s="7"/>
      <c r="F1205" s="55"/>
    </row>
    <row r="1206" spans="2:6" ht="15" customHeight="1" x14ac:dyDescent="0.25">
      <c r="B1206" s="1"/>
      <c r="C1206" s="1"/>
      <c r="D1206" s="7"/>
      <c r="E1206" s="7"/>
      <c r="F1206" s="55"/>
    </row>
    <row r="1207" spans="2:6" ht="15" customHeight="1" x14ac:dyDescent="0.25">
      <c r="B1207" s="1"/>
      <c r="C1207" s="1"/>
      <c r="D1207" s="7"/>
      <c r="E1207" s="7"/>
      <c r="F1207" s="55"/>
    </row>
    <row r="1208" spans="2:6" ht="15" customHeight="1" x14ac:dyDescent="0.25">
      <c r="B1208" s="1"/>
      <c r="C1208" s="1"/>
      <c r="D1208" s="7"/>
      <c r="E1208" s="7"/>
      <c r="F1208" s="55"/>
    </row>
    <row r="1209" spans="2:6" ht="15" customHeight="1" x14ac:dyDescent="0.25">
      <c r="B1209" s="1"/>
      <c r="C1209" s="1"/>
      <c r="D1209" s="7"/>
      <c r="E1209" s="7"/>
      <c r="F1209" s="55"/>
    </row>
    <row r="1210" spans="2:6" ht="15" customHeight="1" x14ac:dyDescent="0.25">
      <c r="B1210" s="1"/>
      <c r="C1210" s="1"/>
      <c r="D1210" s="7"/>
      <c r="E1210" s="7"/>
      <c r="F1210" s="55"/>
    </row>
    <row r="1211" spans="2:6" ht="15" customHeight="1" x14ac:dyDescent="0.25">
      <c r="B1211" s="1"/>
      <c r="C1211" s="1"/>
      <c r="D1211" s="7"/>
      <c r="E1211" s="7"/>
      <c r="F1211" s="55"/>
    </row>
    <row r="1212" spans="2:6" ht="15" customHeight="1" x14ac:dyDescent="0.25">
      <c r="B1212" s="1"/>
      <c r="C1212" s="1"/>
      <c r="D1212" s="7"/>
      <c r="E1212" s="7"/>
      <c r="F1212" s="55"/>
    </row>
    <row r="1213" spans="2:6" ht="15" customHeight="1" x14ac:dyDescent="0.25">
      <c r="B1213" s="1"/>
      <c r="C1213" s="1"/>
      <c r="D1213" s="7"/>
      <c r="E1213" s="7"/>
      <c r="F1213" s="55"/>
    </row>
    <row r="1214" spans="2:6" ht="15" customHeight="1" x14ac:dyDescent="0.25">
      <c r="B1214" s="1"/>
      <c r="C1214" s="1"/>
      <c r="D1214" s="7"/>
      <c r="E1214" s="7"/>
      <c r="F1214" s="55"/>
    </row>
    <row r="1215" spans="2:6" ht="15" customHeight="1" x14ac:dyDescent="0.25">
      <c r="B1215" s="1"/>
      <c r="C1215" s="1"/>
      <c r="D1215" s="7"/>
      <c r="E1215" s="7"/>
      <c r="F1215" s="55"/>
    </row>
    <row r="1216" spans="2:6" ht="15" customHeight="1" x14ac:dyDescent="0.25">
      <c r="B1216" s="1"/>
      <c r="C1216" s="1"/>
      <c r="D1216" s="7"/>
      <c r="E1216" s="7"/>
      <c r="F1216" s="55"/>
    </row>
    <row r="1217" spans="2:6" ht="15" customHeight="1" x14ac:dyDescent="0.25">
      <c r="B1217" s="1"/>
      <c r="C1217" s="1"/>
      <c r="D1217" s="7"/>
      <c r="E1217" s="7"/>
      <c r="F1217" s="55"/>
    </row>
    <row r="1218" spans="2:6" ht="15" customHeight="1" x14ac:dyDescent="0.25">
      <c r="B1218" s="1"/>
      <c r="C1218" s="1"/>
      <c r="D1218" s="7"/>
      <c r="E1218" s="7"/>
      <c r="F1218" s="55"/>
    </row>
    <row r="1219" spans="2:6" ht="15" customHeight="1" x14ac:dyDescent="0.25">
      <c r="B1219" s="1"/>
      <c r="C1219" s="1"/>
      <c r="D1219" s="7"/>
      <c r="E1219" s="7"/>
      <c r="F1219" s="55"/>
    </row>
    <row r="1220" spans="2:6" ht="15" customHeight="1" x14ac:dyDescent="0.25">
      <c r="B1220" s="1"/>
      <c r="C1220" s="1"/>
      <c r="D1220" s="7"/>
      <c r="E1220" s="7"/>
      <c r="F1220" s="55"/>
    </row>
    <row r="1221" spans="2:6" ht="15" customHeight="1" x14ac:dyDescent="0.25">
      <c r="B1221" s="1"/>
      <c r="C1221" s="1"/>
      <c r="D1221" s="7"/>
      <c r="E1221" s="7"/>
      <c r="F1221" s="55"/>
    </row>
    <row r="1222" spans="2:6" ht="15" customHeight="1" x14ac:dyDescent="0.25">
      <c r="B1222" s="1"/>
      <c r="C1222" s="1"/>
      <c r="D1222" s="7"/>
      <c r="E1222" s="7"/>
      <c r="F1222" s="55"/>
    </row>
    <row r="1223" spans="2:6" ht="15" customHeight="1" x14ac:dyDescent="0.25">
      <c r="B1223" s="1"/>
      <c r="C1223" s="1"/>
      <c r="D1223" s="7"/>
      <c r="E1223" s="7"/>
      <c r="F1223" s="55"/>
    </row>
    <row r="1224" spans="2:6" ht="15" customHeight="1" x14ac:dyDescent="0.25">
      <c r="B1224" s="1"/>
      <c r="C1224" s="1"/>
      <c r="D1224" s="7"/>
      <c r="E1224" s="7"/>
      <c r="F1224" s="55"/>
    </row>
    <row r="1225" spans="2:6" ht="15" customHeight="1" x14ac:dyDescent="0.25">
      <c r="B1225" s="1"/>
      <c r="C1225" s="1"/>
      <c r="D1225" s="7"/>
      <c r="E1225" s="7"/>
      <c r="F1225" s="55"/>
    </row>
    <row r="1226" spans="2:6" ht="15" customHeight="1" x14ac:dyDescent="0.25">
      <c r="B1226" s="1"/>
      <c r="C1226" s="1"/>
      <c r="D1226" s="7"/>
      <c r="E1226" s="7"/>
      <c r="F1226" s="55"/>
    </row>
    <row r="1227" spans="2:6" ht="15" customHeight="1" x14ac:dyDescent="0.25">
      <c r="B1227" s="1"/>
      <c r="C1227" s="1"/>
      <c r="D1227" s="7"/>
      <c r="E1227" s="7"/>
      <c r="F1227" s="55"/>
    </row>
    <row r="1228" spans="2:6" ht="15" customHeight="1" x14ac:dyDescent="0.25">
      <c r="B1228" s="1"/>
      <c r="C1228" s="1"/>
      <c r="D1228" s="7"/>
      <c r="E1228" s="7"/>
      <c r="F1228" s="55"/>
    </row>
    <row r="1229" spans="2:6" ht="15" customHeight="1" x14ac:dyDescent="0.25">
      <c r="B1229" s="1"/>
      <c r="C1229" s="1"/>
      <c r="D1229" s="7"/>
      <c r="E1229" s="7"/>
      <c r="F1229" s="55"/>
    </row>
    <row r="1230" spans="2:6" ht="15" customHeight="1" x14ac:dyDescent="0.25">
      <c r="B1230" s="1"/>
      <c r="C1230" s="1"/>
      <c r="D1230" s="7"/>
      <c r="E1230" s="7"/>
      <c r="F1230" s="55"/>
    </row>
    <row r="1231" spans="2:6" ht="15" customHeight="1" x14ac:dyDescent="0.25">
      <c r="B1231" s="1"/>
      <c r="C1231" s="1"/>
      <c r="D1231" s="7"/>
      <c r="E1231" s="7"/>
      <c r="F1231" s="55"/>
    </row>
    <row r="1232" spans="2:6" ht="15" customHeight="1" x14ac:dyDescent="0.25">
      <c r="B1232" s="1"/>
      <c r="C1232" s="1"/>
      <c r="D1232" s="7"/>
      <c r="E1232" s="7"/>
      <c r="F1232" s="55"/>
    </row>
    <row r="1233" spans="2:6" ht="15" customHeight="1" x14ac:dyDescent="0.25">
      <c r="B1233" s="1"/>
      <c r="C1233" s="1"/>
      <c r="D1233" s="7"/>
      <c r="E1233" s="7"/>
      <c r="F1233" s="55"/>
    </row>
    <row r="1234" spans="2:6" ht="15" customHeight="1" x14ac:dyDescent="0.25">
      <c r="B1234" s="1"/>
      <c r="C1234" s="1"/>
      <c r="D1234" s="7"/>
      <c r="E1234" s="7"/>
      <c r="F1234" s="55"/>
    </row>
    <row r="1235" spans="2:6" ht="15" customHeight="1" x14ac:dyDescent="0.25">
      <c r="B1235" s="1"/>
      <c r="C1235" s="1"/>
      <c r="D1235" s="7"/>
      <c r="E1235" s="7"/>
      <c r="F1235" s="55"/>
    </row>
    <row r="1236" spans="2:6" ht="15" customHeight="1" x14ac:dyDescent="0.25">
      <c r="B1236" s="1"/>
      <c r="C1236" s="1"/>
      <c r="D1236" s="7"/>
      <c r="E1236" s="7"/>
      <c r="F1236" s="55"/>
    </row>
    <row r="1237" spans="2:6" ht="15" customHeight="1" x14ac:dyDescent="0.25">
      <c r="B1237" s="1"/>
      <c r="C1237" s="1"/>
      <c r="D1237" s="7"/>
      <c r="E1237" s="7"/>
      <c r="F1237" s="55"/>
    </row>
    <row r="1238" spans="2:6" ht="15" customHeight="1" x14ac:dyDescent="0.25">
      <c r="B1238" s="1"/>
      <c r="C1238" s="1"/>
      <c r="D1238" s="7"/>
      <c r="E1238" s="7"/>
      <c r="F1238" s="55"/>
    </row>
    <row r="1239" spans="2:6" ht="15" customHeight="1" x14ac:dyDescent="0.25">
      <c r="B1239" s="1"/>
      <c r="C1239" s="1"/>
      <c r="D1239" s="7"/>
      <c r="E1239" s="7"/>
      <c r="F1239" s="55"/>
    </row>
    <row r="1240" spans="2:6" ht="15" customHeight="1" x14ac:dyDescent="0.25">
      <c r="B1240" s="1"/>
      <c r="C1240" s="1"/>
      <c r="D1240" s="7"/>
      <c r="E1240" s="7"/>
      <c r="F1240" s="55"/>
    </row>
    <row r="1241" spans="2:6" ht="15" customHeight="1" x14ac:dyDescent="0.25">
      <c r="B1241" s="1"/>
      <c r="C1241" s="1"/>
      <c r="D1241" s="7"/>
      <c r="E1241" s="7"/>
      <c r="F1241" s="55"/>
    </row>
    <row r="1242" spans="2:6" ht="15" customHeight="1" x14ac:dyDescent="0.25">
      <c r="B1242" s="1"/>
      <c r="C1242" s="1"/>
      <c r="D1242" s="7"/>
      <c r="E1242" s="7"/>
      <c r="F1242" s="55"/>
    </row>
    <row r="1243" spans="2:6" ht="15" customHeight="1" x14ac:dyDescent="0.25">
      <c r="B1243" s="1"/>
      <c r="C1243" s="1"/>
      <c r="D1243" s="7"/>
      <c r="E1243" s="7"/>
      <c r="F1243" s="55"/>
    </row>
    <row r="1244" spans="2:6" ht="15" customHeight="1" x14ac:dyDescent="0.25">
      <c r="B1244" s="1"/>
      <c r="C1244" s="1"/>
      <c r="D1244" s="7"/>
      <c r="E1244" s="7"/>
      <c r="F1244" s="55"/>
    </row>
    <row r="1245" spans="2:6" ht="15" customHeight="1" x14ac:dyDescent="0.25">
      <c r="B1245" s="1"/>
      <c r="C1245" s="1"/>
      <c r="D1245" s="7"/>
      <c r="E1245" s="7"/>
      <c r="F1245" s="55"/>
    </row>
    <row r="1246" spans="2:6" ht="15" customHeight="1" x14ac:dyDescent="0.25">
      <c r="B1246" s="1"/>
      <c r="C1246" s="1"/>
      <c r="D1246" s="7"/>
      <c r="E1246" s="7"/>
      <c r="F1246" s="55"/>
    </row>
    <row r="1247" spans="2:6" ht="15" customHeight="1" x14ac:dyDescent="0.25">
      <c r="B1247" s="1"/>
      <c r="C1247" s="1"/>
      <c r="D1247" s="7"/>
      <c r="E1247" s="7"/>
      <c r="F1247" s="55"/>
    </row>
    <row r="1248" spans="2:6" ht="15" customHeight="1" x14ac:dyDescent="0.25">
      <c r="B1248" s="1"/>
      <c r="C1248" s="1"/>
      <c r="D1248" s="7"/>
      <c r="E1248" s="7"/>
      <c r="F1248" s="55"/>
    </row>
    <row r="1249" spans="2:6" ht="15" customHeight="1" x14ac:dyDescent="0.25">
      <c r="B1249" s="1"/>
      <c r="C1249" s="1"/>
      <c r="D1249" s="7"/>
      <c r="E1249" s="7"/>
      <c r="F1249" s="55"/>
    </row>
    <row r="1250" spans="2:6" ht="15" customHeight="1" x14ac:dyDescent="0.25">
      <c r="B1250" s="1"/>
      <c r="C1250" s="1"/>
      <c r="D1250" s="7"/>
      <c r="E1250" s="7"/>
      <c r="F1250" s="55"/>
    </row>
    <row r="1251" spans="2:6" ht="15" customHeight="1" x14ac:dyDescent="0.25">
      <c r="B1251" s="1"/>
      <c r="C1251" s="1"/>
      <c r="D1251" s="7"/>
      <c r="E1251" s="7"/>
      <c r="F1251" s="55"/>
    </row>
    <row r="1252" spans="2:6" ht="15" customHeight="1" x14ac:dyDescent="0.25">
      <c r="B1252" s="1"/>
      <c r="C1252" s="1"/>
      <c r="D1252" s="7"/>
      <c r="E1252" s="7"/>
      <c r="F1252" s="55"/>
    </row>
    <row r="1253" spans="2:6" ht="15" customHeight="1" x14ac:dyDescent="0.25">
      <c r="B1253" s="1"/>
      <c r="C1253" s="1"/>
      <c r="D1253" s="7"/>
      <c r="E1253" s="7"/>
      <c r="F1253" s="55"/>
    </row>
    <row r="1254" spans="2:6" ht="15" customHeight="1" x14ac:dyDescent="0.25">
      <c r="B1254" s="1"/>
      <c r="C1254" s="1"/>
      <c r="D1254" s="7"/>
      <c r="E1254" s="7"/>
      <c r="F1254" s="55"/>
    </row>
    <row r="1255" spans="2:6" ht="15" customHeight="1" x14ac:dyDescent="0.25">
      <c r="B1255" s="1"/>
      <c r="C1255" s="1"/>
      <c r="D1255" s="7"/>
      <c r="E1255" s="7"/>
      <c r="F1255" s="55"/>
    </row>
    <row r="1256" spans="2:6" ht="15" customHeight="1" x14ac:dyDescent="0.25">
      <c r="B1256" s="1"/>
      <c r="C1256" s="1"/>
      <c r="D1256" s="7"/>
      <c r="E1256" s="7"/>
      <c r="F1256" s="55"/>
    </row>
    <row r="1257" spans="2:6" ht="15" customHeight="1" x14ac:dyDescent="0.25">
      <c r="B1257" s="1"/>
      <c r="C1257" s="1"/>
      <c r="D1257" s="7"/>
      <c r="E1257" s="7"/>
      <c r="F1257" s="55"/>
    </row>
    <row r="1258" spans="2:6" ht="15" customHeight="1" x14ac:dyDescent="0.25">
      <c r="B1258" s="1"/>
      <c r="C1258" s="1"/>
      <c r="D1258" s="7"/>
      <c r="E1258" s="7"/>
      <c r="F1258" s="55"/>
    </row>
    <row r="1259" spans="2:6" ht="15" customHeight="1" x14ac:dyDescent="0.25">
      <c r="B1259" s="1"/>
      <c r="C1259" s="1"/>
      <c r="D1259" s="7"/>
      <c r="E1259" s="7"/>
      <c r="F1259" s="55"/>
    </row>
    <row r="1260" spans="2:6" ht="15" customHeight="1" x14ac:dyDescent="0.25">
      <c r="B1260" s="1"/>
      <c r="C1260" s="1"/>
      <c r="D1260" s="7"/>
      <c r="E1260" s="7"/>
      <c r="F1260" s="55"/>
    </row>
    <row r="1261" spans="2:6" ht="15" customHeight="1" x14ac:dyDescent="0.25">
      <c r="B1261" s="1"/>
      <c r="C1261" s="1"/>
      <c r="D1261" s="7"/>
      <c r="E1261" s="7"/>
      <c r="F1261" s="55"/>
    </row>
    <row r="1262" spans="2:6" ht="15" customHeight="1" x14ac:dyDescent="0.25">
      <c r="B1262" s="1"/>
      <c r="C1262" s="1"/>
      <c r="D1262" s="7"/>
      <c r="E1262" s="7"/>
      <c r="F1262" s="55"/>
    </row>
    <row r="1263" spans="2:6" ht="15" customHeight="1" x14ac:dyDescent="0.25">
      <c r="B1263" s="1"/>
      <c r="C1263" s="1"/>
      <c r="D1263" s="7"/>
      <c r="E1263" s="7"/>
      <c r="F1263" s="55"/>
    </row>
    <row r="1264" spans="2:6" ht="15" customHeight="1" x14ac:dyDescent="0.25">
      <c r="B1264" s="1"/>
      <c r="C1264" s="1"/>
      <c r="D1264" s="7"/>
      <c r="E1264" s="7"/>
      <c r="F1264" s="55"/>
    </row>
    <row r="1265" spans="2:6" ht="15" customHeight="1" x14ac:dyDescent="0.25">
      <c r="B1265" s="1"/>
      <c r="C1265" s="1"/>
      <c r="D1265" s="7"/>
      <c r="E1265" s="7"/>
      <c r="F1265" s="55"/>
    </row>
    <row r="1266" spans="2:6" ht="15" customHeight="1" x14ac:dyDescent="0.25">
      <c r="B1266" s="1"/>
      <c r="C1266" s="1"/>
      <c r="D1266" s="7"/>
      <c r="E1266" s="7"/>
      <c r="F1266" s="55"/>
    </row>
    <row r="1267" spans="2:6" ht="15" customHeight="1" x14ac:dyDescent="0.25">
      <c r="B1267" s="1"/>
      <c r="C1267" s="1"/>
      <c r="D1267" s="7"/>
      <c r="E1267" s="7"/>
      <c r="F1267" s="55"/>
    </row>
    <row r="1268" spans="2:6" ht="15" customHeight="1" x14ac:dyDescent="0.25">
      <c r="B1268" s="1"/>
      <c r="C1268" s="1"/>
      <c r="D1268" s="7"/>
      <c r="E1268" s="7"/>
      <c r="F1268" s="55"/>
    </row>
    <row r="1269" spans="2:6" ht="15" customHeight="1" x14ac:dyDescent="0.25">
      <c r="B1269" s="1"/>
      <c r="C1269" s="1"/>
      <c r="D1269" s="7"/>
      <c r="E1269" s="7"/>
      <c r="F1269" s="55"/>
    </row>
    <row r="1270" spans="2:6" ht="15" customHeight="1" x14ac:dyDescent="0.25">
      <c r="B1270" s="1"/>
      <c r="C1270" s="1"/>
      <c r="D1270" s="7"/>
      <c r="E1270" s="7"/>
      <c r="F1270" s="55"/>
    </row>
    <row r="1271" spans="2:6" ht="15" customHeight="1" x14ac:dyDescent="0.25">
      <c r="B1271" s="1"/>
      <c r="C1271" s="1"/>
      <c r="D1271" s="7"/>
      <c r="E1271" s="7"/>
      <c r="F1271" s="55"/>
    </row>
    <row r="1272" spans="2:6" ht="15" customHeight="1" x14ac:dyDescent="0.25">
      <c r="B1272" s="1"/>
      <c r="C1272" s="1"/>
      <c r="D1272" s="7"/>
      <c r="E1272" s="7"/>
      <c r="F1272" s="55"/>
    </row>
    <row r="1273" spans="2:6" ht="15" customHeight="1" x14ac:dyDescent="0.25">
      <c r="B1273" s="1"/>
      <c r="C1273" s="1"/>
      <c r="D1273" s="7"/>
      <c r="E1273" s="7"/>
      <c r="F1273" s="55"/>
    </row>
    <row r="1274" spans="2:6" ht="15" customHeight="1" x14ac:dyDescent="0.25">
      <c r="B1274" s="1"/>
      <c r="C1274" s="1"/>
      <c r="D1274" s="7"/>
      <c r="E1274" s="7"/>
      <c r="F1274" s="55"/>
    </row>
    <row r="1275" spans="2:6" ht="15" customHeight="1" x14ac:dyDescent="0.25">
      <c r="B1275" s="1"/>
      <c r="C1275" s="1"/>
      <c r="D1275" s="7"/>
      <c r="E1275" s="7"/>
      <c r="F1275" s="55"/>
    </row>
    <row r="1276" spans="2:6" ht="15" customHeight="1" x14ac:dyDescent="0.25">
      <c r="B1276" s="1"/>
      <c r="C1276" s="1"/>
      <c r="D1276" s="7"/>
      <c r="E1276" s="7"/>
      <c r="F1276" s="55"/>
    </row>
    <row r="1277" spans="2:6" ht="15" customHeight="1" x14ac:dyDescent="0.25">
      <c r="B1277" s="1"/>
      <c r="C1277" s="1"/>
      <c r="D1277" s="7"/>
      <c r="E1277" s="7"/>
      <c r="F1277" s="55"/>
    </row>
    <row r="1278" spans="2:6" ht="15" customHeight="1" x14ac:dyDescent="0.25">
      <c r="B1278" s="1"/>
      <c r="C1278" s="1"/>
      <c r="D1278" s="7"/>
      <c r="E1278" s="7"/>
      <c r="F1278" s="55"/>
    </row>
    <row r="1279" spans="2:6" ht="15" customHeight="1" x14ac:dyDescent="0.25">
      <c r="B1279" s="1"/>
      <c r="C1279" s="1"/>
      <c r="D1279" s="7"/>
      <c r="E1279" s="7"/>
      <c r="F1279" s="55"/>
    </row>
    <row r="1280" spans="2:6" ht="15" customHeight="1" x14ac:dyDescent="0.25">
      <c r="B1280" s="1"/>
      <c r="C1280" s="1"/>
      <c r="D1280" s="7"/>
      <c r="E1280" s="7"/>
      <c r="F1280" s="55"/>
    </row>
    <row r="1281" spans="2:6" ht="15" customHeight="1" x14ac:dyDescent="0.25">
      <c r="B1281" s="1"/>
      <c r="C1281" s="1"/>
      <c r="D1281" s="7"/>
      <c r="E1281" s="7"/>
      <c r="F1281" s="55"/>
    </row>
    <row r="1282" spans="2:6" ht="15" customHeight="1" x14ac:dyDescent="0.25">
      <c r="B1282" s="1"/>
      <c r="C1282" s="1"/>
      <c r="D1282" s="7"/>
      <c r="E1282" s="7"/>
      <c r="F1282" s="55"/>
    </row>
    <row r="1283" spans="2:6" ht="15" customHeight="1" x14ac:dyDescent="0.25">
      <c r="B1283" s="1"/>
      <c r="C1283" s="1"/>
      <c r="D1283" s="7"/>
      <c r="E1283" s="7"/>
      <c r="F1283" s="55"/>
    </row>
    <row r="1284" spans="2:6" ht="15" customHeight="1" x14ac:dyDescent="0.25">
      <c r="B1284" s="1"/>
      <c r="C1284" s="1"/>
      <c r="D1284" s="7"/>
      <c r="E1284" s="7"/>
      <c r="F1284" s="55"/>
    </row>
    <row r="1285" spans="2:6" ht="15" customHeight="1" x14ac:dyDescent="0.25">
      <c r="B1285" s="1"/>
      <c r="C1285" s="1"/>
      <c r="D1285" s="7"/>
      <c r="E1285" s="7"/>
      <c r="F1285" s="55"/>
    </row>
    <row r="1286" spans="2:6" ht="15" customHeight="1" x14ac:dyDescent="0.25">
      <c r="B1286" s="1"/>
      <c r="C1286" s="1"/>
      <c r="D1286" s="7"/>
      <c r="E1286" s="7"/>
      <c r="F1286" s="55"/>
    </row>
    <row r="1287" spans="2:6" ht="15" customHeight="1" x14ac:dyDescent="0.25">
      <c r="B1287" s="1"/>
      <c r="C1287" s="1"/>
      <c r="D1287" s="7"/>
      <c r="E1287" s="7"/>
      <c r="F1287" s="55"/>
    </row>
    <row r="1288" spans="2:6" ht="15" customHeight="1" x14ac:dyDescent="0.25">
      <c r="B1288" s="1"/>
      <c r="C1288" s="1"/>
      <c r="D1288" s="7"/>
      <c r="E1288" s="7"/>
      <c r="F1288" s="55"/>
    </row>
    <row r="1289" spans="2:6" ht="15" customHeight="1" x14ac:dyDescent="0.25">
      <c r="B1289" s="1"/>
      <c r="C1289" s="1"/>
      <c r="D1289" s="7"/>
      <c r="E1289" s="7"/>
      <c r="F1289" s="55"/>
    </row>
    <row r="1290" spans="2:6" ht="15" customHeight="1" x14ac:dyDescent="0.25">
      <c r="B1290" s="1"/>
      <c r="C1290" s="1"/>
      <c r="D1290" s="7"/>
      <c r="E1290" s="7"/>
      <c r="F1290" s="55"/>
    </row>
    <row r="1291" spans="2:6" ht="15" customHeight="1" x14ac:dyDescent="0.25">
      <c r="B1291" s="1"/>
      <c r="C1291" s="1"/>
      <c r="D1291" s="7"/>
      <c r="E1291" s="7"/>
      <c r="F1291" s="55"/>
    </row>
    <row r="1292" spans="2:6" ht="15" customHeight="1" x14ac:dyDescent="0.25">
      <c r="B1292" s="1"/>
      <c r="C1292" s="1"/>
      <c r="D1292" s="7"/>
      <c r="E1292" s="7"/>
      <c r="F1292" s="55"/>
    </row>
    <row r="1293" spans="2:6" ht="15" customHeight="1" x14ac:dyDescent="0.25">
      <c r="B1293" s="1"/>
      <c r="C1293" s="1"/>
      <c r="D1293" s="7"/>
      <c r="E1293" s="7"/>
      <c r="F1293" s="55"/>
    </row>
    <row r="1294" spans="2:6" ht="15" customHeight="1" x14ac:dyDescent="0.25">
      <c r="B1294" s="1"/>
      <c r="C1294" s="1"/>
      <c r="D1294" s="7"/>
      <c r="E1294" s="7"/>
      <c r="F1294" s="55"/>
    </row>
    <row r="1295" spans="2:6" ht="15" customHeight="1" x14ac:dyDescent="0.25">
      <c r="B1295" s="1"/>
      <c r="C1295" s="1"/>
      <c r="D1295" s="7"/>
      <c r="E1295" s="7"/>
      <c r="F1295" s="55"/>
    </row>
    <row r="1296" spans="2:6" ht="15" customHeight="1" x14ac:dyDescent="0.25">
      <c r="B1296" s="1"/>
      <c r="C1296" s="1"/>
      <c r="D1296" s="7"/>
      <c r="E1296" s="7"/>
      <c r="F1296" s="55"/>
    </row>
    <row r="1297" spans="2:6" ht="15" customHeight="1" x14ac:dyDescent="0.25">
      <c r="B1297" s="1"/>
      <c r="C1297" s="1"/>
      <c r="D1297" s="7"/>
      <c r="E1297" s="7"/>
      <c r="F1297" s="55"/>
    </row>
    <row r="1298" spans="2:6" ht="15" customHeight="1" x14ac:dyDescent="0.25">
      <c r="B1298" s="1"/>
      <c r="C1298" s="1"/>
      <c r="D1298" s="7"/>
      <c r="E1298" s="7"/>
      <c r="F1298" s="55"/>
    </row>
    <row r="1299" spans="2:6" ht="15" customHeight="1" x14ac:dyDescent="0.25">
      <c r="B1299" s="1"/>
      <c r="C1299" s="1"/>
      <c r="D1299" s="7"/>
      <c r="E1299" s="7"/>
      <c r="F1299" s="55"/>
    </row>
    <row r="1300" spans="2:6" ht="15" customHeight="1" x14ac:dyDescent="0.25">
      <c r="B1300" s="1"/>
      <c r="C1300" s="1"/>
      <c r="D1300" s="7"/>
      <c r="E1300" s="7"/>
      <c r="F1300" s="55"/>
    </row>
    <row r="1301" spans="2:6" ht="15" customHeight="1" x14ac:dyDescent="0.25">
      <c r="B1301" s="1"/>
      <c r="C1301" s="1"/>
      <c r="D1301" s="7"/>
      <c r="E1301" s="7"/>
      <c r="F1301" s="55"/>
    </row>
    <row r="1302" spans="2:6" ht="15" customHeight="1" x14ac:dyDescent="0.25">
      <c r="B1302" s="1"/>
      <c r="C1302" s="1"/>
      <c r="D1302" s="7"/>
      <c r="E1302" s="7"/>
      <c r="F1302" s="55"/>
    </row>
    <row r="1303" spans="2:6" ht="15" customHeight="1" x14ac:dyDescent="0.25">
      <c r="B1303" s="1"/>
      <c r="C1303" s="1"/>
      <c r="D1303" s="7"/>
      <c r="E1303" s="7"/>
      <c r="F1303" s="55"/>
    </row>
    <row r="1304" spans="2:6" ht="15" customHeight="1" x14ac:dyDescent="0.25">
      <c r="B1304" s="1"/>
      <c r="C1304" s="1"/>
      <c r="D1304" s="7"/>
      <c r="E1304" s="7"/>
      <c r="F1304" s="55"/>
    </row>
    <row r="1305" spans="2:6" ht="15" customHeight="1" x14ac:dyDescent="0.25">
      <c r="B1305" s="1"/>
      <c r="C1305" s="1"/>
      <c r="D1305" s="7"/>
      <c r="E1305" s="7"/>
      <c r="F1305" s="55"/>
    </row>
    <row r="1306" spans="2:6" ht="15" customHeight="1" x14ac:dyDescent="0.25">
      <c r="B1306" s="1"/>
      <c r="C1306" s="1"/>
      <c r="D1306" s="7"/>
      <c r="E1306" s="7"/>
      <c r="F1306" s="55"/>
    </row>
    <row r="1307" spans="2:6" ht="15" customHeight="1" x14ac:dyDescent="0.25">
      <c r="B1307" s="1"/>
      <c r="C1307" s="1"/>
      <c r="D1307" s="7"/>
      <c r="E1307" s="7"/>
      <c r="F1307" s="55"/>
    </row>
    <row r="1308" spans="2:6" ht="15" customHeight="1" x14ac:dyDescent="0.25">
      <c r="B1308" s="1"/>
      <c r="C1308" s="1"/>
      <c r="D1308" s="7"/>
      <c r="E1308" s="7"/>
      <c r="F1308" s="55"/>
    </row>
    <row r="1309" spans="2:6" ht="15" customHeight="1" x14ac:dyDescent="0.25">
      <c r="B1309" s="1"/>
      <c r="C1309" s="1"/>
      <c r="D1309" s="7"/>
      <c r="E1309" s="7"/>
      <c r="F1309" s="55"/>
    </row>
    <row r="1310" spans="2:6" ht="15" customHeight="1" x14ac:dyDescent="0.25">
      <c r="B1310" s="1"/>
      <c r="C1310" s="1"/>
      <c r="D1310" s="7"/>
      <c r="E1310" s="7"/>
      <c r="F1310" s="55"/>
    </row>
    <row r="1311" spans="2:6" ht="15" customHeight="1" x14ac:dyDescent="0.25">
      <c r="B1311" s="1"/>
      <c r="C1311" s="1"/>
      <c r="D1311" s="7"/>
      <c r="E1311" s="7"/>
      <c r="F1311" s="55"/>
    </row>
    <row r="1312" spans="2:6" ht="15" customHeight="1" x14ac:dyDescent="0.25">
      <c r="B1312" s="1"/>
      <c r="C1312" s="1"/>
      <c r="D1312" s="7"/>
      <c r="E1312" s="7"/>
      <c r="F1312" s="55"/>
    </row>
    <row r="1313" spans="2:6" ht="15" customHeight="1" x14ac:dyDescent="0.25">
      <c r="B1313" s="1"/>
      <c r="C1313" s="1"/>
      <c r="D1313" s="7"/>
      <c r="E1313" s="7"/>
      <c r="F1313" s="55"/>
    </row>
    <row r="1314" spans="2:6" ht="15" customHeight="1" x14ac:dyDescent="0.25">
      <c r="B1314" s="1"/>
      <c r="C1314" s="1"/>
      <c r="D1314" s="7"/>
      <c r="E1314" s="7"/>
      <c r="F1314" s="55"/>
    </row>
    <row r="1315" spans="2:6" ht="15" customHeight="1" x14ac:dyDescent="0.25">
      <c r="B1315" s="1"/>
      <c r="C1315" s="1"/>
      <c r="D1315" s="7"/>
      <c r="E1315" s="7"/>
      <c r="F1315" s="55"/>
    </row>
    <row r="1316" spans="2:6" ht="15" customHeight="1" x14ac:dyDescent="0.25">
      <c r="B1316" s="1"/>
      <c r="C1316" s="1"/>
      <c r="D1316" s="7"/>
      <c r="E1316" s="7"/>
      <c r="F1316" s="55"/>
    </row>
    <row r="1317" spans="2:6" ht="15" customHeight="1" x14ac:dyDescent="0.25">
      <c r="B1317" s="1"/>
      <c r="C1317" s="1"/>
      <c r="D1317" s="7"/>
      <c r="E1317" s="7"/>
      <c r="F1317" s="55"/>
    </row>
    <row r="1318" spans="2:6" ht="15" customHeight="1" x14ac:dyDescent="0.25">
      <c r="B1318" s="1"/>
      <c r="C1318" s="1"/>
      <c r="D1318" s="7"/>
      <c r="E1318" s="7"/>
      <c r="F1318" s="55"/>
    </row>
    <row r="1319" spans="2:6" ht="15" customHeight="1" x14ac:dyDescent="0.25">
      <c r="B1319" s="1"/>
      <c r="C1319" s="1"/>
      <c r="D1319" s="7"/>
      <c r="E1319" s="7"/>
      <c r="F1319" s="55"/>
    </row>
    <row r="1320" spans="2:6" ht="15" customHeight="1" x14ac:dyDescent="0.25">
      <c r="B1320" s="1"/>
      <c r="C1320" s="1"/>
      <c r="D1320" s="7"/>
      <c r="E1320" s="7"/>
      <c r="F1320" s="55"/>
    </row>
    <row r="1321" spans="2:6" ht="15" customHeight="1" x14ac:dyDescent="0.25">
      <c r="B1321" s="1"/>
      <c r="C1321" s="1"/>
      <c r="D1321" s="7"/>
      <c r="E1321" s="7"/>
      <c r="F1321" s="55"/>
    </row>
    <row r="1322" spans="2:6" ht="15" customHeight="1" x14ac:dyDescent="0.25">
      <c r="B1322" s="1"/>
      <c r="C1322" s="1"/>
      <c r="D1322" s="7"/>
      <c r="E1322" s="7"/>
      <c r="F1322" s="55"/>
    </row>
    <row r="1323" spans="2:6" ht="15" customHeight="1" x14ac:dyDescent="0.25">
      <c r="B1323" s="1"/>
      <c r="C1323" s="1"/>
      <c r="D1323" s="7"/>
      <c r="E1323" s="7"/>
      <c r="F1323" s="55"/>
    </row>
    <row r="1324" spans="2:6" ht="15" customHeight="1" x14ac:dyDescent="0.25">
      <c r="B1324" s="1"/>
      <c r="C1324" s="1"/>
      <c r="D1324" s="7"/>
      <c r="E1324" s="7"/>
      <c r="F1324" s="55"/>
    </row>
    <row r="1325" spans="2:6" ht="15" customHeight="1" x14ac:dyDescent="0.25">
      <c r="B1325" s="1"/>
      <c r="C1325" s="1"/>
      <c r="D1325" s="7"/>
      <c r="E1325" s="7"/>
      <c r="F1325" s="55"/>
    </row>
    <row r="1326" spans="2:6" ht="15" customHeight="1" x14ac:dyDescent="0.25">
      <c r="B1326" s="1"/>
      <c r="C1326" s="1"/>
      <c r="D1326" s="7"/>
      <c r="E1326" s="7"/>
      <c r="F1326" s="55"/>
    </row>
    <row r="1327" spans="2:6" ht="15" customHeight="1" x14ac:dyDescent="0.25">
      <c r="B1327" s="1"/>
      <c r="C1327" s="1"/>
      <c r="D1327" s="7"/>
      <c r="E1327" s="7"/>
      <c r="F1327" s="55"/>
    </row>
    <row r="1328" spans="2:6" ht="15" customHeight="1" x14ac:dyDescent="0.25">
      <c r="B1328" s="1"/>
      <c r="C1328" s="1"/>
      <c r="D1328" s="7"/>
      <c r="E1328" s="7"/>
      <c r="F1328" s="55"/>
    </row>
    <row r="1329" spans="2:6" ht="15" customHeight="1" x14ac:dyDescent="0.25">
      <c r="B1329" s="1"/>
      <c r="C1329" s="1"/>
      <c r="D1329" s="7"/>
      <c r="E1329" s="7"/>
      <c r="F1329" s="55"/>
    </row>
    <row r="1330" spans="2:6" ht="15" customHeight="1" x14ac:dyDescent="0.25">
      <c r="B1330" s="1"/>
      <c r="C1330" s="1"/>
      <c r="D1330" s="7"/>
      <c r="E1330" s="7"/>
      <c r="F1330" s="55"/>
    </row>
    <row r="1331" spans="2:6" ht="15" customHeight="1" x14ac:dyDescent="0.25">
      <c r="B1331" s="1"/>
      <c r="C1331" s="1"/>
      <c r="D1331" s="7"/>
      <c r="E1331" s="7"/>
      <c r="F1331" s="55"/>
    </row>
    <row r="1332" spans="2:6" ht="15" customHeight="1" x14ac:dyDescent="0.25">
      <c r="B1332" s="1"/>
      <c r="C1332" s="1"/>
      <c r="D1332" s="7"/>
      <c r="E1332" s="7"/>
      <c r="F1332" s="55"/>
    </row>
    <row r="1333" spans="2:6" ht="15" customHeight="1" x14ac:dyDescent="0.25">
      <c r="B1333" s="1"/>
      <c r="C1333" s="1"/>
      <c r="D1333" s="7"/>
      <c r="E1333" s="7"/>
      <c r="F1333" s="55"/>
    </row>
    <row r="1334" spans="2:6" ht="15" customHeight="1" x14ac:dyDescent="0.25">
      <c r="B1334" s="1"/>
      <c r="C1334" s="1"/>
      <c r="D1334" s="7"/>
      <c r="E1334" s="7"/>
      <c r="F1334" s="55"/>
    </row>
    <row r="1335" spans="2:6" ht="15" customHeight="1" x14ac:dyDescent="0.25">
      <c r="B1335" s="1"/>
      <c r="C1335" s="1"/>
      <c r="D1335" s="7"/>
      <c r="E1335" s="7"/>
      <c r="F1335" s="55"/>
    </row>
    <row r="1336" spans="2:6" ht="15" customHeight="1" x14ac:dyDescent="0.25">
      <c r="B1336" s="1"/>
      <c r="C1336" s="1"/>
      <c r="D1336" s="7"/>
      <c r="E1336" s="7"/>
      <c r="F1336" s="55"/>
    </row>
    <row r="1337" spans="2:6" ht="15" customHeight="1" x14ac:dyDescent="0.25">
      <c r="B1337" s="1"/>
      <c r="C1337" s="1"/>
      <c r="D1337" s="7"/>
      <c r="E1337" s="7"/>
      <c r="F1337" s="55"/>
    </row>
    <row r="1338" spans="2:6" ht="15" customHeight="1" x14ac:dyDescent="0.25">
      <c r="B1338" s="1"/>
      <c r="C1338" s="1"/>
      <c r="D1338" s="7"/>
      <c r="E1338" s="7"/>
      <c r="F1338" s="55"/>
    </row>
    <row r="1339" spans="2:6" ht="15" customHeight="1" x14ac:dyDescent="0.25">
      <c r="B1339" s="1"/>
      <c r="C1339" s="1"/>
      <c r="D1339" s="7"/>
      <c r="E1339" s="7"/>
      <c r="F1339" s="55"/>
    </row>
    <row r="1340" spans="2:6" ht="15" customHeight="1" x14ac:dyDescent="0.25">
      <c r="B1340" s="1"/>
      <c r="C1340" s="1"/>
      <c r="D1340" s="7"/>
      <c r="E1340" s="7"/>
      <c r="F1340" s="55"/>
    </row>
    <row r="1341" spans="2:6" ht="15" customHeight="1" x14ac:dyDescent="0.25">
      <c r="B1341" s="1"/>
      <c r="C1341" s="1"/>
      <c r="D1341" s="7"/>
      <c r="E1341" s="7"/>
      <c r="F1341" s="55"/>
    </row>
    <row r="1342" spans="2:6" ht="15" customHeight="1" x14ac:dyDescent="0.25">
      <c r="B1342" s="1"/>
      <c r="C1342" s="1"/>
      <c r="D1342" s="7"/>
      <c r="E1342" s="7"/>
      <c r="F1342" s="55"/>
    </row>
    <row r="1343" spans="2:6" ht="15" customHeight="1" x14ac:dyDescent="0.25">
      <c r="B1343" s="1"/>
      <c r="C1343" s="1"/>
      <c r="D1343" s="7"/>
      <c r="E1343" s="7"/>
      <c r="F1343" s="55"/>
    </row>
    <row r="1344" spans="2:6" ht="15" customHeight="1" x14ac:dyDescent="0.25">
      <c r="B1344" s="1"/>
      <c r="C1344" s="1"/>
      <c r="D1344" s="7"/>
      <c r="E1344" s="7"/>
      <c r="F1344" s="55"/>
    </row>
    <row r="1345" spans="2:6" ht="15" customHeight="1" x14ac:dyDescent="0.25">
      <c r="B1345" s="1"/>
      <c r="C1345" s="1"/>
      <c r="D1345" s="7"/>
      <c r="E1345" s="7"/>
      <c r="F1345" s="55"/>
    </row>
    <row r="1346" spans="2:6" ht="15" customHeight="1" x14ac:dyDescent="0.25">
      <c r="B1346" s="1"/>
      <c r="C1346" s="1"/>
      <c r="D1346" s="7"/>
      <c r="E1346" s="7"/>
      <c r="F1346" s="55"/>
    </row>
    <row r="1347" spans="2:6" ht="15" customHeight="1" x14ac:dyDescent="0.25">
      <c r="B1347" s="1"/>
      <c r="C1347" s="1"/>
      <c r="D1347" s="7"/>
      <c r="E1347" s="7"/>
      <c r="F1347" s="55"/>
    </row>
    <row r="1348" spans="2:6" ht="15" customHeight="1" x14ac:dyDescent="0.25">
      <c r="B1348" s="1"/>
      <c r="C1348" s="1"/>
      <c r="D1348" s="7"/>
      <c r="E1348" s="7"/>
      <c r="F1348" s="55"/>
    </row>
    <row r="1349" spans="2:6" ht="15" customHeight="1" x14ac:dyDescent="0.25">
      <c r="B1349" s="1"/>
      <c r="C1349" s="1"/>
      <c r="D1349" s="7"/>
      <c r="E1349" s="7"/>
      <c r="F1349" s="55"/>
    </row>
    <row r="1350" spans="2:6" ht="15" customHeight="1" x14ac:dyDescent="0.25">
      <c r="B1350" s="1"/>
      <c r="C1350" s="1"/>
      <c r="D1350" s="7"/>
      <c r="E1350" s="7"/>
      <c r="F1350" s="55"/>
    </row>
    <row r="1351" spans="2:6" ht="15" customHeight="1" x14ac:dyDescent="0.25">
      <c r="B1351" s="1"/>
      <c r="C1351" s="1"/>
      <c r="D1351" s="7"/>
      <c r="E1351" s="7"/>
      <c r="F1351" s="55"/>
    </row>
    <row r="1352" spans="2:6" ht="15" customHeight="1" x14ac:dyDescent="0.25">
      <c r="B1352" s="1"/>
      <c r="C1352" s="1"/>
      <c r="D1352" s="7"/>
      <c r="E1352" s="7"/>
      <c r="F1352" s="55"/>
    </row>
    <row r="1353" spans="2:6" ht="15" customHeight="1" x14ac:dyDescent="0.25">
      <c r="B1353" s="1"/>
      <c r="C1353" s="1"/>
      <c r="D1353" s="7"/>
      <c r="E1353" s="7"/>
      <c r="F1353" s="55"/>
    </row>
    <row r="1354" spans="2:6" ht="15" customHeight="1" x14ac:dyDescent="0.25">
      <c r="B1354" s="1"/>
      <c r="C1354" s="1"/>
      <c r="D1354" s="7"/>
      <c r="E1354" s="7"/>
      <c r="F1354" s="55"/>
    </row>
    <row r="1355" spans="2:6" ht="15" customHeight="1" x14ac:dyDescent="0.25">
      <c r="B1355" s="1"/>
      <c r="C1355" s="1"/>
      <c r="D1355" s="7"/>
      <c r="E1355" s="7"/>
      <c r="F1355" s="55"/>
    </row>
    <row r="1356" spans="2:6" ht="15" customHeight="1" x14ac:dyDescent="0.25">
      <c r="B1356" s="1"/>
      <c r="C1356" s="1"/>
      <c r="D1356" s="7"/>
      <c r="E1356" s="7"/>
      <c r="F1356" s="55"/>
    </row>
    <row r="1357" spans="2:6" ht="15" customHeight="1" x14ac:dyDescent="0.25">
      <c r="B1357" s="1"/>
      <c r="C1357" s="1"/>
      <c r="D1357" s="7"/>
      <c r="E1357" s="7"/>
      <c r="F1357" s="55"/>
    </row>
    <row r="1358" spans="2:6" ht="15" customHeight="1" x14ac:dyDescent="0.25">
      <c r="B1358" s="1"/>
      <c r="C1358" s="1"/>
      <c r="D1358" s="7"/>
      <c r="E1358" s="7"/>
      <c r="F1358" s="55"/>
    </row>
    <row r="1359" spans="2:6" ht="15" customHeight="1" x14ac:dyDescent="0.25">
      <c r="B1359" s="1"/>
      <c r="C1359" s="1"/>
      <c r="D1359" s="7"/>
      <c r="E1359" s="7"/>
      <c r="F1359" s="55"/>
    </row>
    <row r="1360" spans="2:6" ht="15" customHeight="1" x14ac:dyDescent="0.25">
      <c r="B1360" s="1"/>
      <c r="C1360" s="1"/>
      <c r="D1360" s="7"/>
      <c r="E1360" s="7"/>
      <c r="F1360" s="55"/>
    </row>
    <row r="1361" spans="2:6" ht="15" customHeight="1" x14ac:dyDescent="0.25">
      <c r="B1361" s="1"/>
      <c r="C1361" s="1"/>
      <c r="D1361" s="7"/>
      <c r="E1361" s="7"/>
      <c r="F1361" s="55"/>
    </row>
    <row r="1362" spans="2:6" ht="15" customHeight="1" x14ac:dyDescent="0.25">
      <c r="B1362" s="1"/>
      <c r="C1362" s="1"/>
      <c r="D1362" s="7"/>
      <c r="E1362" s="7"/>
      <c r="F1362" s="55"/>
    </row>
    <row r="1363" spans="2:6" ht="15" customHeight="1" x14ac:dyDescent="0.25">
      <c r="B1363" s="1"/>
      <c r="C1363" s="1"/>
      <c r="D1363" s="7"/>
      <c r="E1363" s="7"/>
      <c r="F1363" s="55"/>
    </row>
    <row r="1364" spans="2:6" ht="15" customHeight="1" x14ac:dyDescent="0.25">
      <c r="B1364" s="1"/>
      <c r="C1364" s="1"/>
      <c r="D1364" s="7"/>
      <c r="E1364" s="7"/>
      <c r="F1364" s="55"/>
    </row>
    <row r="1365" spans="2:6" ht="15" customHeight="1" x14ac:dyDescent="0.25">
      <c r="B1365" s="1"/>
      <c r="C1365" s="1"/>
      <c r="D1365" s="7"/>
      <c r="E1365" s="7"/>
      <c r="F1365" s="55"/>
    </row>
    <row r="1366" spans="2:6" ht="15" customHeight="1" x14ac:dyDescent="0.25">
      <c r="B1366" s="1"/>
      <c r="C1366" s="1"/>
      <c r="D1366" s="7"/>
      <c r="E1366" s="7"/>
      <c r="F1366" s="55"/>
    </row>
    <row r="1367" spans="2:6" ht="15" customHeight="1" x14ac:dyDescent="0.25">
      <c r="B1367" s="1"/>
      <c r="C1367" s="1"/>
      <c r="D1367" s="7"/>
      <c r="E1367" s="7"/>
      <c r="F1367" s="55"/>
    </row>
    <row r="1368" spans="2:6" ht="15" customHeight="1" x14ac:dyDescent="0.25">
      <c r="B1368" s="1"/>
      <c r="C1368" s="1"/>
      <c r="D1368" s="7"/>
      <c r="E1368" s="7"/>
      <c r="F1368" s="55"/>
    </row>
    <row r="1369" spans="2:6" ht="15" customHeight="1" x14ac:dyDescent="0.25">
      <c r="B1369" s="1"/>
      <c r="C1369" s="1"/>
      <c r="D1369" s="7"/>
      <c r="E1369" s="7"/>
      <c r="F1369" s="55"/>
    </row>
    <row r="1370" spans="2:6" ht="15" customHeight="1" x14ac:dyDescent="0.25">
      <c r="B1370" s="1"/>
      <c r="C1370" s="1"/>
      <c r="D1370" s="7"/>
      <c r="E1370" s="7"/>
      <c r="F1370" s="55"/>
    </row>
    <row r="1371" spans="2:6" ht="15" customHeight="1" x14ac:dyDescent="0.25">
      <c r="B1371" s="1"/>
      <c r="C1371" s="1"/>
      <c r="D1371" s="7"/>
      <c r="E1371" s="7"/>
      <c r="F1371" s="55"/>
    </row>
    <row r="1372" spans="2:6" ht="15" customHeight="1" x14ac:dyDescent="0.25">
      <c r="B1372" s="1"/>
      <c r="C1372" s="1"/>
      <c r="D1372" s="7"/>
      <c r="E1372" s="7"/>
      <c r="F1372" s="55"/>
    </row>
    <row r="1373" spans="2:6" ht="15" customHeight="1" x14ac:dyDescent="0.25">
      <c r="B1373" s="1"/>
      <c r="C1373" s="1"/>
      <c r="D1373" s="7"/>
      <c r="E1373" s="7"/>
      <c r="F1373" s="55"/>
    </row>
    <row r="1374" spans="2:6" ht="15" customHeight="1" x14ac:dyDescent="0.25">
      <c r="B1374" s="1"/>
      <c r="C1374" s="1"/>
      <c r="D1374" s="7"/>
      <c r="E1374" s="7"/>
      <c r="F1374" s="55"/>
    </row>
    <row r="1375" spans="2:6" ht="15" customHeight="1" x14ac:dyDescent="0.25">
      <c r="B1375" s="1"/>
      <c r="C1375" s="1"/>
      <c r="D1375" s="7"/>
      <c r="E1375" s="7"/>
      <c r="F1375" s="55"/>
    </row>
    <row r="1376" spans="2:6" ht="15" customHeight="1" x14ac:dyDescent="0.25">
      <c r="B1376" s="1"/>
      <c r="C1376" s="1"/>
      <c r="D1376" s="7"/>
      <c r="E1376" s="7"/>
      <c r="F1376" s="55"/>
    </row>
    <row r="1377" spans="2:6" ht="15" customHeight="1" x14ac:dyDescent="0.25">
      <c r="B1377" s="1"/>
      <c r="C1377" s="1"/>
      <c r="D1377" s="7"/>
      <c r="E1377" s="7"/>
      <c r="F1377" s="55"/>
    </row>
    <row r="1378" spans="2:6" ht="15" customHeight="1" x14ac:dyDescent="0.25">
      <c r="B1378" s="1"/>
      <c r="C1378" s="1"/>
      <c r="D1378" s="7"/>
      <c r="E1378" s="7"/>
      <c r="F1378" s="55"/>
    </row>
    <row r="1379" spans="2:6" ht="15" customHeight="1" x14ac:dyDescent="0.25">
      <c r="B1379" s="1"/>
      <c r="C1379" s="1"/>
      <c r="D1379" s="7"/>
      <c r="E1379" s="7"/>
      <c r="F1379" s="55"/>
    </row>
    <row r="1380" spans="2:6" ht="15" customHeight="1" x14ac:dyDescent="0.25">
      <c r="B1380" s="1"/>
      <c r="C1380" s="1"/>
      <c r="D1380" s="7"/>
      <c r="E1380" s="7"/>
      <c r="F1380" s="55"/>
    </row>
    <row r="1381" spans="2:6" ht="15" customHeight="1" x14ac:dyDescent="0.25">
      <c r="B1381" s="1"/>
      <c r="C1381" s="1"/>
      <c r="D1381" s="7"/>
      <c r="E1381" s="7"/>
      <c r="F1381" s="55"/>
    </row>
    <row r="1382" spans="2:6" ht="15" customHeight="1" x14ac:dyDescent="0.25">
      <c r="B1382" s="1"/>
      <c r="C1382" s="1"/>
      <c r="D1382" s="7"/>
      <c r="E1382" s="7"/>
      <c r="F1382" s="55"/>
    </row>
    <row r="1383" spans="2:6" ht="15" customHeight="1" x14ac:dyDescent="0.25">
      <c r="B1383" s="1"/>
      <c r="C1383" s="1"/>
      <c r="D1383" s="7"/>
      <c r="E1383" s="7"/>
      <c r="F1383" s="55"/>
    </row>
    <row r="1384" spans="2:6" ht="15" customHeight="1" x14ac:dyDescent="0.25">
      <c r="B1384" s="1"/>
      <c r="C1384" s="1"/>
      <c r="D1384" s="7"/>
      <c r="E1384" s="7"/>
      <c r="F1384" s="55"/>
    </row>
    <row r="1385" spans="2:6" ht="15" customHeight="1" x14ac:dyDescent="0.25">
      <c r="B1385" s="1"/>
      <c r="C1385" s="1"/>
      <c r="D1385" s="7"/>
      <c r="E1385" s="7"/>
      <c r="F1385" s="55"/>
    </row>
    <row r="1386" spans="2:6" ht="15" customHeight="1" x14ac:dyDescent="0.25">
      <c r="B1386" s="1"/>
      <c r="C1386" s="1"/>
      <c r="D1386" s="7"/>
      <c r="E1386" s="7"/>
      <c r="F1386" s="55"/>
    </row>
    <row r="1387" spans="2:6" ht="15" customHeight="1" x14ac:dyDescent="0.25">
      <c r="B1387" s="1"/>
      <c r="C1387" s="1"/>
      <c r="D1387" s="7"/>
      <c r="E1387" s="7"/>
      <c r="F1387" s="55"/>
    </row>
    <row r="1388" spans="2:6" ht="15" customHeight="1" x14ac:dyDescent="0.25">
      <c r="B1388" s="1"/>
      <c r="C1388" s="1"/>
      <c r="D1388" s="7"/>
      <c r="E1388" s="7"/>
      <c r="F1388" s="55"/>
    </row>
    <row r="1389" spans="2:6" ht="15" customHeight="1" x14ac:dyDescent="0.25">
      <c r="B1389" s="1"/>
      <c r="C1389" s="1"/>
      <c r="D1389" s="7"/>
      <c r="E1389" s="7"/>
      <c r="F1389" s="55"/>
    </row>
    <row r="1390" spans="2:6" ht="15" customHeight="1" x14ac:dyDescent="0.25">
      <c r="B1390" s="1"/>
      <c r="C1390" s="1"/>
      <c r="D1390" s="7"/>
      <c r="E1390" s="7"/>
      <c r="F1390" s="55"/>
    </row>
    <row r="1391" spans="2:6" ht="15" customHeight="1" x14ac:dyDescent="0.25">
      <c r="B1391" s="1"/>
      <c r="C1391" s="1"/>
      <c r="D1391" s="7"/>
      <c r="E1391" s="7"/>
      <c r="F1391" s="55"/>
    </row>
    <row r="1392" spans="2:6" ht="15" customHeight="1" x14ac:dyDescent="0.25">
      <c r="B1392" s="1"/>
      <c r="C1392" s="1"/>
      <c r="D1392" s="7"/>
      <c r="E1392" s="7"/>
      <c r="F1392" s="55"/>
    </row>
    <row r="1393" spans="2:6" ht="15" customHeight="1" x14ac:dyDescent="0.25">
      <c r="B1393" s="1"/>
      <c r="C1393" s="1"/>
      <c r="D1393" s="7"/>
      <c r="E1393" s="7"/>
      <c r="F1393" s="55"/>
    </row>
    <row r="1394" spans="2:6" ht="15" customHeight="1" x14ac:dyDescent="0.25">
      <c r="B1394" s="1"/>
      <c r="C1394" s="1"/>
      <c r="D1394" s="7"/>
      <c r="E1394" s="7"/>
      <c r="F1394" s="55"/>
    </row>
    <row r="1395" spans="2:6" ht="15" customHeight="1" x14ac:dyDescent="0.25">
      <c r="B1395" s="1"/>
      <c r="C1395" s="1"/>
      <c r="D1395" s="7"/>
      <c r="E1395" s="7"/>
      <c r="F1395" s="55"/>
    </row>
    <row r="1396" spans="2:6" ht="15" customHeight="1" x14ac:dyDescent="0.25">
      <c r="B1396" s="1"/>
      <c r="C1396" s="1"/>
      <c r="D1396" s="7"/>
      <c r="E1396" s="7"/>
      <c r="F1396" s="55"/>
    </row>
    <row r="1397" spans="2:6" ht="15" customHeight="1" x14ac:dyDescent="0.25">
      <c r="B1397" s="1"/>
      <c r="C1397" s="1"/>
      <c r="D1397" s="7"/>
      <c r="E1397" s="7"/>
      <c r="F1397" s="55"/>
    </row>
    <row r="1398" spans="2:6" ht="15" customHeight="1" x14ac:dyDescent="0.25">
      <c r="B1398" s="1"/>
      <c r="C1398" s="1"/>
      <c r="D1398" s="7"/>
      <c r="E1398" s="7"/>
      <c r="F1398" s="55"/>
    </row>
    <row r="1399" spans="2:6" ht="15" customHeight="1" x14ac:dyDescent="0.25">
      <c r="B1399" s="1"/>
      <c r="C1399" s="1"/>
      <c r="D1399" s="7"/>
      <c r="E1399" s="7"/>
      <c r="F1399" s="55"/>
    </row>
    <row r="1400" spans="2:6" ht="15" customHeight="1" x14ac:dyDescent="0.25">
      <c r="B1400" s="1"/>
      <c r="C1400" s="1"/>
      <c r="D1400" s="7"/>
      <c r="E1400" s="7"/>
      <c r="F1400" s="55"/>
    </row>
    <row r="1401" spans="2:6" ht="15" customHeight="1" x14ac:dyDescent="0.25">
      <c r="B1401" s="1"/>
      <c r="C1401" s="1"/>
      <c r="D1401" s="7"/>
      <c r="E1401" s="7"/>
      <c r="F1401" s="55"/>
    </row>
    <row r="1402" spans="2:6" ht="15" customHeight="1" x14ac:dyDescent="0.25">
      <c r="B1402" s="1"/>
      <c r="C1402" s="1"/>
      <c r="D1402" s="7"/>
      <c r="E1402" s="7"/>
      <c r="F1402" s="55"/>
    </row>
    <row r="1403" spans="2:6" ht="15" customHeight="1" x14ac:dyDescent="0.25">
      <c r="B1403" s="1"/>
      <c r="C1403" s="1"/>
      <c r="D1403" s="7"/>
      <c r="E1403" s="7"/>
      <c r="F1403" s="55"/>
    </row>
    <row r="1404" spans="2:6" ht="15" customHeight="1" x14ac:dyDescent="0.25">
      <c r="B1404" s="1"/>
      <c r="C1404" s="1"/>
      <c r="D1404" s="7"/>
      <c r="E1404" s="7"/>
      <c r="F1404" s="55"/>
    </row>
    <row r="1405" spans="2:6" ht="15" customHeight="1" x14ac:dyDescent="0.25">
      <c r="B1405" s="1"/>
      <c r="C1405" s="1"/>
      <c r="D1405" s="7"/>
      <c r="E1405" s="7"/>
      <c r="F1405" s="55"/>
    </row>
    <row r="1406" spans="2:6" ht="15" customHeight="1" x14ac:dyDescent="0.25">
      <c r="B1406" s="1"/>
      <c r="C1406" s="1"/>
      <c r="D1406" s="7"/>
      <c r="E1406" s="7"/>
      <c r="F1406" s="55"/>
    </row>
    <row r="1407" spans="2:6" ht="15" customHeight="1" x14ac:dyDescent="0.25">
      <c r="B1407" s="1"/>
      <c r="C1407" s="1"/>
      <c r="D1407" s="7"/>
      <c r="E1407" s="7"/>
      <c r="F1407" s="55"/>
    </row>
    <row r="1408" spans="2:6" ht="15" customHeight="1" x14ac:dyDescent="0.25">
      <c r="B1408" s="1"/>
      <c r="C1408" s="1"/>
      <c r="D1408" s="7"/>
      <c r="E1408" s="7"/>
      <c r="F1408" s="55"/>
    </row>
    <row r="1409" spans="2:6" ht="15" customHeight="1" x14ac:dyDescent="0.25">
      <c r="B1409" s="1"/>
      <c r="C1409" s="1"/>
      <c r="D1409" s="7"/>
      <c r="E1409" s="7"/>
      <c r="F1409" s="55"/>
    </row>
    <row r="1410" spans="2:6" ht="15" customHeight="1" x14ac:dyDescent="0.25">
      <c r="B1410" s="1"/>
      <c r="C1410" s="1"/>
      <c r="D1410" s="7"/>
      <c r="E1410" s="7"/>
      <c r="F1410" s="55"/>
    </row>
    <row r="1411" spans="2:6" ht="15" customHeight="1" x14ac:dyDescent="0.25">
      <c r="B1411" s="1"/>
      <c r="C1411" s="1"/>
      <c r="D1411" s="7"/>
      <c r="E1411" s="7"/>
      <c r="F1411" s="55"/>
    </row>
    <row r="1412" spans="2:6" ht="15" customHeight="1" x14ac:dyDescent="0.25">
      <c r="B1412" s="1"/>
      <c r="C1412" s="1"/>
      <c r="D1412" s="7"/>
      <c r="E1412" s="7"/>
      <c r="F1412" s="55"/>
    </row>
    <row r="1413" spans="2:6" ht="15" customHeight="1" x14ac:dyDescent="0.25">
      <c r="B1413" s="1"/>
      <c r="C1413" s="1"/>
      <c r="D1413" s="7"/>
      <c r="E1413" s="7"/>
      <c r="F1413" s="55"/>
    </row>
    <row r="1414" spans="2:6" ht="15" customHeight="1" x14ac:dyDescent="0.25">
      <c r="B1414" s="1"/>
      <c r="C1414" s="1"/>
      <c r="D1414" s="7"/>
      <c r="E1414" s="7"/>
      <c r="F1414" s="55"/>
    </row>
    <row r="1415" spans="2:6" ht="15" customHeight="1" x14ac:dyDescent="0.25">
      <c r="B1415" s="1"/>
      <c r="C1415" s="1"/>
      <c r="D1415" s="7"/>
      <c r="E1415" s="7"/>
      <c r="F1415" s="55"/>
    </row>
    <row r="1416" spans="2:6" ht="15" customHeight="1" x14ac:dyDescent="0.25">
      <c r="B1416" s="1"/>
      <c r="C1416" s="1"/>
      <c r="D1416" s="7"/>
      <c r="E1416" s="7"/>
      <c r="F1416" s="55"/>
    </row>
    <row r="1417" spans="2:6" ht="15" customHeight="1" x14ac:dyDescent="0.25">
      <c r="B1417" s="1"/>
      <c r="C1417" s="1"/>
      <c r="D1417" s="7"/>
      <c r="E1417" s="7"/>
      <c r="F1417" s="55"/>
    </row>
    <row r="1418" spans="2:6" ht="15" customHeight="1" x14ac:dyDescent="0.25">
      <c r="B1418" s="1"/>
      <c r="C1418" s="1"/>
      <c r="D1418" s="7"/>
      <c r="E1418" s="7"/>
      <c r="F1418" s="55"/>
    </row>
    <row r="1419" spans="2:6" ht="15" customHeight="1" x14ac:dyDescent="0.25">
      <c r="B1419" s="1"/>
      <c r="C1419" s="1"/>
      <c r="D1419" s="7"/>
      <c r="E1419" s="7"/>
      <c r="F1419" s="55"/>
    </row>
    <row r="1420" spans="2:6" ht="15" customHeight="1" x14ac:dyDescent="0.25">
      <c r="B1420" s="1"/>
      <c r="C1420" s="1"/>
      <c r="D1420" s="7"/>
      <c r="E1420" s="7"/>
      <c r="F1420" s="55"/>
    </row>
    <row r="1421" spans="2:6" ht="15" customHeight="1" x14ac:dyDescent="0.25">
      <c r="B1421" s="1"/>
      <c r="C1421" s="1"/>
      <c r="D1421" s="7"/>
      <c r="E1421" s="7"/>
      <c r="F1421" s="55"/>
    </row>
    <row r="1422" spans="2:6" ht="15" customHeight="1" x14ac:dyDescent="0.25">
      <c r="B1422" s="1"/>
      <c r="C1422" s="1"/>
      <c r="D1422" s="7"/>
      <c r="E1422" s="7"/>
      <c r="F1422" s="55"/>
    </row>
    <row r="1423" spans="2:6" ht="15" customHeight="1" x14ac:dyDescent="0.25">
      <c r="B1423" s="1"/>
      <c r="C1423" s="1"/>
      <c r="D1423" s="7"/>
      <c r="E1423" s="7"/>
      <c r="F1423" s="55"/>
    </row>
    <row r="1424" spans="2:6" ht="15" customHeight="1" x14ac:dyDescent="0.25">
      <c r="B1424" s="1"/>
      <c r="C1424" s="1"/>
      <c r="D1424" s="7"/>
      <c r="E1424" s="7"/>
      <c r="F1424" s="55"/>
    </row>
    <row r="1425" spans="2:6" ht="15" customHeight="1" x14ac:dyDescent="0.25">
      <c r="B1425" s="1"/>
      <c r="C1425" s="1"/>
      <c r="D1425" s="7"/>
      <c r="E1425" s="7"/>
      <c r="F1425" s="55"/>
    </row>
    <row r="1426" spans="2:6" ht="15" customHeight="1" x14ac:dyDescent="0.25">
      <c r="B1426" s="1"/>
      <c r="C1426" s="1"/>
      <c r="D1426" s="7"/>
      <c r="E1426" s="7"/>
      <c r="F1426" s="55"/>
    </row>
    <row r="1427" spans="2:6" ht="15" customHeight="1" x14ac:dyDescent="0.25">
      <c r="B1427" s="1"/>
      <c r="C1427" s="1"/>
      <c r="D1427" s="7"/>
      <c r="E1427" s="7"/>
      <c r="F1427" s="55"/>
    </row>
    <row r="1428" spans="2:6" ht="15" customHeight="1" x14ac:dyDescent="0.25">
      <c r="B1428" s="1"/>
      <c r="C1428" s="1"/>
      <c r="D1428" s="7"/>
      <c r="E1428" s="7"/>
      <c r="F1428" s="55"/>
    </row>
    <row r="1429" spans="2:6" ht="15" customHeight="1" x14ac:dyDescent="0.25">
      <c r="B1429" s="1"/>
      <c r="C1429" s="1"/>
      <c r="D1429" s="7"/>
      <c r="E1429" s="7"/>
      <c r="F1429" s="55"/>
    </row>
    <row r="1430" spans="2:6" ht="15" customHeight="1" x14ac:dyDescent="0.25">
      <c r="B1430" s="1"/>
      <c r="C1430" s="1"/>
      <c r="D1430" s="7"/>
      <c r="E1430" s="7"/>
      <c r="F1430" s="55"/>
    </row>
    <row r="1431" spans="2:6" ht="15" customHeight="1" x14ac:dyDescent="0.25">
      <c r="B1431" s="1"/>
      <c r="C1431" s="1"/>
      <c r="D1431" s="7"/>
      <c r="E1431" s="7"/>
      <c r="F1431" s="55"/>
    </row>
    <row r="1432" spans="2:6" ht="15" customHeight="1" x14ac:dyDescent="0.25">
      <c r="B1432" s="1"/>
      <c r="C1432" s="1"/>
      <c r="D1432" s="7"/>
      <c r="E1432" s="7"/>
      <c r="F1432" s="55"/>
    </row>
    <row r="1433" spans="2:6" ht="15" customHeight="1" x14ac:dyDescent="0.25">
      <c r="B1433" s="1"/>
      <c r="C1433" s="1"/>
      <c r="D1433" s="7"/>
      <c r="E1433" s="7"/>
      <c r="F1433" s="55"/>
    </row>
    <row r="1434" spans="2:6" ht="15" customHeight="1" x14ac:dyDescent="0.25">
      <c r="B1434" s="1"/>
      <c r="C1434" s="1"/>
      <c r="D1434" s="7"/>
      <c r="E1434" s="7"/>
      <c r="F1434" s="55"/>
    </row>
    <row r="1435" spans="2:6" ht="15" customHeight="1" x14ac:dyDescent="0.25">
      <c r="B1435" s="1"/>
      <c r="C1435" s="1"/>
      <c r="D1435" s="7"/>
      <c r="E1435" s="7"/>
      <c r="F1435" s="55"/>
    </row>
    <row r="1436" spans="2:6" ht="15" customHeight="1" x14ac:dyDescent="0.25">
      <c r="B1436" s="1"/>
      <c r="C1436" s="1"/>
      <c r="D1436" s="7"/>
      <c r="E1436" s="7"/>
      <c r="F1436" s="55"/>
    </row>
    <row r="1437" spans="2:6" ht="15" customHeight="1" x14ac:dyDescent="0.25">
      <c r="B1437" s="1"/>
      <c r="C1437" s="1"/>
      <c r="D1437" s="7"/>
      <c r="E1437" s="7"/>
      <c r="F1437" s="55"/>
    </row>
    <row r="1438" spans="2:6" ht="15" customHeight="1" x14ac:dyDescent="0.25">
      <c r="B1438" s="1"/>
      <c r="C1438" s="1"/>
      <c r="D1438" s="7"/>
      <c r="E1438" s="7"/>
      <c r="F1438" s="55"/>
    </row>
    <row r="1439" spans="2:6" ht="15" customHeight="1" x14ac:dyDescent="0.25">
      <c r="B1439" s="1"/>
      <c r="C1439" s="1"/>
      <c r="D1439" s="7"/>
      <c r="E1439" s="7"/>
      <c r="F1439" s="55"/>
    </row>
    <row r="1440" spans="2:6" ht="15" customHeight="1" x14ac:dyDescent="0.25">
      <c r="B1440" s="1"/>
      <c r="C1440" s="1"/>
      <c r="D1440" s="7"/>
      <c r="E1440" s="7"/>
      <c r="F1440" s="55"/>
    </row>
    <row r="1441" spans="2:6" ht="15" customHeight="1" x14ac:dyDescent="0.25">
      <c r="B1441" s="1"/>
      <c r="C1441" s="1"/>
      <c r="D1441" s="7"/>
      <c r="E1441" s="7"/>
      <c r="F1441" s="55"/>
    </row>
    <row r="1442" spans="2:6" ht="15" customHeight="1" x14ac:dyDescent="0.25">
      <c r="B1442" s="1"/>
      <c r="C1442" s="1"/>
      <c r="D1442" s="7"/>
      <c r="E1442" s="7"/>
      <c r="F1442" s="55"/>
    </row>
    <row r="1443" spans="2:6" ht="15" customHeight="1" x14ac:dyDescent="0.25">
      <c r="B1443" s="1"/>
      <c r="C1443" s="1"/>
      <c r="D1443" s="7"/>
      <c r="E1443" s="7"/>
      <c r="F1443" s="55"/>
    </row>
    <row r="1444" spans="2:6" ht="15" customHeight="1" x14ac:dyDescent="0.25">
      <c r="B1444" s="1"/>
      <c r="C1444" s="1"/>
      <c r="D1444" s="7"/>
      <c r="E1444" s="7"/>
      <c r="F1444" s="55"/>
    </row>
    <row r="1445" spans="2:6" ht="15" customHeight="1" x14ac:dyDescent="0.25">
      <c r="B1445" s="1"/>
      <c r="C1445" s="1"/>
      <c r="D1445" s="7"/>
      <c r="E1445" s="7"/>
      <c r="F1445" s="55"/>
    </row>
    <row r="1446" spans="2:6" ht="15" customHeight="1" x14ac:dyDescent="0.25">
      <c r="B1446" s="1"/>
      <c r="C1446" s="1"/>
      <c r="D1446" s="7"/>
      <c r="E1446" s="7"/>
      <c r="F1446" s="55"/>
    </row>
    <row r="1447" spans="2:6" ht="15" customHeight="1" x14ac:dyDescent="0.25">
      <c r="B1447" s="1"/>
      <c r="C1447" s="1"/>
      <c r="D1447" s="7"/>
      <c r="E1447" s="7"/>
      <c r="F1447" s="55"/>
    </row>
    <row r="1448" spans="2:6" ht="15" customHeight="1" x14ac:dyDescent="0.25">
      <c r="B1448" s="1"/>
      <c r="C1448" s="1"/>
      <c r="D1448" s="7"/>
      <c r="E1448" s="7"/>
      <c r="F1448" s="55"/>
    </row>
    <row r="1449" spans="2:6" ht="15" customHeight="1" x14ac:dyDescent="0.25">
      <c r="B1449" s="1"/>
      <c r="C1449" s="1"/>
      <c r="D1449" s="7"/>
      <c r="E1449" s="7"/>
      <c r="F1449" s="55"/>
    </row>
    <row r="1450" spans="2:6" ht="15" customHeight="1" x14ac:dyDescent="0.25">
      <c r="B1450" s="1"/>
      <c r="C1450" s="1"/>
      <c r="D1450" s="7"/>
      <c r="E1450" s="7"/>
      <c r="F1450" s="55"/>
    </row>
    <row r="1451" spans="2:6" ht="15" customHeight="1" x14ac:dyDescent="0.25">
      <c r="B1451" s="1"/>
      <c r="C1451" s="1"/>
      <c r="D1451" s="7"/>
      <c r="E1451" s="7"/>
      <c r="F1451" s="55"/>
    </row>
    <row r="1452" spans="2:6" ht="15" customHeight="1" x14ac:dyDescent="0.25">
      <c r="B1452" s="1"/>
      <c r="C1452" s="1"/>
      <c r="D1452" s="7"/>
      <c r="E1452" s="7"/>
      <c r="F1452" s="55"/>
    </row>
    <row r="1453" spans="2:6" ht="15" customHeight="1" x14ac:dyDescent="0.25">
      <c r="B1453" s="1"/>
      <c r="C1453" s="1"/>
      <c r="D1453" s="7"/>
      <c r="E1453" s="7"/>
      <c r="F1453" s="55"/>
    </row>
    <row r="1454" spans="2:6" ht="15" customHeight="1" x14ac:dyDescent="0.25">
      <c r="B1454" s="1"/>
      <c r="C1454" s="1"/>
      <c r="D1454" s="7"/>
      <c r="E1454" s="7"/>
      <c r="F1454" s="55"/>
    </row>
    <row r="1455" spans="2:6" ht="15" customHeight="1" x14ac:dyDescent="0.25">
      <c r="B1455" s="1"/>
      <c r="C1455" s="1"/>
      <c r="D1455" s="7"/>
      <c r="E1455" s="7"/>
      <c r="F1455" s="55"/>
    </row>
    <row r="1456" spans="2:6" ht="15" customHeight="1" x14ac:dyDescent="0.25">
      <c r="B1456" s="1"/>
      <c r="C1456" s="1"/>
      <c r="D1456" s="7"/>
      <c r="E1456" s="7"/>
      <c r="F1456" s="55"/>
    </row>
    <row r="1457" spans="2:6" ht="15" customHeight="1" x14ac:dyDescent="0.25">
      <c r="B1457" s="1"/>
      <c r="C1457" s="1"/>
      <c r="D1457" s="7"/>
      <c r="E1457" s="7"/>
      <c r="F1457" s="55"/>
    </row>
    <row r="1458" spans="2:6" ht="15" customHeight="1" x14ac:dyDescent="0.25">
      <c r="B1458" s="1"/>
      <c r="C1458" s="1"/>
      <c r="D1458" s="7"/>
      <c r="E1458" s="7"/>
      <c r="F1458" s="55"/>
    </row>
    <row r="1459" spans="2:6" ht="15" customHeight="1" x14ac:dyDescent="0.25">
      <c r="B1459" s="1"/>
      <c r="C1459" s="1"/>
      <c r="D1459" s="7"/>
      <c r="E1459" s="7"/>
      <c r="F1459" s="55"/>
    </row>
    <row r="1460" spans="2:6" ht="15" customHeight="1" x14ac:dyDescent="0.25">
      <c r="B1460" s="1"/>
      <c r="C1460" s="1"/>
      <c r="D1460" s="7"/>
      <c r="E1460" s="7"/>
      <c r="F1460" s="55"/>
    </row>
    <row r="1461" spans="2:6" ht="15" customHeight="1" x14ac:dyDescent="0.25">
      <c r="B1461" s="1"/>
      <c r="C1461" s="1"/>
      <c r="D1461" s="7"/>
      <c r="E1461" s="7"/>
      <c r="F1461" s="55"/>
    </row>
    <row r="1462" spans="2:6" ht="15" customHeight="1" x14ac:dyDescent="0.25">
      <c r="B1462" s="1"/>
      <c r="C1462" s="1"/>
      <c r="D1462" s="7"/>
      <c r="E1462" s="7"/>
      <c r="F1462" s="55"/>
    </row>
    <row r="1463" spans="2:6" ht="15" customHeight="1" x14ac:dyDescent="0.25">
      <c r="B1463" s="1"/>
      <c r="C1463" s="1"/>
      <c r="D1463" s="7"/>
      <c r="E1463" s="7"/>
      <c r="F1463" s="55"/>
    </row>
    <row r="1464" spans="2:6" ht="15" customHeight="1" x14ac:dyDescent="0.25">
      <c r="B1464" s="1"/>
      <c r="C1464" s="1"/>
      <c r="D1464" s="7"/>
      <c r="E1464" s="7"/>
      <c r="F1464" s="55"/>
    </row>
    <row r="1465" spans="2:6" ht="15" customHeight="1" x14ac:dyDescent="0.25">
      <c r="B1465" s="1"/>
      <c r="C1465" s="1"/>
      <c r="D1465" s="7"/>
      <c r="E1465" s="7"/>
      <c r="F1465" s="55"/>
    </row>
    <row r="1466" spans="2:6" ht="15" customHeight="1" x14ac:dyDescent="0.25">
      <c r="B1466" s="1"/>
      <c r="C1466" s="1"/>
      <c r="D1466" s="7"/>
      <c r="E1466" s="7"/>
      <c r="F1466" s="55"/>
    </row>
    <row r="1467" spans="2:6" ht="15" customHeight="1" x14ac:dyDescent="0.25">
      <c r="B1467" s="1"/>
      <c r="C1467" s="1"/>
      <c r="D1467" s="7"/>
      <c r="E1467" s="7"/>
      <c r="F1467" s="55"/>
    </row>
    <row r="1468" spans="2:6" ht="15" customHeight="1" x14ac:dyDescent="0.25">
      <c r="B1468" s="1"/>
      <c r="C1468" s="1"/>
      <c r="D1468" s="7"/>
      <c r="E1468" s="7"/>
      <c r="F1468" s="55"/>
    </row>
    <row r="1469" spans="2:6" ht="15" customHeight="1" x14ac:dyDescent="0.25">
      <c r="B1469" s="1"/>
      <c r="C1469" s="1"/>
      <c r="D1469" s="7"/>
      <c r="E1469" s="7"/>
      <c r="F1469" s="55"/>
    </row>
    <row r="1470" spans="2:6" ht="15" customHeight="1" x14ac:dyDescent="0.25">
      <c r="B1470" s="1"/>
      <c r="C1470" s="1"/>
      <c r="D1470" s="7"/>
      <c r="E1470" s="7"/>
      <c r="F1470" s="55"/>
    </row>
    <row r="1471" spans="2:6" ht="15" customHeight="1" x14ac:dyDescent="0.25">
      <c r="B1471" s="1"/>
      <c r="C1471" s="1"/>
      <c r="D1471" s="7"/>
      <c r="E1471" s="7"/>
      <c r="F1471" s="55"/>
    </row>
    <row r="1472" spans="2:6" ht="15" customHeight="1" x14ac:dyDescent="0.25">
      <c r="B1472" s="1"/>
      <c r="C1472" s="1"/>
      <c r="D1472" s="7"/>
      <c r="E1472" s="7"/>
      <c r="F1472" s="55"/>
    </row>
    <row r="1473" spans="2:6" ht="15" customHeight="1" x14ac:dyDescent="0.25">
      <c r="B1473" s="1"/>
      <c r="C1473" s="1"/>
      <c r="D1473" s="7"/>
      <c r="E1473" s="7"/>
      <c r="F1473" s="55"/>
    </row>
    <row r="1474" spans="2:6" ht="15" customHeight="1" x14ac:dyDescent="0.25">
      <c r="B1474" s="1"/>
      <c r="C1474" s="1"/>
      <c r="D1474" s="7"/>
      <c r="E1474" s="7"/>
      <c r="F1474" s="55"/>
    </row>
    <row r="1475" spans="2:6" ht="15" customHeight="1" x14ac:dyDescent="0.25">
      <c r="B1475" s="1"/>
      <c r="C1475" s="1"/>
      <c r="D1475" s="7"/>
      <c r="E1475" s="7"/>
      <c r="F1475" s="55"/>
    </row>
    <row r="1476" spans="2:6" ht="15" customHeight="1" x14ac:dyDescent="0.25">
      <c r="B1476" s="1"/>
      <c r="C1476" s="1"/>
      <c r="D1476" s="7"/>
      <c r="E1476" s="7"/>
      <c r="F1476" s="55"/>
    </row>
    <row r="1477" spans="2:6" ht="15" customHeight="1" x14ac:dyDescent="0.25">
      <c r="B1477" s="1"/>
      <c r="C1477" s="1"/>
      <c r="D1477" s="7"/>
      <c r="E1477" s="7"/>
      <c r="F1477" s="55"/>
    </row>
    <row r="1478" spans="2:6" ht="15" customHeight="1" x14ac:dyDescent="0.25">
      <c r="B1478" s="1"/>
      <c r="C1478" s="1"/>
      <c r="D1478" s="7"/>
      <c r="E1478" s="7"/>
      <c r="F1478" s="55"/>
    </row>
    <row r="1479" spans="2:6" ht="15" customHeight="1" x14ac:dyDescent="0.25">
      <c r="B1479" s="1"/>
      <c r="C1479" s="1"/>
      <c r="D1479" s="7"/>
      <c r="E1479" s="7"/>
      <c r="F1479" s="55"/>
    </row>
    <row r="1480" spans="2:6" ht="15" customHeight="1" x14ac:dyDescent="0.25">
      <c r="B1480" s="1"/>
      <c r="C1480" s="1"/>
      <c r="D1480" s="7"/>
      <c r="E1480" s="7"/>
      <c r="F1480" s="55"/>
    </row>
    <row r="1481" spans="2:6" ht="15" customHeight="1" x14ac:dyDescent="0.25">
      <c r="B1481" s="1"/>
      <c r="C1481" s="1"/>
      <c r="D1481" s="7"/>
      <c r="E1481" s="7"/>
      <c r="F1481" s="55"/>
    </row>
    <row r="1482" spans="2:6" ht="15" customHeight="1" x14ac:dyDescent="0.25">
      <c r="B1482" s="1"/>
      <c r="C1482" s="1"/>
      <c r="D1482" s="7"/>
      <c r="E1482" s="7"/>
      <c r="F1482" s="55"/>
    </row>
    <row r="1483" spans="2:6" ht="15" customHeight="1" x14ac:dyDescent="0.25">
      <c r="B1483" s="1"/>
      <c r="C1483" s="1"/>
      <c r="D1483" s="7"/>
      <c r="E1483" s="7"/>
      <c r="F1483" s="55"/>
    </row>
    <row r="1484" spans="2:6" ht="15" customHeight="1" x14ac:dyDescent="0.25">
      <c r="B1484" s="1"/>
      <c r="C1484" s="1"/>
      <c r="D1484" s="7"/>
      <c r="E1484" s="7"/>
      <c r="F1484" s="55"/>
    </row>
    <row r="1485" spans="2:6" ht="15" customHeight="1" x14ac:dyDescent="0.25">
      <c r="B1485" s="1"/>
      <c r="C1485" s="1"/>
      <c r="D1485" s="7"/>
      <c r="E1485" s="7"/>
      <c r="F1485" s="55"/>
    </row>
    <row r="1486" spans="2:6" ht="15" customHeight="1" x14ac:dyDescent="0.25">
      <c r="B1486" s="1"/>
      <c r="C1486" s="1"/>
      <c r="D1486" s="7"/>
      <c r="E1486" s="7"/>
      <c r="F1486" s="55"/>
    </row>
    <row r="1487" spans="2:6" ht="15" customHeight="1" x14ac:dyDescent="0.25">
      <c r="B1487" s="1"/>
      <c r="C1487" s="1"/>
      <c r="D1487" s="7"/>
      <c r="E1487" s="7"/>
      <c r="F1487" s="55"/>
    </row>
    <row r="1488" spans="2:6" ht="15" customHeight="1" x14ac:dyDescent="0.25">
      <c r="B1488" s="1"/>
      <c r="C1488" s="1"/>
      <c r="D1488" s="7"/>
      <c r="E1488" s="7"/>
      <c r="F1488" s="55"/>
    </row>
    <row r="1489" spans="2:6" ht="15" customHeight="1" x14ac:dyDescent="0.25">
      <c r="B1489" s="1"/>
      <c r="C1489" s="1"/>
      <c r="D1489" s="7"/>
      <c r="E1489" s="7"/>
      <c r="F1489" s="55"/>
    </row>
    <row r="1490" spans="2:6" ht="15" customHeight="1" x14ac:dyDescent="0.25">
      <c r="B1490" s="1"/>
      <c r="C1490" s="1"/>
      <c r="D1490" s="7"/>
      <c r="E1490" s="7"/>
      <c r="F1490" s="55"/>
    </row>
    <row r="1491" spans="2:6" ht="15" customHeight="1" x14ac:dyDescent="0.25">
      <c r="B1491" s="1"/>
      <c r="C1491" s="1"/>
      <c r="D1491" s="7"/>
      <c r="E1491" s="7"/>
      <c r="F1491" s="55"/>
    </row>
    <row r="1492" spans="2:6" ht="15" customHeight="1" x14ac:dyDescent="0.25">
      <c r="B1492" s="1"/>
      <c r="C1492" s="1"/>
      <c r="D1492" s="7"/>
      <c r="E1492" s="7"/>
      <c r="F1492" s="55"/>
    </row>
    <row r="1493" spans="2:6" ht="15" customHeight="1" x14ac:dyDescent="0.25">
      <c r="B1493" s="1"/>
      <c r="C1493" s="1"/>
      <c r="D1493" s="7"/>
      <c r="E1493" s="7"/>
      <c r="F1493" s="55"/>
    </row>
    <row r="1494" spans="2:6" ht="15" customHeight="1" x14ac:dyDescent="0.25">
      <c r="B1494" s="1"/>
      <c r="C1494" s="1"/>
      <c r="D1494" s="7"/>
      <c r="E1494" s="7"/>
      <c r="F1494" s="55"/>
    </row>
    <row r="1495" spans="2:6" ht="15" customHeight="1" x14ac:dyDescent="0.25">
      <c r="B1495" s="1"/>
      <c r="C1495" s="1"/>
      <c r="D1495" s="7"/>
      <c r="E1495" s="7"/>
      <c r="F1495" s="55"/>
    </row>
    <row r="1496" spans="2:6" ht="15" customHeight="1" x14ac:dyDescent="0.25">
      <c r="B1496" s="1"/>
      <c r="C1496" s="1"/>
      <c r="D1496" s="7"/>
      <c r="E1496" s="7"/>
      <c r="F1496" s="55"/>
    </row>
    <row r="1497" spans="2:6" ht="15" customHeight="1" x14ac:dyDescent="0.25">
      <c r="B1497" s="1"/>
      <c r="C1497" s="1"/>
      <c r="D1497" s="7"/>
      <c r="E1497" s="7"/>
      <c r="F1497" s="55"/>
    </row>
    <row r="1498" spans="2:6" ht="15" customHeight="1" x14ac:dyDescent="0.25">
      <c r="B1498" s="1"/>
      <c r="C1498" s="1"/>
      <c r="D1498" s="7"/>
      <c r="E1498" s="7"/>
      <c r="F1498" s="55"/>
    </row>
    <row r="1499" spans="2:6" ht="15" customHeight="1" x14ac:dyDescent="0.25">
      <c r="B1499" s="1"/>
      <c r="C1499" s="1"/>
      <c r="D1499" s="7"/>
      <c r="E1499" s="7"/>
      <c r="F1499" s="55"/>
    </row>
    <row r="1500" spans="2:6" ht="15" customHeight="1" x14ac:dyDescent="0.25">
      <c r="B1500" s="1"/>
      <c r="C1500" s="1"/>
      <c r="D1500" s="7"/>
      <c r="E1500" s="7"/>
      <c r="F1500" s="55"/>
    </row>
    <row r="1501" spans="2:6" ht="15" customHeight="1" x14ac:dyDescent="0.25">
      <c r="B1501" s="1"/>
      <c r="C1501" s="1"/>
      <c r="D1501" s="7"/>
      <c r="E1501" s="7"/>
      <c r="F1501" s="55"/>
    </row>
    <row r="1502" spans="2:6" ht="15" customHeight="1" x14ac:dyDescent="0.25">
      <c r="B1502" s="1"/>
      <c r="C1502" s="1"/>
      <c r="D1502" s="7"/>
      <c r="E1502" s="7"/>
      <c r="F1502" s="55"/>
    </row>
    <row r="1503" spans="2:6" ht="15" customHeight="1" x14ac:dyDescent="0.25">
      <c r="B1503" s="1"/>
      <c r="C1503" s="1"/>
      <c r="D1503" s="7"/>
      <c r="E1503" s="7"/>
      <c r="F1503" s="55"/>
    </row>
    <row r="1504" spans="2:6" ht="15" customHeight="1" x14ac:dyDescent="0.25">
      <c r="B1504" s="1"/>
      <c r="C1504" s="1"/>
      <c r="D1504" s="7"/>
      <c r="E1504" s="7"/>
      <c r="F1504" s="55"/>
    </row>
    <row r="1505" spans="2:6" ht="15" customHeight="1" x14ac:dyDescent="0.25">
      <c r="B1505" s="1"/>
      <c r="C1505" s="1"/>
      <c r="D1505" s="7"/>
      <c r="E1505" s="7"/>
      <c r="F1505" s="55"/>
    </row>
    <row r="1506" spans="2:6" ht="15" customHeight="1" x14ac:dyDescent="0.25">
      <c r="B1506" s="1"/>
      <c r="C1506" s="1"/>
      <c r="D1506" s="7"/>
      <c r="E1506" s="7"/>
      <c r="F1506" s="55"/>
    </row>
    <row r="1507" spans="2:6" ht="15" customHeight="1" x14ac:dyDescent="0.25">
      <c r="B1507" s="1"/>
      <c r="C1507" s="1"/>
      <c r="D1507" s="7"/>
      <c r="E1507" s="7"/>
      <c r="F1507" s="55"/>
    </row>
    <row r="1508" spans="2:6" ht="15" customHeight="1" x14ac:dyDescent="0.25">
      <c r="B1508" s="1"/>
      <c r="C1508" s="1"/>
      <c r="D1508" s="7"/>
      <c r="E1508" s="7"/>
      <c r="F1508" s="55"/>
    </row>
    <row r="1509" spans="2:6" ht="15" customHeight="1" x14ac:dyDescent="0.25">
      <c r="B1509" s="1"/>
      <c r="C1509" s="1"/>
      <c r="D1509" s="7"/>
      <c r="E1509" s="7"/>
      <c r="F1509" s="55"/>
    </row>
    <row r="1510" spans="2:6" ht="15" customHeight="1" x14ac:dyDescent="0.25">
      <c r="B1510" s="1"/>
      <c r="C1510" s="1"/>
      <c r="D1510" s="7"/>
      <c r="E1510" s="7"/>
      <c r="F1510" s="55"/>
    </row>
    <row r="1511" spans="2:6" ht="15" customHeight="1" x14ac:dyDescent="0.25">
      <c r="B1511" s="1"/>
      <c r="C1511" s="1"/>
      <c r="D1511" s="7"/>
      <c r="E1511" s="7"/>
      <c r="F1511" s="55"/>
    </row>
    <row r="1512" spans="2:6" ht="15" customHeight="1" x14ac:dyDescent="0.25">
      <c r="B1512" s="1"/>
      <c r="C1512" s="1"/>
      <c r="D1512" s="7"/>
      <c r="E1512" s="7"/>
      <c r="F1512" s="55"/>
    </row>
    <row r="1513" spans="2:6" ht="15" customHeight="1" x14ac:dyDescent="0.25">
      <c r="B1513" s="1"/>
      <c r="C1513" s="1"/>
      <c r="D1513" s="7"/>
      <c r="E1513" s="7"/>
      <c r="F1513" s="55"/>
    </row>
    <row r="1514" spans="2:6" ht="15" customHeight="1" x14ac:dyDescent="0.25">
      <c r="B1514" s="1"/>
      <c r="C1514" s="1"/>
      <c r="D1514" s="7"/>
      <c r="E1514" s="7"/>
      <c r="F1514" s="55"/>
    </row>
    <row r="1515" spans="2:6" ht="15" customHeight="1" x14ac:dyDescent="0.25">
      <c r="B1515" s="1"/>
      <c r="C1515" s="1"/>
      <c r="D1515" s="7"/>
      <c r="E1515" s="7"/>
      <c r="F1515" s="55"/>
    </row>
    <row r="1516" spans="2:6" ht="15" customHeight="1" x14ac:dyDescent="0.25">
      <c r="B1516" s="1"/>
      <c r="C1516" s="1"/>
      <c r="D1516" s="7"/>
      <c r="E1516" s="7"/>
      <c r="F1516" s="55"/>
    </row>
    <row r="1517" spans="2:6" ht="15" customHeight="1" x14ac:dyDescent="0.25">
      <c r="B1517" s="1"/>
      <c r="C1517" s="1"/>
      <c r="D1517" s="7"/>
      <c r="E1517" s="7"/>
      <c r="F1517" s="55"/>
    </row>
    <row r="1518" spans="2:6" ht="15" customHeight="1" x14ac:dyDescent="0.25">
      <c r="B1518" s="1"/>
      <c r="C1518" s="1"/>
      <c r="D1518" s="7"/>
      <c r="E1518" s="7"/>
      <c r="F1518" s="55"/>
    </row>
    <row r="1519" spans="2:6" ht="15" customHeight="1" x14ac:dyDescent="0.25">
      <c r="B1519" s="1"/>
      <c r="C1519" s="1"/>
      <c r="D1519" s="7"/>
      <c r="E1519" s="7"/>
      <c r="F1519" s="55"/>
    </row>
    <row r="1520" spans="2:6" ht="15" customHeight="1" x14ac:dyDescent="0.25">
      <c r="B1520" s="1"/>
      <c r="C1520" s="1"/>
      <c r="D1520" s="7"/>
      <c r="E1520" s="7"/>
      <c r="F1520" s="55"/>
    </row>
    <row r="1521" spans="2:6" ht="15" customHeight="1" x14ac:dyDescent="0.25">
      <c r="B1521" s="1"/>
      <c r="C1521" s="1"/>
      <c r="D1521" s="7"/>
      <c r="E1521" s="7"/>
      <c r="F1521" s="55"/>
    </row>
    <row r="1522" spans="2:6" ht="15" customHeight="1" x14ac:dyDescent="0.25">
      <c r="B1522" s="1"/>
      <c r="C1522" s="1"/>
      <c r="D1522" s="7"/>
      <c r="E1522" s="7"/>
      <c r="F1522" s="55"/>
    </row>
    <row r="1523" spans="2:6" ht="15" customHeight="1" x14ac:dyDescent="0.25">
      <c r="B1523" s="1"/>
      <c r="C1523" s="1"/>
      <c r="D1523" s="7"/>
      <c r="E1523" s="7"/>
      <c r="F1523" s="55"/>
    </row>
    <row r="1524" spans="2:6" ht="15" customHeight="1" x14ac:dyDescent="0.25">
      <c r="B1524" s="1"/>
      <c r="C1524" s="1"/>
      <c r="D1524" s="7"/>
      <c r="E1524" s="7"/>
      <c r="F1524" s="55"/>
    </row>
    <row r="1525" spans="2:6" ht="15" customHeight="1" x14ac:dyDescent="0.25">
      <c r="B1525" s="1"/>
      <c r="C1525" s="1"/>
      <c r="D1525" s="7"/>
      <c r="E1525" s="7"/>
      <c r="F1525" s="55"/>
    </row>
    <row r="1526" spans="2:6" ht="15" customHeight="1" x14ac:dyDescent="0.25">
      <c r="B1526" s="1"/>
      <c r="C1526" s="1"/>
      <c r="D1526" s="7"/>
      <c r="E1526" s="7"/>
      <c r="F1526" s="55"/>
    </row>
    <row r="1527" spans="2:6" ht="15" customHeight="1" x14ac:dyDescent="0.25">
      <c r="B1527" s="1"/>
      <c r="C1527" s="1"/>
      <c r="D1527" s="7"/>
      <c r="E1527" s="7"/>
      <c r="F1527" s="55"/>
    </row>
    <row r="1528" spans="2:6" ht="15" customHeight="1" x14ac:dyDescent="0.25">
      <c r="B1528" s="1"/>
      <c r="C1528" s="1"/>
      <c r="D1528" s="7"/>
      <c r="E1528" s="7"/>
      <c r="F1528" s="55"/>
    </row>
    <row r="1529" spans="2:6" ht="15" customHeight="1" x14ac:dyDescent="0.25">
      <c r="B1529" s="1"/>
      <c r="C1529" s="1"/>
      <c r="D1529" s="7"/>
      <c r="E1529" s="7"/>
      <c r="F1529" s="55"/>
    </row>
    <row r="1530" spans="2:6" ht="15" customHeight="1" x14ac:dyDescent="0.25">
      <c r="B1530" s="1"/>
      <c r="C1530" s="1"/>
      <c r="D1530" s="7"/>
      <c r="E1530" s="7"/>
      <c r="F1530" s="55"/>
    </row>
    <row r="1531" spans="2:6" ht="15" customHeight="1" x14ac:dyDescent="0.25">
      <c r="B1531" s="1"/>
      <c r="C1531" s="1"/>
      <c r="D1531" s="7"/>
      <c r="E1531" s="7"/>
      <c r="F1531" s="55"/>
    </row>
    <row r="1532" spans="2:6" ht="15" customHeight="1" x14ac:dyDescent="0.25">
      <c r="B1532" s="1"/>
      <c r="C1532" s="1"/>
      <c r="D1532" s="7"/>
      <c r="E1532" s="7"/>
      <c r="F1532" s="55"/>
    </row>
    <row r="1533" spans="2:6" ht="15" customHeight="1" x14ac:dyDescent="0.25">
      <c r="B1533" s="1"/>
      <c r="C1533" s="1"/>
      <c r="D1533" s="7"/>
      <c r="E1533" s="7"/>
      <c r="F1533" s="55"/>
    </row>
    <row r="1534" spans="2:6" ht="15" customHeight="1" x14ac:dyDescent="0.25">
      <c r="B1534" s="1"/>
      <c r="C1534" s="1"/>
      <c r="D1534" s="7"/>
      <c r="E1534" s="7"/>
      <c r="F1534" s="55"/>
    </row>
    <row r="1535" spans="2:6" ht="15" customHeight="1" x14ac:dyDescent="0.25">
      <c r="B1535" s="1"/>
      <c r="C1535" s="1"/>
      <c r="D1535" s="7"/>
      <c r="E1535" s="7"/>
      <c r="F1535" s="55"/>
    </row>
    <row r="1536" spans="2:6" ht="15" customHeight="1" x14ac:dyDescent="0.25">
      <c r="B1536" s="1"/>
      <c r="C1536" s="1"/>
      <c r="D1536" s="7"/>
      <c r="E1536" s="7"/>
      <c r="F1536" s="55"/>
    </row>
    <row r="1537" spans="2:6" ht="15" customHeight="1" x14ac:dyDescent="0.25">
      <c r="B1537" s="1"/>
      <c r="C1537" s="1"/>
      <c r="D1537" s="7"/>
      <c r="E1537" s="7"/>
      <c r="F1537" s="55"/>
    </row>
    <row r="1538" spans="2:6" ht="15" customHeight="1" x14ac:dyDescent="0.25">
      <c r="B1538" s="1"/>
      <c r="C1538" s="1"/>
      <c r="D1538" s="7"/>
      <c r="E1538" s="7"/>
      <c r="F1538" s="55"/>
    </row>
    <row r="1539" spans="2:6" ht="15" customHeight="1" x14ac:dyDescent="0.25">
      <c r="B1539" s="1"/>
      <c r="C1539" s="1"/>
      <c r="D1539" s="7"/>
      <c r="E1539" s="7"/>
      <c r="F1539" s="55"/>
    </row>
    <row r="1540" spans="2:6" ht="15" customHeight="1" x14ac:dyDescent="0.25">
      <c r="B1540" s="1"/>
      <c r="C1540" s="1"/>
      <c r="D1540" s="7"/>
      <c r="E1540" s="7"/>
      <c r="F1540" s="55"/>
    </row>
    <row r="1541" spans="2:6" ht="15" customHeight="1" x14ac:dyDescent="0.25">
      <c r="B1541" s="1"/>
      <c r="C1541" s="1"/>
      <c r="D1541" s="7"/>
      <c r="E1541" s="7"/>
      <c r="F1541" s="55"/>
    </row>
    <row r="1542" spans="2:6" ht="15" customHeight="1" x14ac:dyDescent="0.25">
      <c r="B1542" s="1"/>
      <c r="C1542" s="1"/>
      <c r="D1542" s="7"/>
      <c r="E1542" s="7"/>
      <c r="F1542" s="55"/>
    </row>
    <row r="1543" spans="2:6" ht="15" customHeight="1" x14ac:dyDescent="0.25">
      <c r="B1543" s="1"/>
      <c r="C1543" s="1"/>
      <c r="D1543" s="7"/>
      <c r="E1543" s="7"/>
      <c r="F1543" s="55"/>
    </row>
    <row r="1544" spans="2:6" ht="15" customHeight="1" x14ac:dyDescent="0.25">
      <c r="B1544" s="1"/>
      <c r="C1544" s="1"/>
      <c r="D1544" s="7"/>
      <c r="E1544" s="7"/>
      <c r="F1544" s="55"/>
    </row>
    <row r="1545" spans="2:6" ht="15" customHeight="1" x14ac:dyDescent="0.25">
      <c r="B1545" s="1"/>
      <c r="C1545" s="1"/>
      <c r="D1545" s="7"/>
      <c r="E1545" s="7"/>
      <c r="F1545" s="55"/>
    </row>
    <row r="1546" spans="2:6" ht="15" customHeight="1" x14ac:dyDescent="0.25">
      <c r="B1546" s="1"/>
      <c r="C1546" s="1"/>
      <c r="D1546" s="7"/>
      <c r="E1546" s="7"/>
      <c r="F1546" s="55"/>
    </row>
    <row r="1547" spans="2:6" ht="15" customHeight="1" x14ac:dyDescent="0.25">
      <c r="B1547" s="1"/>
      <c r="C1547" s="1"/>
      <c r="D1547" s="7"/>
      <c r="E1547" s="7"/>
      <c r="F1547" s="55"/>
    </row>
    <row r="1548" spans="2:6" ht="15" customHeight="1" x14ac:dyDescent="0.25">
      <c r="B1548" s="1"/>
      <c r="C1548" s="1"/>
      <c r="D1548" s="7"/>
      <c r="E1548" s="7"/>
      <c r="F1548" s="55"/>
    </row>
    <row r="1549" spans="2:6" ht="15" customHeight="1" x14ac:dyDescent="0.25">
      <c r="B1549" s="1"/>
      <c r="C1549" s="1"/>
      <c r="D1549" s="7"/>
      <c r="E1549" s="7"/>
      <c r="F1549" s="55"/>
    </row>
    <row r="1550" spans="2:6" ht="15" customHeight="1" x14ac:dyDescent="0.25">
      <c r="B1550" s="1"/>
      <c r="C1550" s="1"/>
      <c r="D1550" s="7"/>
      <c r="E1550" s="7"/>
      <c r="F1550" s="55"/>
    </row>
    <row r="1551" spans="2:6" ht="15" customHeight="1" x14ac:dyDescent="0.25">
      <c r="B1551" s="1"/>
      <c r="C1551" s="1"/>
      <c r="D1551" s="7"/>
      <c r="E1551" s="7"/>
      <c r="F1551" s="55"/>
    </row>
    <row r="1552" spans="2:6" ht="15" customHeight="1" x14ac:dyDescent="0.25">
      <c r="B1552" s="1"/>
      <c r="C1552" s="1"/>
      <c r="D1552" s="7"/>
      <c r="E1552" s="7"/>
      <c r="F1552" s="55"/>
    </row>
    <row r="1553" spans="2:6" ht="15" customHeight="1" x14ac:dyDescent="0.25">
      <c r="B1553" s="1"/>
      <c r="C1553" s="1"/>
      <c r="D1553" s="7"/>
      <c r="E1553" s="7"/>
      <c r="F1553" s="55"/>
    </row>
    <row r="1554" spans="2:6" ht="15" customHeight="1" x14ac:dyDescent="0.25">
      <c r="B1554" s="1"/>
      <c r="C1554" s="1"/>
      <c r="D1554" s="7"/>
      <c r="E1554" s="7"/>
      <c r="F1554" s="55"/>
    </row>
    <row r="1555" spans="2:6" ht="15" customHeight="1" x14ac:dyDescent="0.25">
      <c r="B1555" s="1"/>
      <c r="C1555" s="1"/>
      <c r="D1555" s="7"/>
      <c r="E1555" s="7"/>
      <c r="F1555" s="55"/>
    </row>
    <row r="1556" spans="2:6" ht="15" customHeight="1" x14ac:dyDescent="0.25">
      <c r="B1556" s="1"/>
      <c r="C1556" s="1"/>
      <c r="D1556" s="7"/>
      <c r="E1556" s="7"/>
      <c r="F1556" s="55"/>
    </row>
    <row r="1557" spans="2:6" ht="15" customHeight="1" x14ac:dyDescent="0.25">
      <c r="B1557" s="1"/>
      <c r="C1557" s="1"/>
      <c r="D1557" s="7"/>
      <c r="E1557" s="7"/>
      <c r="F1557" s="55"/>
    </row>
    <row r="1558" spans="2:6" ht="15" customHeight="1" x14ac:dyDescent="0.25">
      <c r="B1558" s="1"/>
      <c r="C1558" s="1"/>
      <c r="D1558" s="7"/>
      <c r="E1558" s="7"/>
      <c r="F1558" s="55"/>
    </row>
    <row r="1559" spans="2:6" ht="15" customHeight="1" x14ac:dyDescent="0.25">
      <c r="B1559" s="1"/>
      <c r="C1559" s="1"/>
      <c r="D1559" s="7"/>
      <c r="E1559" s="7"/>
      <c r="F1559" s="55"/>
    </row>
    <row r="1560" spans="2:6" ht="15" customHeight="1" x14ac:dyDescent="0.25">
      <c r="B1560" s="1"/>
      <c r="C1560" s="1"/>
      <c r="D1560" s="7"/>
      <c r="E1560" s="7"/>
      <c r="F1560" s="55"/>
    </row>
    <row r="1561" spans="2:6" ht="15" customHeight="1" x14ac:dyDescent="0.25">
      <c r="B1561" s="1"/>
      <c r="C1561" s="1"/>
      <c r="D1561" s="7"/>
      <c r="E1561" s="7"/>
      <c r="F1561" s="55"/>
    </row>
    <row r="1562" spans="2:6" ht="15" customHeight="1" x14ac:dyDescent="0.25">
      <c r="B1562" s="1"/>
      <c r="C1562" s="1"/>
      <c r="D1562" s="7"/>
      <c r="E1562" s="7"/>
      <c r="F1562" s="55"/>
    </row>
    <row r="1563" spans="2:6" ht="15" customHeight="1" x14ac:dyDescent="0.25">
      <c r="B1563" s="1"/>
      <c r="C1563" s="1"/>
      <c r="D1563" s="7"/>
      <c r="E1563" s="7"/>
      <c r="F1563" s="55"/>
    </row>
    <row r="1564" spans="2:6" ht="15" customHeight="1" x14ac:dyDescent="0.25">
      <c r="B1564" s="1"/>
      <c r="C1564" s="1"/>
      <c r="D1564" s="7"/>
      <c r="E1564" s="7"/>
      <c r="F1564" s="55"/>
    </row>
    <row r="1565" spans="2:6" ht="15" customHeight="1" x14ac:dyDescent="0.25">
      <c r="B1565" s="1"/>
      <c r="C1565" s="1"/>
      <c r="D1565" s="7"/>
      <c r="E1565" s="7"/>
      <c r="F1565" s="55"/>
    </row>
    <row r="1566" spans="2:6" ht="15" customHeight="1" x14ac:dyDescent="0.25">
      <c r="B1566" s="1"/>
      <c r="C1566" s="1"/>
      <c r="D1566" s="7"/>
      <c r="E1566" s="7"/>
      <c r="F1566" s="55"/>
    </row>
    <row r="1567" spans="2:6" ht="15" customHeight="1" x14ac:dyDescent="0.25">
      <c r="B1567" s="1"/>
      <c r="C1567" s="1"/>
      <c r="D1567" s="7"/>
      <c r="E1567" s="7"/>
      <c r="F1567" s="55"/>
    </row>
    <row r="1568" spans="2:6" ht="15" customHeight="1" x14ac:dyDescent="0.25">
      <c r="B1568" s="1"/>
      <c r="C1568" s="1"/>
      <c r="D1568" s="7"/>
      <c r="E1568" s="7"/>
      <c r="F1568" s="55"/>
    </row>
    <row r="1569" spans="2:6" ht="15" customHeight="1" x14ac:dyDescent="0.25">
      <c r="B1569" s="1"/>
      <c r="C1569" s="1"/>
      <c r="D1569" s="7"/>
      <c r="E1569" s="7"/>
      <c r="F1569" s="55"/>
    </row>
    <row r="1570" spans="2:6" ht="15" customHeight="1" x14ac:dyDescent="0.25">
      <c r="B1570" s="1"/>
      <c r="C1570" s="1"/>
      <c r="D1570" s="7"/>
      <c r="E1570" s="7"/>
      <c r="F1570" s="55"/>
    </row>
    <row r="1571" spans="2:6" ht="15" customHeight="1" x14ac:dyDescent="0.25">
      <c r="B1571" s="1"/>
      <c r="C1571" s="1"/>
      <c r="D1571" s="7"/>
      <c r="E1571" s="7"/>
      <c r="F1571" s="55"/>
    </row>
    <row r="1572" spans="2:6" ht="15" customHeight="1" x14ac:dyDescent="0.25">
      <c r="B1572" s="1"/>
      <c r="C1572" s="1"/>
      <c r="D1572" s="7"/>
      <c r="E1572" s="7"/>
      <c r="F1572" s="55"/>
    </row>
    <row r="1573" spans="2:6" ht="15" customHeight="1" x14ac:dyDescent="0.25">
      <c r="B1573" s="1"/>
      <c r="C1573" s="1"/>
      <c r="D1573" s="7"/>
      <c r="E1573" s="7"/>
      <c r="F1573" s="55"/>
    </row>
    <row r="1574" spans="2:6" ht="15" customHeight="1" x14ac:dyDescent="0.25">
      <c r="B1574" s="1"/>
      <c r="C1574" s="1"/>
      <c r="D1574" s="7"/>
      <c r="E1574" s="7"/>
      <c r="F1574" s="55"/>
    </row>
    <row r="1575" spans="2:6" ht="15" customHeight="1" x14ac:dyDescent="0.25">
      <c r="B1575" s="1"/>
      <c r="C1575" s="1"/>
      <c r="D1575" s="7"/>
      <c r="E1575" s="7"/>
      <c r="F1575" s="55"/>
    </row>
    <row r="1576" spans="2:6" ht="15" customHeight="1" x14ac:dyDescent="0.25">
      <c r="B1576" s="1"/>
      <c r="C1576" s="1"/>
      <c r="D1576" s="7"/>
      <c r="E1576" s="7"/>
      <c r="F1576" s="55"/>
    </row>
    <row r="1577" spans="2:6" ht="15" customHeight="1" x14ac:dyDescent="0.25">
      <c r="B1577" s="1"/>
      <c r="C1577" s="1"/>
      <c r="D1577" s="7"/>
      <c r="E1577" s="7"/>
      <c r="F1577" s="55"/>
    </row>
    <row r="1578" spans="2:6" ht="15" customHeight="1" x14ac:dyDescent="0.25">
      <c r="B1578" s="1"/>
      <c r="C1578" s="1"/>
      <c r="D1578" s="7"/>
      <c r="E1578" s="7"/>
      <c r="F1578" s="55"/>
    </row>
    <row r="1579" spans="2:6" ht="15" customHeight="1" x14ac:dyDescent="0.25">
      <c r="B1579" s="1"/>
      <c r="C1579" s="1"/>
      <c r="D1579" s="7"/>
      <c r="E1579" s="7"/>
      <c r="F1579" s="55"/>
    </row>
    <row r="1580" spans="2:6" ht="15" customHeight="1" x14ac:dyDescent="0.25">
      <c r="B1580" s="1"/>
      <c r="C1580" s="1"/>
      <c r="D1580" s="7"/>
      <c r="E1580" s="7"/>
      <c r="F1580" s="55"/>
    </row>
    <row r="1581" spans="2:6" ht="15" customHeight="1" x14ac:dyDescent="0.25">
      <c r="B1581" s="1"/>
      <c r="C1581" s="1"/>
      <c r="D1581" s="7"/>
      <c r="E1581" s="7"/>
      <c r="F1581" s="55"/>
    </row>
    <row r="1582" spans="2:6" ht="15" customHeight="1" x14ac:dyDescent="0.25">
      <c r="B1582" s="1"/>
      <c r="C1582" s="1"/>
      <c r="D1582" s="7"/>
      <c r="E1582" s="7"/>
      <c r="F1582" s="55"/>
    </row>
    <row r="1583" spans="2:6" ht="15" customHeight="1" x14ac:dyDescent="0.25">
      <c r="B1583" s="1"/>
      <c r="C1583" s="1"/>
      <c r="D1583" s="7"/>
      <c r="E1583" s="7"/>
      <c r="F1583" s="55"/>
    </row>
    <row r="1584" spans="2:6" ht="15" customHeight="1" x14ac:dyDescent="0.25">
      <c r="B1584" s="1"/>
      <c r="C1584" s="1"/>
      <c r="D1584" s="7"/>
      <c r="E1584" s="7"/>
      <c r="F1584" s="55"/>
    </row>
    <row r="1585" spans="2:6" ht="15" customHeight="1" x14ac:dyDescent="0.25">
      <c r="B1585" s="1"/>
      <c r="C1585" s="1"/>
      <c r="D1585" s="7"/>
      <c r="E1585" s="7"/>
      <c r="F1585" s="55"/>
    </row>
    <row r="1586" spans="2:6" ht="15" customHeight="1" x14ac:dyDescent="0.25">
      <c r="B1586" s="1"/>
      <c r="C1586" s="1"/>
      <c r="D1586" s="7"/>
      <c r="E1586" s="7"/>
      <c r="F1586" s="55"/>
    </row>
    <row r="1587" spans="2:6" ht="15" customHeight="1" x14ac:dyDescent="0.25">
      <c r="B1587" s="1"/>
      <c r="C1587" s="1"/>
      <c r="D1587" s="7"/>
      <c r="E1587" s="7"/>
      <c r="F1587" s="55"/>
    </row>
    <row r="1588" spans="2:6" ht="15" customHeight="1" x14ac:dyDescent="0.25">
      <c r="B1588" s="1"/>
      <c r="C1588" s="1"/>
      <c r="D1588" s="7"/>
      <c r="E1588" s="7"/>
      <c r="F1588" s="55"/>
    </row>
    <row r="1589" spans="2:6" ht="15" customHeight="1" x14ac:dyDescent="0.25">
      <c r="B1589" s="1"/>
      <c r="C1589" s="1"/>
      <c r="D1589" s="7"/>
      <c r="E1589" s="7"/>
      <c r="F1589" s="55"/>
    </row>
    <row r="1590" spans="2:6" ht="15" customHeight="1" x14ac:dyDescent="0.25">
      <c r="B1590" s="1"/>
      <c r="C1590" s="1"/>
      <c r="D1590" s="7"/>
      <c r="E1590" s="7"/>
      <c r="F1590" s="55"/>
    </row>
    <row r="1591" spans="2:6" ht="15" customHeight="1" x14ac:dyDescent="0.25">
      <c r="B1591" s="1"/>
      <c r="C1591" s="1"/>
      <c r="D1591" s="7"/>
      <c r="E1591" s="7"/>
      <c r="F1591" s="55"/>
    </row>
    <row r="1592" spans="2:6" ht="15" customHeight="1" x14ac:dyDescent="0.25">
      <c r="B1592" s="1"/>
      <c r="C1592" s="1"/>
      <c r="D1592" s="7"/>
      <c r="E1592" s="7"/>
      <c r="F1592" s="55"/>
    </row>
    <row r="1593" spans="2:6" ht="15" customHeight="1" x14ac:dyDescent="0.25">
      <c r="B1593" s="1"/>
      <c r="C1593" s="1"/>
      <c r="D1593" s="7"/>
      <c r="E1593" s="7"/>
      <c r="F1593" s="55"/>
    </row>
    <row r="1594" spans="2:6" ht="15" customHeight="1" x14ac:dyDescent="0.25">
      <c r="B1594" s="1"/>
      <c r="C1594" s="1"/>
      <c r="D1594" s="7"/>
      <c r="E1594" s="7"/>
      <c r="F1594" s="55"/>
    </row>
    <row r="1595" spans="2:6" ht="15" customHeight="1" x14ac:dyDescent="0.25">
      <c r="B1595" s="1"/>
      <c r="C1595" s="1"/>
      <c r="D1595" s="7"/>
      <c r="E1595" s="7"/>
      <c r="F1595" s="55"/>
    </row>
    <row r="1596" spans="2:6" ht="15" customHeight="1" x14ac:dyDescent="0.25">
      <c r="B1596" s="1"/>
      <c r="C1596" s="1"/>
      <c r="D1596" s="7"/>
      <c r="E1596" s="7"/>
      <c r="F1596" s="55"/>
    </row>
    <row r="1597" spans="2:6" ht="15" customHeight="1" x14ac:dyDescent="0.25">
      <c r="B1597" s="1"/>
      <c r="C1597" s="1"/>
      <c r="D1597" s="7"/>
      <c r="E1597" s="7"/>
      <c r="F1597" s="55"/>
    </row>
    <row r="1598" spans="2:6" ht="15" customHeight="1" x14ac:dyDescent="0.25">
      <c r="B1598" s="1"/>
      <c r="C1598" s="1"/>
      <c r="D1598" s="7"/>
      <c r="E1598" s="7"/>
      <c r="F1598" s="55"/>
    </row>
    <row r="1599" spans="2:6" ht="15" customHeight="1" x14ac:dyDescent="0.25">
      <c r="B1599" s="1"/>
      <c r="C1599" s="1"/>
      <c r="D1599" s="7"/>
      <c r="E1599" s="7"/>
      <c r="F1599" s="55"/>
    </row>
    <row r="1600" spans="2:6" ht="15" customHeight="1" x14ac:dyDescent="0.25">
      <c r="B1600" s="1"/>
      <c r="C1600" s="1"/>
      <c r="D1600" s="7"/>
      <c r="E1600" s="7"/>
      <c r="F1600" s="55"/>
    </row>
    <row r="1601" spans="2:6" ht="15" customHeight="1" x14ac:dyDescent="0.25">
      <c r="B1601" s="1"/>
      <c r="C1601" s="1"/>
      <c r="D1601" s="7"/>
      <c r="E1601" s="7"/>
      <c r="F1601" s="55"/>
    </row>
    <row r="1602" spans="2:6" ht="15" customHeight="1" x14ac:dyDescent="0.25">
      <c r="B1602" s="1"/>
      <c r="C1602" s="1"/>
      <c r="D1602" s="7"/>
      <c r="E1602" s="7"/>
      <c r="F1602" s="55"/>
    </row>
    <row r="1603" spans="2:6" ht="15" customHeight="1" x14ac:dyDescent="0.25">
      <c r="B1603" s="1"/>
      <c r="C1603" s="1"/>
      <c r="D1603" s="7"/>
      <c r="E1603" s="7"/>
      <c r="F1603" s="55"/>
    </row>
    <row r="1604" spans="2:6" ht="15" customHeight="1" x14ac:dyDescent="0.25">
      <c r="B1604" s="1"/>
      <c r="C1604" s="1"/>
      <c r="D1604" s="7"/>
      <c r="E1604" s="7"/>
      <c r="F1604" s="55"/>
    </row>
    <row r="1605" spans="2:6" ht="15" customHeight="1" x14ac:dyDescent="0.25">
      <c r="B1605" s="1"/>
      <c r="C1605" s="1"/>
      <c r="D1605" s="7"/>
      <c r="E1605" s="7"/>
      <c r="F1605" s="55"/>
    </row>
    <row r="1606" spans="2:6" ht="15" customHeight="1" x14ac:dyDescent="0.25">
      <c r="B1606" s="1"/>
      <c r="C1606" s="1"/>
      <c r="D1606" s="7"/>
      <c r="E1606" s="7"/>
      <c r="F1606" s="55"/>
    </row>
    <row r="1607" spans="2:6" ht="15" customHeight="1" x14ac:dyDescent="0.25">
      <c r="B1607" s="1"/>
      <c r="C1607" s="1"/>
      <c r="D1607" s="7"/>
      <c r="E1607" s="7"/>
      <c r="F1607" s="55"/>
    </row>
    <row r="1608" spans="2:6" ht="15" customHeight="1" x14ac:dyDescent="0.25">
      <c r="B1608" s="1"/>
      <c r="C1608" s="1"/>
      <c r="D1608" s="7"/>
      <c r="E1608" s="7"/>
      <c r="F1608" s="55"/>
    </row>
    <row r="1609" spans="2:6" ht="15" customHeight="1" x14ac:dyDescent="0.25">
      <c r="B1609" s="1"/>
      <c r="C1609" s="1"/>
      <c r="D1609" s="7"/>
      <c r="E1609" s="7"/>
      <c r="F1609" s="55"/>
    </row>
    <row r="1610" spans="2:6" ht="15" customHeight="1" x14ac:dyDescent="0.25">
      <c r="B1610" s="1"/>
      <c r="C1610" s="1"/>
      <c r="D1610" s="7"/>
      <c r="E1610" s="7"/>
      <c r="F1610" s="55"/>
    </row>
    <row r="1611" spans="2:6" ht="15" customHeight="1" x14ac:dyDescent="0.25">
      <c r="B1611" s="1"/>
      <c r="C1611" s="1"/>
      <c r="D1611" s="7"/>
      <c r="E1611" s="7"/>
      <c r="F1611" s="55"/>
    </row>
    <row r="1612" spans="2:6" ht="15" customHeight="1" x14ac:dyDescent="0.25">
      <c r="B1612" s="1"/>
      <c r="C1612" s="1"/>
      <c r="D1612" s="7"/>
      <c r="E1612" s="7"/>
      <c r="F1612" s="55"/>
    </row>
    <row r="1613" spans="2:6" ht="15" customHeight="1" x14ac:dyDescent="0.25">
      <c r="B1613" s="1"/>
      <c r="C1613" s="1"/>
      <c r="D1613" s="7"/>
      <c r="E1613" s="7"/>
      <c r="F1613" s="55"/>
    </row>
    <row r="1614" spans="2:6" ht="15" customHeight="1" x14ac:dyDescent="0.25">
      <c r="B1614" s="1"/>
      <c r="C1614" s="1"/>
      <c r="D1614" s="7"/>
      <c r="E1614" s="7"/>
      <c r="F1614" s="55"/>
    </row>
    <row r="1615" spans="2:6" ht="15" customHeight="1" x14ac:dyDescent="0.25">
      <c r="B1615" s="1"/>
      <c r="C1615" s="1"/>
      <c r="D1615" s="7"/>
      <c r="E1615" s="7"/>
      <c r="F1615" s="55"/>
    </row>
    <row r="1616" spans="2:6" ht="15" customHeight="1" x14ac:dyDescent="0.25">
      <c r="B1616" s="1"/>
      <c r="C1616" s="1"/>
      <c r="D1616" s="7"/>
      <c r="E1616" s="7"/>
      <c r="F1616" s="55"/>
    </row>
    <row r="1617" spans="2:6" ht="15" customHeight="1" x14ac:dyDescent="0.25">
      <c r="B1617" s="1"/>
      <c r="C1617" s="1"/>
      <c r="D1617" s="7"/>
      <c r="E1617" s="7"/>
      <c r="F1617" s="55"/>
    </row>
    <row r="1618" spans="2:6" ht="15" customHeight="1" x14ac:dyDescent="0.25">
      <c r="B1618" s="1"/>
      <c r="C1618" s="1"/>
      <c r="D1618" s="7"/>
      <c r="E1618" s="7"/>
      <c r="F1618" s="55"/>
    </row>
    <row r="1619" spans="2:6" ht="15" customHeight="1" x14ac:dyDescent="0.25">
      <c r="B1619" s="1"/>
      <c r="C1619" s="1"/>
      <c r="D1619" s="7"/>
      <c r="E1619" s="7"/>
      <c r="F1619" s="55"/>
    </row>
    <row r="1620" spans="2:6" ht="15" customHeight="1" x14ac:dyDescent="0.25">
      <c r="B1620" s="1"/>
      <c r="C1620" s="1"/>
      <c r="D1620" s="7"/>
      <c r="E1620" s="7"/>
      <c r="F1620" s="55"/>
    </row>
    <row r="1621" spans="2:6" ht="15" customHeight="1" x14ac:dyDescent="0.25">
      <c r="B1621" s="1"/>
      <c r="C1621" s="1"/>
      <c r="D1621" s="7"/>
      <c r="E1621" s="7"/>
      <c r="F1621" s="55"/>
    </row>
    <row r="1622" spans="2:6" ht="15" customHeight="1" x14ac:dyDescent="0.25">
      <c r="B1622" s="1"/>
      <c r="C1622" s="1"/>
      <c r="D1622" s="7"/>
      <c r="E1622" s="7"/>
      <c r="F1622" s="55"/>
    </row>
    <row r="1623" spans="2:6" ht="15" customHeight="1" x14ac:dyDescent="0.25">
      <c r="B1623" s="1"/>
      <c r="C1623" s="1"/>
      <c r="D1623" s="7"/>
      <c r="E1623" s="7"/>
      <c r="F1623" s="55"/>
    </row>
    <row r="1624" spans="2:6" ht="15" customHeight="1" x14ac:dyDescent="0.25">
      <c r="B1624" s="1"/>
      <c r="C1624" s="1"/>
      <c r="D1624" s="7"/>
      <c r="E1624" s="7"/>
      <c r="F1624" s="55"/>
    </row>
    <row r="1625" spans="2:6" ht="15" customHeight="1" x14ac:dyDescent="0.25">
      <c r="B1625" s="1"/>
      <c r="C1625" s="1"/>
      <c r="D1625" s="7"/>
      <c r="E1625" s="7"/>
      <c r="F1625" s="55"/>
    </row>
    <row r="1626" spans="2:6" ht="15" customHeight="1" x14ac:dyDescent="0.25">
      <c r="B1626" s="1"/>
      <c r="C1626" s="1"/>
      <c r="D1626" s="7"/>
      <c r="E1626" s="7"/>
      <c r="F1626" s="55"/>
    </row>
    <row r="1627" spans="2:6" ht="15" customHeight="1" x14ac:dyDescent="0.25">
      <c r="B1627" s="1"/>
      <c r="C1627" s="1"/>
      <c r="D1627" s="7"/>
      <c r="E1627" s="7"/>
      <c r="F1627" s="55"/>
    </row>
    <row r="1628" spans="2:6" ht="15" customHeight="1" x14ac:dyDescent="0.25">
      <c r="B1628" s="1"/>
      <c r="C1628" s="1"/>
      <c r="D1628" s="7"/>
      <c r="E1628" s="7"/>
      <c r="F1628" s="55"/>
    </row>
    <row r="1629" spans="2:6" ht="15" customHeight="1" x14ac:dyDescent="0.25">
      <c r="B1629" s="1"/>
      <c r="C1629" s="1"/>
      <c r="D1629" s="7"/>
      <c r="E1629" s="7"/>
      <c r="F1629" s="55"/>
    </row>
    <row r="1630" spans="2:6" ht="15" customHeight="1" x14ac:dyDescent="0.25">
      <c r="B1630" s="1"/>
      <c r="C1630" s="1"/>
      <c r="D1630" s="7"/>
      <c r="E1630" s="7"/>
      <c r="F1630" s="55"/>
    </row>
    <row r="1631" spans="2:6" ht="15" customHeight="1" x14ac:dyDescent="0.25">
      <c r="B1631" s="1"/>
      <c r="C1631" s="1"/>
      <c r="D1631" s="7"/>
      <c r="E1631" s="7"/>
      <c r="F1631" s="55"/>
    </row>
    <row r="1632" spans="2:6" ht="15" customHeight="1" x14ac:dyDescent="0.25">
      <c r="B1632" s="1"/>
      <c r="C1632" s="1"/>
      <c r="D1632" s="7"/>
      <c r="E1632" s="7"/>
      <c r="F1632" s="55"/>
    </row>
    <row r="1633" spans="2:6" ht="15" customHeight="1" x14ac:dyDescent="0.25">
      <c r="B1633" s="1"/>
      <c r="C1633" s="1"/>
      <c r="D1633" s="7"/>
      <c r="E1633" s="7"/>
      <c r="F1633" s="55"/>
    </row>
    <row r="1634" spans="2:6" ht="15" customHeight="1" x14ac:dyDescent="0.25">
      <c r="B1634" s="1"/>
      <c r="C1634" s="1"/>
      <c r="D1634" s="7"/>
      <c r="E1634" s="7"/>
      <c r="F1634" s="55"/>
    </row>
    <row r="1635" spans="2:6" ht="15" customHeight="1" x14ac:dyDescent="0.25">
      <c r="B1635" s="1"/>
      <c r="C1635" s="1"/>
      <c r="D1635" s="7"/>
      <c r="E1635" s="7"/>
      <c r="F1635" s="55"/>
    </row>
    <row r="1636" spans="2:6" ht="15" customHeight="1" x14ac:dyDescent="0.25">
      <c r="B1636" s="1"/>
      <c r="C1636" s="1"/>
      <c r="D1636" s="7"/>
      <c r="E1636" s="7"/>
      <c r="F1636" s="55"/>
    </row>
    <row r="1637" spans="2:6" ht="15" customHeight="1" x14ac:dyDescent="0.25">
      <c r="B1637" s="1"/>
      <c r="C1637" s="1"/>
      <c r="D1637" s="7"/>
      <c r="E1637" s="7"/>
      <c r="F1637" s="55"/>
    </row>
    <row r="1638" spans="2:6" ht="15" customHeight="1" x14ac:dyDescent="0.25">
      <c r="B1638" s="1"/>
      <c r="C1638" s="1"/>
      <c r="D1638" s="7"/>
      <c r="E1638" s="7"/>
      <c r="F1638" s="55"/>
    </row>
    <row r="1639" spans="2:6" ht="15" customHeight="1" x14ac:dyDescent="0.25">
      <c r="B1639" s="1"/>
      <c r="C1639" s="1"/>
      <c r="D1639" s="7"/>
      <c r="E1639" s="7"/>
      <c r="F1639" s="55"/>
    </row>
    <row r="1640" spans="2:6" ht="15" customHeight="1" x14ac:dyDescent="0.25">
      <c r="B1640" s="1"/>
      <c r="C1640" s="1"/>
      <c r="D1640" s="7"/>
      <c r="E1640" s="7"/>
      <c r="F1640" s="55"/>
    </row>
    <row r="1641" spans="2:6" ht="15" customHeight="1" x14ac:dyDescent="0.25">
      <c r="B1641" s="1"/>
      <c r="C1641" s="1"/>
      <c r="D1641" s="7"/>
      <c r="E1641" s="7"/>
      <c r="F1641" s="55"/>
    </row>
    <row r="1642" spans="2:6" ht="15" customHeight="1" x14ac:dyDescent="0.25">
      <c r="B1642" s="1"/>
      <c r="C1642" s="1"/>
      <c r="D1642" s="7"/>
      <c r="E1642" s="7"/>
      <c r="F1642" s="55"/>
    </row>
    <row r="1643" spans="2:6" ht="15" customHeight="1" x14ac:dyDescent="0.25">
      <c r="B1643" s="1"/>
      <c r="C1643" s="1"/>
      <c r="D1643" s="7"/>
      <c r="E1643" s="7"/>
      <c r="F1643" s="55"/>
    </row>
    <row r="1644" spans="2:6" ht="15" customHeight="1" x14ac:dyDescent="0.25">
      <c r="B1644" s="1"/>
      <c r="C1644" s="1"/>
      <c r="D1644" s="7"/>
      <c r="E1644" s="7"/>
      <c r="F1644" s="55"/>
    </row>
    <row r="1645" spans="2:6" ht="15" customHeight="1" x14ac:dyDescent="0.25">
      <c r="B1645" s="1"/>
      <c r="C1645" s="1"/>
      <c r="D1645" s="7"/>
      <c r="E1645" s="7"/>
      <c r="F1645" s="55"/>
    </row>
    <row r="1646" spans="2:6" ht="15" customHeight="1" x14ac:dyDescent="0.25">
      <c r="B1646" s="1"/>
      <c r="C1646" s="1"/>
      <c r="D1646" s="7"/>
      <c r="E1646" s="7"/>
      <c r="F1646" s="55"/>
    </row>
    <row r="1647" spans="2:6" ht="15" customHeight="1" x14ac:dyDescent="0.25">
      <c r="B1647" s="1"/>
      <c r="C1647" s="1"/>
      <c r="D1647" s="7"/>
      <c r="E1647" s="7"/>
      <c r="F1647" s="55"/>
    </row>
    <row r="1648" spans="2:6" ht="15" customHeight="1" x14ac:dyDescent="0.25">
      <c r="B1648" s="1"/>
      <c r="C1648" s="1"/>
      <c r="D1648" s="7"/>
      <c r="E1648" s="7"/>
      <c r="F1648" s="55"/>
    </row>
    <row r="1649" spans="2:6" ht="15" customHeight="1" x14ac:dyDescent="0.25">
      <c r="B1649" s="1"/>
      <c r="C1649" s="1"/>
      <c r="D1649" s="7"/>
      <c r="E1649" s="7"/>
      <c r="F1649" s="55"/>
    </row>
    <row r="1650" spans="2:6" ht="15" customHeight="1" x14ac:dyDescent="0.25">
      <c r="B1650" s="1"/>
      <c r="C1650" s="1"/>
      <c r="D1650" s="7"/>
      <c r="E1650" s="7"/>
      <c r="F1650" s="55"/>
    </row>
    <row r="1651" spans="2:6" ht="15" customHeight="1" x14ac:dyDescent="0.25">
      <c r="B1651" s="1"/>
      <c r="C1651" s="1"/>
      <c r="D1651" s="7"/>
      <c r="E1651" s="7"/>
      <c r="F1651" s="55"/>
    </row>
    <row r="1652" spans="2:6" ht="15" customHeight="1" x14ac:dyDescent="0.25">
      <c r="B1652" s="1"/>
      <c r="C1652" s="1"/>
      <c r="D1652" s="7"/>
      <c r="E1652" s="7"/>
      <c r="F1652" s="55"/>
    </row>
    <row r="1653" spans="2:6" ht="15" customHeight="1" x14ac:dyDescent="0.25">
      <c r="B1653" s="1"/>
      <c r="C1653" s="1"/>
      <c r="D1653" s="7"/>
      <c r="E1653" s="7"/>
      <c r="F1653" s="55"/>
    </row>
    <row r="1654" spans="2:6" ht="15" customHeight="1" x14ac:dyDescent="0.25">
      <c r="B1654" s="1"/>
      <c r="C1654" s="1"/>
      <c r="D1654" s="7"/>
      <c r="E1654" s="7"/>
      <c r="F1654" s="55"/>
    </row>
    <row r="1655" spans="2:6" ht="15" customHeight="1" x14ac:dyDescent="0.25">
      <c r="B1655" s="1"/>
      <c r="C1655" s="1"/>
      <c r="D1655" s="7"/>
      <c r="E1655" s="7"/>
      <c r="F1655" s="55"/>
    </row>
    <row r="1656" spans="2:6" ht="15" customHeight="1" x14ac:dyDescent="0.25">
      <c r="B1656" s="1"/>
      <c r="C1656" s="1"/>
      <c r="D1656" s="7"/>
      <c r="E1656" s="7"/>
      <c r="F1656" s="55"/>
    </row>
    <row r="1657" spans="2:6" ht="15" customHeight="1" x14ac:dyDescent="0.25">
      <c r="B1657" s="1"/>
      <c r="C1657" s="1"/>
      <c r="D1657" s="7"/>
      <c r="E1657" s="7"/>
      <c r="F1657" s="55"/>
    </row>
    <row r="1658" spans="2:6" ht="15" customHeight="1" x14ac:dyDescent="0.25">
      <c r="B1658" s="1"/>
      <c r="C1658" s="1"/>
      <c r="D1658" s="7"/>
      <c r="E1658" s="7"/>
      <c r="F1658" s="55"/>
    </row>
    <row r="1659" spans="2:6" ht="15" customHeight="1" x14ac:dyDescent="0.25">
      <c r="B1659" s="1"/>
      <c r="C1659" s="1"/>
      <c r="D1659" s="7"/>
      <c r="E1659" s="7"/>
      <c r="F1659" s="55"/>
    </row>
    <row r="1660" spans="2:6" ht="15" customHeight="1" x14ac:dyDescent="0.25">
      <c r="B1660" s="1"/>
      <c r="C1660" s="1"/>
      <c r="D1660" s="7"/>
      <c r="E1660" s="7"/>
      <c r="F1660" s="55"/>
    </row>
    <row r="1661" spans="2:6" ht="15" customHeight="1" x14ac:dyDescent="0.25">
      <c r="B1661" s="1"/>
      <c r="C1661" s="1"/>
      <c r="D1661" s="7"/>
      <c r="E1661" s="7"/>
      <c r="F1661" s="55"/>
    </row>
    <row r="1662" spans="2:6" ht="15" customHeight="1" x14ac:dyDescent="0.25">
      <c r="B1662" s="1"/>
      <c r="C1662" s="1"/>
      <c r="D1662" s="7"/>
      <c r="E1662" s="7"/>
      <c r="F1662" s="55"/>
    </row>
    <row r="1663" spans="2:6" ht="15" customHeight="1" x14ac:dyDescent="0.25">
      <c r="B1663" s="1"/>
      <c r="C1663" s="1"/>
      <c r="D1663" s="7"/>
      <c r="E1663" s="7"/>
      <c r="F1663" s="55"/>
    </row>
    <row r="1664" spans="2:6" ht="15" customHeight="1" x14ac:dyDescent="0.25">
      <c r="B1664" s="1"/>
      <c r="C1664" s="1"/>
      <c r="D1664" s="7"/>
      <c r="E1664" s="7"/>
      <c r="F1664" s="55"/>
    </row>
    <row r="1665" spans="2:6" ht="15" customHeight="1" x14ac:dyDescent="0.25">
      <c r="B1665" s="1"/>
      <c r="C1665" s="1"/>
      <c r="D1665" s="7"/>
      <c r="E1665" s="7"/>
      <c r="F1665" s="55"/>
    </row>
    <row r="1666" spans="2:6" ht="15" customHeight="1" x14ac:dyDescent="0.25">
      <c r="B1666" s="1"/>
      <c r="C1666" s="1"/>
      <c r="D1666" s="7"/>
      <c r="E1666" s="7"/>
      <c r="F1666" s="55"/>
    </row>
    <row r="1667" spans="2:6" ht="15" customHeight="1" x14ac:dyDescent="0.25">
      <c r="B1667" s="1"/>
      <c r="C1667" s="1"/>
      <c r="D1667" s="7"/>
      <c r="E1667" s="7"/>
      <c r="F1667" s="55"/>
    </row>
    <row r="1668" spans="2:6" ht="15" customHeight="1" x14ac:dyDescent="0.25">
      <c r="B1668" s="1"/>
      <c r="C1668" s="1"/>
      <c r="D1668" s="7"/>
      <c r="E1668" s="7"/>
      <c r="F1668" s="55"/>
    </row>
    <row r="1669" spans="2:6" ht="15" customHeight="1" x14ac:dyDescent="0.25">
      <c r="B1669" s="1"/>
      <c r="C1669" s="1"/>
      <c r="D1669" s="7"/>
      <c r="E1669" s="7"/>
      <c r="F1669" s="55"/>
    </row>
    <row r="1670" spans="2:6" ht="15" customHeight="1" x14ac:dyDescent="0.25">
      <c r="B1670" s="1"/>
      <c r="C1670" s="1"/>
      <c r="D1670" s="7"/>
      <c r="E1670" s="7"/>
      <c r="F1670" s="55"/>
    </row>
    <row r="1671" spans="2:6" ht="15" customHeight="1" x14ac:dyDescent="0.25">
      <c r="B1671" s="1"/>
      <c r="C1671" s="1"/>
      <c r="D1671" s="7"/>
      <c r="E1671" s="7"/>
      <c r="F1671" s="55"/>
    </row>
    <row r="1672" spans="2:6" ht="15" customHeight="1" x14ac:dyDescent="0.25">
      <c r="B1672" s="1"/>
      <c r="C1672" s="1"/>
      <c r="D1672" s="7"/>
      <c r="E1672" s="7"/>
      <c r="F1672" s="55"/>
    </row>
    <row r="1673" spans="2:6" ht="15" customHeight="1" x14ac:dyDescent="0.25">
      <c r="B1673" s="1"/>
      <c r="C1673" s="1"/>
      <c r="D1673" s="7"/>
      <c r="E1673" s="7"/>
      <c r="F1673" s="55"/>
    </row>
    <row r="1674" spans="2:6" ht="15" customHeight="1" x14ac:dyDescent="0.25">
      <c r="B1674" s="1"/>
      <c r="C1674" s="1"/>
      <c r="D1674" s="7"/>
      <c r="E1674" s="7"/>
      <c r="F1674" s="55"/>
    </row>
    <row r="1675" spans="2:6" ht="15" customHeight="1" x14ac:dyDescent="0.25">
      <c r="B1675" s="1"/>
      <c r="C1675" s="1"/>
      <c r="D1675" s="7"/>
      <c r="E1675" s="7"/>
      <c r="F1675" s="55"/>
    </row>
    <row r="1676" spans="2:6" ht="15" customHeight="1" x14ac:dyDescent="0.25">
      <c r="B1676" s="1"/>
      <c r="C1676" s="1"/>
      <c r="D1676" s="7"/>
      <c r="E1676" s="7"/>
      <c r="F1676" s="55"/>
    </row>
    <row r="1677" spans="2:6" ht="15" customHeight="1" x14ac:dyDescent="0.25">
      <c r="B1677" s="1"/>
      <c r="C1677" s="1"/>
      <c r="D1677" s="7"/>
      <c r="E1677" s="7"/>
      <c r="F1677" s="55"/>
    </row>
    <row r="1678" spans="2:6" ht="15" customHeight="1" x14ac:dyDescent="0.25">
      <c r="B1678" s="1"/>
      <c r="C1678" s="1"/>
      <c r="D1678" s="7"/>
      <c r="E1678" s="7"/>
      <c r="F1678" s="55"/>
    </row>
    <row r="1679" spans="2:6" ht="15" customHeight="1" x14ac:dyDescent="0.25">
      <c r="B1679" s="1"/>
      <c r="C1679" s="1"/>
      <c r="D1679" s="7"/>
      <c r="E1679" s="7"/>
      <c r="F1679" s="55"/>
    </row>
    <row r="1680" spans="2:6" ht="15" customHeight="1" x14ac:dyDescent="0.25">
      <c r="B1680" s="1"/>
      <c r="C1680" s="1"/>
      <c r="D1680" s="7"/>
      <c r="E1680" s="7"/>
      <c r="F1680" s="55"/>
    </row>
    <row r="1681" spans="2:6" ht="15" customHeight="1" x14ac:dyDescent="0.25">
      <c r="B1681" s="1"/>
      <c r="C1681" s="1"/>
      <c r="D1681" s="7"/>
      <c r="E1681" s="7"/>
      <c r="F1681" s="55"/>
    </row>
    <row r="1682" spans="2:6" ht="15" customHeight="1" x14ac:dyDescent="0.25">
      <c r="B1682" s="1"/>
      <c r="C1682" s="1"/>
      <c r="D1682" s="7"/>
      <c r="E1682" s="7"/>
      <c r="F1682" s="55"/>
    </row>
    <row r="1683" spans="2:6" ht="15" customHeight="1" x14ac:dyDescent="0.25">
      <c r="B1683" s="1"/>
      <c r="C1683" s="1"/>
      <c r="D1683" s="7"/>
      <c r="E1683" s="7"/>
      <c r="F1683" s="55"/>
    </row>
    <row r="1684" spans="2:6" ht="15" customHeight="1" x14ac:dyDescent="0.25">
      <c r="B1684" s="1"/>
      <c r="C1684" s="1"/>
      <c r="D1684" s="7"/>
      <c r="E1684" s="7"/>
      <c r="F1684" s="55"/>
    </row>
    <row r="1685" spans="2:6" ht="15" customHeight="1" x14ac:dyDescent="0.25">
      <c r="B1685" s="1"/>
      <c r="C1685" s="1"/>
      <c r="D1685" s="7"/>
      <c r="E1685" s="7"/>
      <c r="F1685" s="55"/>
    </row>
    <row r="1686" spans="2:6" ht="15" customHeight="1" x14ac:dyDescent="0.25">
      <c r="B1686" s="1"/>
      <c r="C1686" s="1"/>
      <c r="D1686" s="7"/>
      <c r="E1686" s="7"/>
      <c r="F1686" s="55"/>
    </row>
    <row r="1687" spans="2:6" ht="15" customHeight="1" x14ac:dyDescent="0.25">
      <c r="B1687" s="1"/>
      <c r="C1687" s="1"/>
      <c r="D1687" s="7"/>
      <c r="E1687" s="7"/>
      <c r="F1687" s="55"/>
    </row>
    <row r="1688" spans="2:6" ht="15" customHeight="1" x14ac:dyDescent="0.25">
      <c r="B1688" s="1"/>
      <c r="C1688" s="1"/>
      <c r="D1688" s="7"/>
      <c r="E1688" s="7"/>
      <c r="F1688" s="55"/>
    </row>
    <row r="1689" spans="2:6" ht="15" customHeight="1" x14ac:dyDescent="0.25">
      <c r="B1689" s="1"/>
      <c r="C1689" s="1"/>
      <c r="D1689" s="7"/>
      <c r="E1689" s="7"/>
      <c r="F1689" s="55"/>
    </row>
    <row r="1690" spans="2:6" ht="15" customHeight="1" x14ac:dyDescent="0.25">
      <c r="B1690" s="1"/>
      <c r="C1690" s="1"/>
      <c r="D1690" s="7"/>
      <c r="E1690" s="7"/>
      <c r="F1690" s="55"/>
    </row>
    <row r="1691" spans="2:6" ht="15" customHeight="1" x14ac:dyDescent="0.25">
      <c r="B1691" s="1"/>
      <c r="C1691" s="1"/>
      <c r="D1691" s="7"/>
      <c r="E1691" s="7"/>
      <c r="F1691" s="55"/>
    </row>
    <row r="1692" spans="2:6" ht="15" customHeight="1" x14ac:dyDescent="0.25">
      <c r="B1692" s="1"/>
      <c r="C1692" s="1"/>
      <c r="D1692" s="7"/>
      <c r="E1692" s="7"/>
      <c r="F1692" s="55"/>
    </row>
    <row r="1693" spans="2:6" ht="15" customHeight="1" x14ac:dyDescent="0.25">
      <c r="B1693" s="1"/>
      <c r="C1693" s="1"/>
      <c r="D1693" s="7"/>
      <c r="E1693" s="7"/>
      <c r="F1693" s="55"/>
    </row>
    <row r="1694" spans="2:6" ht="15" customHeight="1" x14ac:dyDescent="0.25">
      <c r="B1694" s="1"/>
      <c r="C1694" s="1"/>
      <c r="D1694" s="7"/>
      <c r="E1694" s="7"/>
      <c r="F1694" s="55"/>
    </row>
    <row r="1695" spans="2:6" ht="15" customHeight="1" x14ac:dyDescent="0.25">
      <c r="B1695" s="1"/>
      <c r="C1695" s="1"/>
      <c r="D1695" s="7"/>
      <c r="E1695" s="7"/>
      <c r="F1695" s="55"/>
    </row>
    <row r="1696" spans="2:6" ht="15" customHeight="1" x14ac:dyDescent="0.25">
      <c r="B1696" s="1"/>
      <c r="C1696" s="1"/>
      <c r="D1696" s="7"/>
      <c r="E1696" s="7"/>
      <c r="F1696" s="55"/>
    </row>
    <row r="1697" spans="2:6" ht="15" customHeight="1" x14ac:dyDescent="0.25">
      <c r="B1697" s="1"/>
      <c r="C1697" s="1"/>
      <c r="D1697" s="7"/>
      <c r="E1697" s="7"/>
      <c r="F1697" s="55"/>
    </row>
    <row r="1698" spans="2:6" ht="15" customHeight="1" x14ac:dyDescent="0.25">
      <c r="B1698" s="1"/>
      <c r="C1698" s="1"/>
      <c r="D1698" s="7"/>
      <c r="E1698" s="7"/>
      <c r="F1698" s="55"/>
    </row>
    <row r="1699" spans="2:6" ht="15" customHeight="1" x14ac:dyDescent="0.25">
      <c r="B1699" s="1"/>
      <c r="C1699" s="1"/>
      <c r="D1699" s="7"/>
      <c r="E1699" s="7"/>
      <c r="F1699" s="55"/>
    </row>
    <row r="1700" spans="2:6" ht="15" customHeight="1" x14ac:dyDescent="0.25">
      <c r="B1700" s="1"/>
      <c r="C1700" s="1"/>
      <c r="D1700" s="7"/>
      <c r="E1700" s="7"/>
      <c r="F1700" s="55"/>
    </row>
    <row r="1701" spans="2:6" ht="15" customHeight="1" x14ac:dyDescent="0.25">
      <c r="B1701" s="1"/>
      <c r="C1701" s="1"/>
      <c r="D1701" s="7"/>
      <c r="E1701" s="7"/>
      <c r="F1701" s="55"/>
    </row>
    <row r="1702" spans="2:6" ht="15" customHeight="1" x14ac:dyDescent="0.25">
      <c r="B1702" s="1"/>
      <c r="C1702" s="1"/>
      <c r="D1702" s="7"/>
      <c r="E1702" s="7"/>
      <c r="F1702" s="55"/>
    </row>
    <row r="1703" spans="2:6" ht="15" customHeight="1" x14ac:dyDescent="0.25">
      <c r="B1703" s="1"/>
      <c r="C1703" s="1"/>
      <c r="D1703" s="7"/>
      <c r="E1703" s="7"/>
      <c r="F1703" s="55"/>
    </row>
    <row r="1704" spans="2:6" ht="15" customHeight="1" x14ac:dyDescent="0.25">
      <c r="B1704" s="1"/>
      <c r="C1704" s="1"/>
      <c r="D1704" s="7"/>
      <c r="E1704" s="7"/>
      <c r="F1704" s="55"/>
    </row>
    <row r="1705" spans="2:6" ht="15" customHeight="1" x14ac:dyDescent="0.25">
      <c r="B1705" s="1"/>
      <c r="C1705" s="1"/>
      <c r="D1705" s="7"/>
      <c r="E1705" s="7"/>
      <c r="F1705" s="55"/>
    </row>
    <row r="1706" spans="2:6" ht="15" customHeight="1" x14ac:dyDescent="0.25">
      <c r="B1706" s="1"/>
      <c r="C1706" s="1"/>
      <c r="D1706" s="7"/>
      <c r="E1706" s="7"/>
      <c r="F1706" s="55"/>
    </row>
    <row r="1707" spans="2:6" ht="15" customHeight="1" x14ac:dyDescent="0.25">
      <c r="B1707" s="1"/>
      <c r="C1707" s="1"/>
      <c r="D1707" s="7"/>
      <c r="E1707" s="7"/>
      <c r="F1707" s="55"/>
    </row>
    <row r="1708" spans="2:6" ht="15" customHeight="1" x14ac:dyDescent="0.25">
      <c r="B1708" s="1"/>
      <c r="C1708" s="1"/>
      <c r="D1708" s="7"/>
      <c r="E1708" s="7"/>
      <c r="F1708" s="55"/>
    </row>
    <row r="1709" spans="2:6" ht="15" customHeight="1" x14ac:dyDescent="0.25">
      <c r="B1709" s="1"/>
      <c r="C1709" s="1"/>
      <c r="D1709" s="7"/>
      <c r="E1709" s="7"/>
      <c r="F1709" s="55"/>
    </row>
    <row r="1710" spans="2:6" ht="15" customHeight="1" x14ac:dyDescent="0.25">
      <c r="B1710" s="1"/>
      <c r="C1710" s="1"/>
      <c r="D1710" s="7"/>
      <c r="E1710" s="7"/>
      <c r="F1710" s="55"/>
    </row>
    <row r="1711" spans="2:6" ht="15" customHeight="1" x14ac:dyDescent="0.25">
      <c r="B1711" s="1"/>
      <c r="C1711" s="1"/>
      <c r="D1711" s="7"/>
      <c r="E1711" s="7"/>
      <c r="F1711" s="55"/>
    </row>
    <row r="1712" spans="2:6" ht="15" customHeight="1" x14ac:dyDescent="0.25">
      <c r="B1712" s="1"/>
      <c r="C1712" s="1"/>
      <c r="D1712" s="7"/>
      <c r="E1712" s="7"/>
      <c r="F1712" s="55"/>
    </row>
    <row r="1713" spans="2:6" ht="15" customHeight="1" x14ac:dyDescent="0.25">
      <c r="B1713" s="1"/>
      <c r="C1713" s="1"/>
      <c r="D1713" s="7"/>
      <c r="E1713" s="7"/>
      <c r="F1713" s="55"/>
    </row>
    <row r="1714" spans="2:6" ht="15" customHeight="1" x14ac:dyDescent="0.25">
      <c r="B1714" s="1"/>
      <c r="C1714" s="1"/>
      <c r="D1714" s="7"/>
      <c r="E1714" s="7"/>
      <c r="F1714" s="55"/>
    </row>
    <row r="1715" spans="2:6" ht="15" customHeight="1" x14ac:dyDescent="0.25">
      <c r="B1715" s="1"/>
      <c r="C1715" s="1"/>
      <c r="D1715" s="7"/>
      <c r="E1715" s="7"/>
      <c r="F1715" s="55"/>
    </row>
    <row r="1716" spans="2:6" ht="15" customHeight="1" x14ac:dyDescent="0.25">
      <c r="B1716" s="1"/>
      <c r="C1716" s="1"/>
      <c r="D1716" s="7"/>
      <c r="E1716" s="7"/>
      <c r="F1716" s="55"/>
    </row>
    <row r="1717" spans="2:6" ht="15" customHeight="1" x14ac:dyDescent="0.25">
      <c r="B1717" s="1"/>
      <c r="C1717" s="1"/>
      <c r="D1717" s="7"/>
      <c r="E1717" s="7"/>
      <c r="F1717" s="55"/>
    </row>
    <row r="1718" spans="2:6" ht="15" customHeight="1" x14ac:dyDescent="0.25">
      <c r="B1718" s="1"/>
      <c r="C1718" s="1"/>
      <c r="D1718" s="7"/>
      <c r="E1718" s="7"/>
      <c r="F1718" s="55"/>
    </row>
    <row r="1719" spans="2:6" ht="15" customHeight="1" x14ac:dyDescent="0.25">
      <c r="B1719" s="1"/>
      <c r="C1719" s="1"/>
      <c r="D1719" s="7"/>
      <c r="E1719" s="7"/>
      <c r="F1719" s="55"/>
    </row>
    <row r="1720" spans="2:6" ht="15" customHeight="1" x14ac:dyDescent="0.25">
      <c r="B1720" s="1"/>
      <c r="C1720" s="1"/>
      <c r="D1720" s="7"/>
      <c r="E1720" s="7"/>
      <c r="F1720" s="55"/>
    </row>
    <row r="1721" spans="2:6" ht="15" customHeight="1" x14ac:dyDescent="0.25">
      <c r="B1721" s="1"/>
      <c r="C1721" s="1"/>
      <c r="D1721" s="7"/>
      <c r="E1721" s="7"/>
      <c r="F1721" s="55"/>
    </row>
    <row r="1722" spans="2:6" ht="15" customHeight="1" x14ac:dyDescent="0.25">
      <c r="B1722" s="1"/>
      <c r="C1722" s="1"/>
      <c r="D1722" s="7"/>
      <c r="E1722" s="7"/>
      <c r="F1722" s="55"/>
    </row>
    <row r="1723" spans="2:6" ht="15" customHeight="1" x14ac:dyDescent="0.25">
      <c r="B1723" s="1"/>
      <c r="C1723" s="1"/>
      <c r="D1723" s="7"/>
      <c r="E1723" s="7"/>
      <c r="F1723" s="55"/>
    </row>
    <row r="1724" spans="2:6" ht="15" customHeight="1" x14ac:dyDescent="0.25">
      <c r="B1724" s="1"/>
      <c r="C1724" s="1"/>
      <c r="D1724" s="7"/>
      <c r="E1724" s="7"/>
      <c r="F1724" s="55"/>
    </row>
    <row r="1725" spans="2:6" ht="15" customHeight="1" x14ac:dyDescent="0.25">
      <c r="B1725" s="1"/>
      <c r="C1725" s="1"/>
      <c r="D1725" s="7"/>
      <c r="E1725" s="7"/>
      <c r="F1725" s="55"/>
    </row>
    <row r="1726" spans="2:6" ht="15" customHeight="1" x14ac:dyDescent="0.25">
      <c r="B1726" s="1"/>
      <c r="C1726" s="1"/>
      <c r="D1726" s="7"/>
      <c r="E1726" s="7"/>
      <c r="F1726" s="55"/>
    </row>
    <row r="1727" spans="2:6" ht="15" customHeight="1" x14ac:dyDescent="0.25">
      <c r="B1727" s="1"/>
      <c r="C1727" s="1"/>
      <c r="D1727" s="7"/>
      <c r="E1727" s="7"/>
      <c r="F1727" s="55"/>
    </row>
    <row r="1728" spans="2:6" ht="15" customHeight="1" x14ac:dyDescent="0.25">
      <c r="B1728" s="1"/>
      <c r="C1728" s="1"/>
      <c r="D1728" s="7"/>
      <c r="E1728" s="7"/>
      <c r="F1728" s="55"/>
    </row>
    <row r="1729" spans="2:6" ht="15" customHeight="1" x14ac:dyDescent="0.25">
      <c r="B1729" s="1"/>
      <c r="C1729" s="1"/>
      <c r="D1729" s="7"/>
      <c r="E1729" s="7"/>
      <c r="F1729" s="55"/>
    </row>
    <row r="1730" spans="2:6" ht="15" customHeight="1" x14ac:dyDescent="0.25">
      <c r="B1730" s="1"/>
      <c r="C1730" s="1"/>
      <c r="D1730" s="7"/>
      <c r="E1730" s="7"/>
      <c r="F1730" s="55"/>
    </row>
    <row r="1731" spans="2:6" ht="15" customHeight="1" x14ac:dyDescent="0.25">
      <c r="B1731" s="1"/>
      <c r="C1731" s="1"/>
      <c r="D1731" s="7"/>
      <c r="E1731" s="7"/>
      <c r="F1731" s="55"/>
    </row>
    <row r="1732" spans="2:6" ht="15" customHeight="1" x14ac:dyDescent="0.25">
      <c r="B1732" s="1"/>
      <c r="C1732" s="1"/>
      <c r="D1732" s="7"/>
      <c r="E1732" s="7"/>
      <c r="F1732" s="55"/>
    </row>
    <row r="1733" spans="2:6" ht="15" customHeight="1" x14ac:dyDescent="0.25">
      <c r="B1733" s="1"/>
      <c r="C1733" s="1"/>
      <c r="D1733" s="7"/>
      <c r="E1733" s="7"/>
      <c r="F1733" s="55"/>
    </row>
    <row r="1734" spans="2:6" ht="15" customHeight="1" x14ac:dyDescent="0.25">
      <c r="B1734" s="1"/>
      <c r="C1734" s="1"/>
      <c r="D1734" s="7"/>
      <c r="E1734" s="7"/>
      <c r="F1734" s="55"/>
    </row>
    <row r="1735" spans="2:6" ht="15" customHeight="1" x14ac:dyDescent="0.25">
      <c r="B1735" s="1"/>
      <c r="C1735" s="1"/>
      <c r="D1735" s="7"/>
      <c r="E1735" s="7"/>
      <c r="F1735" s="55"/>
    </row>
    <row r="1736" spans="2:6" ht="15" customHeight="1" x14ac:dyDescent="0.25">
      <c r="B1736" s="1"/>
      <c r="C1736" s="1"/>
      <c r="D1736" s="7"/>
      <c r="E1736" s="7"/>
      <c r="F1736" s="55"/>
    </row>
    <row r="1737" spans="2:6" ht="15" customHeight="1" x14ac:dyDescent="0.25">
      <c r="B1737" s="1"/>
      <c r="C1737" s="1"/>
      <c r="D1737" s="7"/>
      <c r="E1737" s="7"/>
      <c r="F1737" s="55"/>
    </row>
    <row r="1738" spans="2:6" ht="15" customHeight="1" x14ac:dyDescent="0.25">
      <c r="B1738" s="1"/>
      <c r="C1738" s="1"/>
      <c r="D1738" s="7"/>
      <c r="E1738" s="7"/>
      <c r="F1738" s="55"/>
    </row>
    <row r="1739" spans="2:6" ht="15" customHeight="1" x14ac:dyDescent="0.25">
      <c r="B1739" s="1"/>
      <c r="C1739" s="1"/>
      <c r="D1739" s="7"/>
      <c r="E1739" s="7"/>
      <c r="F1739" s="55"/>
    </row>
    <row r="1740" spans="2:6" ht="15" customHeight="1" x14ac:dyDescent="0.25">
      <c r="B1740" s="1"/>
      <c r="C1740" s="1"/>
      <c r="D1740" s="7"/>
      <c r="E1740" s="7"/>
      <c r="F1740" s="55"/>
    </row>
    <row r="1741" spans="2:6" ht="15" customHeight="1" x14ac:dyDescent="0.25">
      <c r="B1741" s="1"/>
      <c r="C1741" s="1"/>
      <c r="D1741" s="7"/>
      <c r="E1741" s="7"/>
      <c r="F1741" s="55"/>
    </row>
    <row r="1742" spans="2:6" ht="15" customHeight="1" x14ac:dyDescent="0.25">
      <c r="B1742" s="1"/>
      <c r="C1742" s="1"/>
      <c r="D1742" s="7"/>
      <c r="E1742" s="7"/>
      <c r="F1742" s="55"/>
    </row>
    <row r="1743" spans="2:6" ht="15" customHeight="1" x14ac:dyDescent="0.25">
      <c r="B1743" s="1"/>
      <c r="C1743" s="1"/>
      <c r="D1743" s="7"/>
      <c r="E1743" s="7"/>
      <c r="F1743" s="55"/>
    </row>
    <row r="1744" spans="2:6" ht="15" customHeight="1" x14ac:dyDescent="0.25">
      <c r="B1744" s="1"/>
      <c r="C1744" s="1"/>
      <c r="D1744" s="7"/>
      <c r="E1744" s="7"/>
      <c r="F1744" s="55"/>
    </row>
    <row r="1745" spans="2:6" ht="15" customHeight="1" x14ac:dyDescent="0.25">
      <c r="B1745" s="1"/>
      <c r="C1745" s="1"/>
      <c r="D1745" s="7"/>
      <c r="E1745" s="7"/>
      <c r="F1745" s="55"/>
    </row>
    <row r="1746" spans="2:6" ht="15" customHeight="1" x14ac:dyDescent="0.25">
      <c r="B1746" s="1"/>
      <c r="C1746" s="1"/>
      <c r="D1746" s="7"/>
      <c r="E1746" s="7"/>
      <c r="F1746" s="55"/>
    </row>
    <row r="1747" spans="2:6" ht="15" customHeight="1" x14ac:dyDescent="0.25">
      <c r="B1747" s="1"/>
      <c r="C1747" s="1"/>
      <c r="D1747" s="7"/>
      <c r="E1747" s="7"/>
      <c r="F1747" s="55"/>
    </row>
    <row r="1748" spans="2:6" ht="15" customHeight="1" x14ac:dyDescent="0.25">
      <c r="B1748" s="1"/>
      <c r="C1748" s="1"/>
      <c r="D1748" s="7"/>
      <c r="E1748" s="7"/>
      <c r="F1748" s="55"/>
    </row>
    <row r="1749" spans="2:6" ht="15" customHeight="1" x14ac:dyDescent="0.25">
      <c r="B1749" s="1"/>
      <c r="C1749" s="1"/>
      <c r="D1749" s="7"/>
      <c r="E1749" s="7"/>
      <c r="F1749" s="55"/>
    </row>
    <row r="1750" spans="2:6" ht="15" customHeight="1" x14ac:dyDescent="0.25">
      <c r="B1750" s="1"/>
      <c r="C1750" s="1"/>
      <c r="D1750" s="7"/>
      <c r="E1750" s="7"/>
      <c r="F1750" s="55"/>
    </row>
    <row r="1751" spans="2:6" ht="15" customHeight="1" x14ac:dyDescent="0.25">
      <c r="B1751" s="1"/>
      <c r="C1751" s="1"/>
      <c r="D1751" s="7"/>
      <c r="E1751" s="7"/>
      <c r="F1751" s="55"/>
    </row>
    <row r="1752" spans="2:6" ht="15" customHeight="1" x14ac:dyDescent="0.25">
      <c r="B1752" s="1"/>
      <c r="C1752" s="1"/>
      <c r="D1752" s="7"/>
      <c r="E1752" s="7"/>
      <c r="F1752" s="55"/>
    </row>
    <row r="1753" spans="2:6" ht="15" customHeight="1" x14ac:dyDescent="0.25">
      <c r="B1753" s="1"/>
      <c r="C1753" s="1"/>
      <c r="D1753" s="7"/>
      <c r="E1753" s="7"/>
      <c r="F1753" s="55"/>
    </row>
    <row r="1754" spans="2:6" ht="15" customHeight="1" x14ac:dyDescent="0.25">
      <c r="B1754" s="1"/>
      <c r="C1754" s="1"/>
      <c r="D1754" s="7"/>
      <c r="E1754" s="7"/>
      <c r="F1754" s="55"/>
    </row>
    <row r="1755" spans="2:6" ht="15" customHeight="1" x14ac:dyDescent="0.25">
      <c r="B1755" s="1"/>
      <c r="C1755" s="1"/>
      <c r="D1755" s="7"/>
      <c r="E1755" s="7"/>
      <c r="F1755" s="55"/>
    </row>
    <row r="1756" spans="2:6" ht="15" customHeight="1" x14ac:dyDescent="0.25">
      <c r="B1756" s="1"/>
      <c r="C1756" s="1"/>
      <c r="D1756" s="7"/>
      <c r="E1756" s="7"/>
      <c r="F1756" s="55"/>
    </row>
    <row r="1757" spans="2:6" ht="15" customHeight="1" x14ac:dyDescent="0.25">
      <c r="B1757" s="1"/>
      <c r="C1757" s="1"/>
      <c r="D1757" s="7"/>
      <c r="E1757" s="7"/>
      <c r="F1757" s="55"/>
    </row>
    <row r="1758" spans="2:6" ht="15" customHeight="1" x14ac:dyDescent="0.25">
      <c r="B1758" s="1"/>
      <c r="C1758" s="1"/>
      <c r="D1758" s="7"/>
      <c r="E1758" s="7"/>
      <c r="F1758" s="55"/>
    </row>
    <row r="1759" spans="2:6" ht="15" customHeight="1" x14ac:dyDescent="0.25">
      <c r="B1759" s="1"/>
      <c r="C1759" s="1"/>
      <c r="D1759" s="7"/>
      <c r="E1759" s="7"/>
      <c r="F1759" s="55"/>
    </row>
    <row r="1760" spans="2:6" ht="15" customHeight="1" x14ac:dyDescent="0.25">
      <c r="B1760" s="1"/>
      <c r="C1760" s="1"/>
      <c r="D1760" s="7"/>
      <c r="E1760" s="7"/>
      <c r="F1760" s="55"/>
    </row>
    <row r="1761" spans="2:6" ht="15" customHeight="1" x14ac:dyDescent="0.25">
      <c r="B1761" s="1"/>
      <c r="C1761" s="1"/>
      <c r="D1761" s="7"/>
      <c r="E1761" s="7"/>
      <c r="F1761" s="55"/>
    </row>
    <row r="1762" spans="2:6" ht="15" customHeight="1" x14ac:dyDescent="0.25">
      <c r="B1762" s="1"/>
      <c r="C1762" s="1"/>
      <c r="D1762" s="7"/>
      <c r="E1762" s="7"/>
      <c r="F1762" s="55"/>
    </row>
    <row r="1763" spans="2:6" ht="15" customHeight="1" x14ac:dyDescent="0.25">
      <c r="B1763" s="1"/>
      <c r="C1763" s="1"/>
      <c r="D1763" s="7"/>
      <c r="E1763" s="7"/>
      <c r="F1763" s="55"/>
    </row>
    <row r="1764" spans="2:6" ht="15" customHeight="1" x14ac:dyDescent="0.25">
      <c r="B1764" s="1"/>
      <c r="C1764" s="1"/>
      <c r="D1764" s="7"/>
      <c r="E1764" s="7"/>
      <c r="F1764" s="55"/>
    </row>
    <row r="1765" spans="2:6" ht="15" customHeight="1" x14ac:dyDescent="0.25">
      <c r="B1765" s="1"/>
      <c r="C1765" s="1"/>
      <c r="D1765" s="7"/>
      <c r="E1765" s="7"/>
      <c r="F1765" s="55"/>
    </row>
    <row r="1766" spans="2:6" ht="15" customHeight="1" x14ac:dyDescent="0.25">
      <c r="B1766" s="1"/>
      <c r="C1766" s="1"/>
      <c r="D1766" s="7"/>
      <c r="E1766" s="7"/>
      <c r="F1766" s="55"/>
    </row>
    <row r="1767" spans="2:6" ht="15" customHeight="1" x14ac:dyDescent="0.25">
      <c r="B1767" s="1"/>
      <c r="C1767" s="1"/>
      <c r="D1767" s="7"/>
      <c r="E1767" s="7"/>
      <c r="F1767" s="55"/>
    </row>
    <row r="1768" spans="2:6" ht="15" customHeight="1" x14ac:dyDescent="0.25">
      <c r="B1768" s="1"/>
      <c r="C1768" s="1"/>
      <c r="D1768" s="7"/>
      <c r="E1768" s="7"/>
      <c r="F1768" s="55"/>
    </row>
    <row r="1769" spans="2:6" ht="15" customHeight="1" x14ac:dyDescent="0.25">
      <c r="B1769" s="1"/>
      <c r="C1769" s="1"/>
      <c r="D1769" s="7"/>
      <c r="E1769" s="7"/>
      <c r="F1769" s="55"/>
    </row>
    <row r="1770" spans="2:6" ht="15" customHeight="1" x14ac:dyDescent="0.25">
      <c r="B1770" s="1"/>
      <c r="C1770" s="1"/>
      <c r="D1770" s="7"/>
      <c r="E1770" s="7"/>
      <c r="F1770" s="55"/>
    </row>
    <row r="1771" spans="2:6" ht="15" customHeight="1" x14ac:dyDescent="0.25">
      <c r="B1771" s="1"/>
      <c r="C1771" s="1"/>
      <c r="D1771" s="7"/>
      <c r="E1771" s="7"/>
      <c r="F1771" s="55"/>
    </row>
    <row r="1772" spans="2:6" ht="15" customHeight="1" x14ac:dyDescent="0.25">
      <c r="B1772" s="1"/>
      <c r="C1772" s="1"/>
      <c r="D1772" s="7"/>
      <c r="E1772" s="7"/>
      <c r="F1772" s="55"/>
    </row>
    <row r="1773" spans="2:6" ht="15" customHeight="1" x14ac:dyDescent="0.25">
      <c r="B1773" s="1"/>
      <c r="C1773" s="1"/>
      <c r="D1773" s="7"/>
      <c r="E1773" s="7"/>
      <c r="F1773" s="55"/>
    </row>
    <row r="1774" spans="2:6" ht="15" customHeight="1" x14ac:dyDescent="0.25">
      <c r="B1774" s="1"/>
      <c r="C1774" s="1"/>
      <c r="D1774" s="7"/>
      <c r="E1774" s="7"/>
      <c r="F1774" s="55"/>
    </row>
    <row r="1775" spans="2:6" ht="15" customHeight="1" x14ac:dyDescent="0.25">
      <c r="B1775" s="1"/>
      <c r="C1775" s="1"/>
      <c r="D1775" s="7"/>
      <c r="E1775" s="7"/>
      <c r="F1775" s="55"/>
    </row>
    <row r="1776" spans="2:6" ht="15" customHeight="1" x14ac:dyDescent="0.25">
      <c r="B1776" s="1"/>
      <c r="C1776" s="1"/>
      <c r="D1776" s="7"/>
      <c r="E1776" s="7"/>
      <c r="F1776" s="55"/>
    </row>
    <row r="1777" spans="2:6" ht="15" customHeight="1" x14ac:dyDescent="0.25">
      <c r="B1777" s="1"/>
      <c r="C1777" s="1"/>
      <c r="D1777" s="7"/>
      <c r="E1777" s="7"/>
      <c r="F1777" s="55"/>
    </row>
    <row r="1778" spans="2:6" ht="15" customHeight="1" x14ac:dyDescent="0.25">
      <c r="B1778" s="1"/>
      <c r="C1778" s="1"/>
      <c r="D1778" s="7"/>
      <c r="E1778" s="7"/>
      <c r="F1778" s="55"/>
    </row>
    <row r="1779" spans="2:6" ht="15" customHeight="1" x14ac:dyDescent="0.25">
      <c r="B1779" s="1"/>
      <c r="C1779" s="1"/>
      <c r="D1779" s="7"/>
      <c r="E1779" s="7"/>
      <c r="F1779" s="55"/>
    </row>
    <row r="1780" spans="2:6" ht="15" customHeight="1" x14ac:dyDescent="0.25">
      <c r="B1780" s="1"/>
      <c r="C1780" s="1"/>
      <c r="D1780" s="7"/>
      <c r="E1780" s="7"/>
      <c r="F1780" s="55"/>
    </row>
    <row r="1781" spans="2:6" ht="15" customHeight="1" x14ac:dyDescent="0.25">
      <c r="B1781" s="1"/>
      <c r="C1781" s="1"/>
      <c r="D1781" s="7"/>
      <c r="E1781" s="7"/>
      <c r="F1781" s="55"/>
    </row>
    <row r="1782" spans="2:6" ht="15" customHeight="1" x14ac:dyDescent="0.25">
      <c r="B1782" s="1"/>
      <c r="C1782" s="1"/>
      <c r="D1782" s="7"/>
      <c r="E1782" s="7"/>
      <c r="F1782" s="55"/>
    </row>
    <row r="1783" spans="2:6" ht="15" customHeight="1" x14ac:dyDescent="0.25">
      <c r="B1783" s="1"/>
      <c r="C1783" s="1"/>
      <c r="D1783" s="7"/>
      <c r="E1783" s="7"/>
      <c r="F1783" s="55"/>
    </row>
    <row r="1784" spans="2:6" ht="15" customHeight="1" x14ac:dyDescent="0.25">
      <c r="B1784" s="1"/>
      <c r="C1784" s="1"/>
      <c r="D1784" s="7"/>
      <c r="E1784" s="7"/>
      <c r="F1784" s="55"/>
    </row>
    <row r="1785" spans="2:6" ht="15" customHeight="1" x14ac:dyDescent="0.25">
      <c r="B1785" s="1"/>
      <c r="C1785" s="1"/>
      <c r="D1785" s="7"/>
      <c r="E1785" s="7"/>
      <c r="F1785" s="55"/>
    </row>
    <row r="1786" spans="2:6" ht="15" customHeight="1" x14ac:dyDescent="0.25">
      <c r="B1786" s="1"/>
      <c r="C1786" s="1"/>
      <c r="D1786" s="7"/>
      <c r="E1786" s="7"/>
      <c r="F1786" s="55"/>
    </row>
    <row r="1787" spans="2:6" ht="15" customHeight="1" x14ac:dyDescent="0.25">
      <c r="B1787" s="1"/>
      <c r="C1787" s="1"/>
      <c r="D1787" s="7"/>
      <c r="E1787" s="7"/>
      <c r="F1787" s="55"/>
    </row>
    <row r="1788" spans="2:6" ht="15" customHeight="1" x14ac:dyDescent="0.25">
      <c r="B1788" s="1"/>
      <c r="C1788" s="1"/>
      <c r="D1788" s="7"/>
      <c r="E1788" s="7"/>
      <c r="F1788" s="55"/>
    </row>
    <row r="1789" spans="2:6" ht="15" customHeight="1" x14ac:dyDescent="0.25">
      <c r="B1789" s="1"/>
      <c r="C1789" s="1"/>
      <c r="D1789" s="7"/>
      <c r="E1789" s="7"/>
      <c r="F1789" s="55"/>
    </row>
    <row r="1790" spans="2:6" ht="15" customHeight="1" x14ac:dyDescent="0.25">
      <c r="B1790" s="1"/>
      <c r="C1790" s="1"/>
      <c r="D1790" s="7"/>
      <c r="E1790" s="7"/>
      <c r="F1790" s="55"/>
    </row>
    <row r="1791" spans="2:6" ht="15" customHeight="1" x14ac:dyDescent="0.25">
      <c r="B1791" s="1"/>
      <c r="C1791" s="1"/>
      <c r="D1791" s="7"/>
      <c r="E1791" s="7"/>
      <c r="F1791" s="55"/>
    </row>
    <row r="1792" spans="2:6" ht="15" customHeight="1" x14ac:dyDescent="0.25">
      <c r="B1792" s="1"/>
      <c r="C1792" s="1"/>
      <c r="D1792" s="7"/>
      <c r="E1792" s="7"/>
      <c r="F1792" s="55"/>
    </row>
    <row r="1793" spans="2:6" ht="15" customHeight="1" x14ac:dyDescent="0.25">
      <c r="B1793" s="1"/>
      <c r="C1793" s="1"/>
      <c r="D1793" s="7"/>
      <c r="E1793" s="7"/>
      <c r="F1793" s="55"/>
    </row>
    <row r="1794" spans="2:6" ht="15" customHeight="1" x14ac:dyDescent="0.25">
      <c r="B1794" s="1"/>
      <c r="C1794" s="1"/>
      <c r="D1794" s="7"/>
      <c r="E1794" s="7"/>
      <c r="F1794" s="55"/>
    </row>
    <row r="1795" spans="2:6" ht="15" customHeight="1" x14ac:dyDescent="0.25">
      <c r="B1795" s="1"/>
      <c r="C1795" s="1"/>
      <c r="D1795" s="7"/>
      <c r="E1795" s="7"/>
      <c r="F1795" s="55"/>
    </row>
    <row r="1796" spans="2:6" ht="15" customHeight="1" x14ac:dyDescent="0.25">
      <c r="B1796" s="1"/>
      <c r="C1796" s="1"/>
      <c r="D1796" s="7"/>
      <c r="E1796" s="7"/>
      <c r="F1796" s="55"/>
    </row>
    <row r="1797" spans="2:6" ht="15" customHeight="1" x14ac:dyDescent="0.25">
      <c r="B1797" s="1"/>
      <c r="C1797" s="1"/>
      <c r="D1797" s="7"/>
      <c r="E1797" s="7"/>
      <c r="F1797" s="55"/>
    </row>
    <row r="1798" spans="2:6" ht="15" customHeight="1" x14ac:dyDescent="0.25">
      <c r="B1798" s="1"/>
      <c r="C1798" s="1"/>
      <c r="D1798" s="7"/>
      <c r="E1798" s="7"/>
      <c r="F1798" s="55"/>
    </row>
    <row r="1799" spans="2:6" ht="15" customHeight="1" x14ac:dyDescent="0.25">
      <c r="B1799" s="1"/>
      <c r="C1799" s="1"/>
      <c r="D1799" s="7"/>
      <c r="E1799" s="7"/>
      <c r="F1799" s="55"/>
    </row>
    <row r="1800" spans="2:6" ht="15" customHeight="1" x14ac:dyDescent="0.25">
      <c r="B1800" s="1"/>
      <c r="C1800" s="1"/>
      <c r="D1800" s="7"/>
      <c r="E1800" s="7"/>
      <c r="F1800" s="55"/>
    </row>
    <row r="1801" spans="2:6" ht="15" customHeight="1" x14ac:dyDescent="0.25">
      <c r="B1801" s="1"/>
      <c r="C1801" s="1"/>
      <c r="D1801" s="7"/>
      <c r="E1801" s="7"/>
      <c r="F1801" s="55"/>
    </row>
    <row r="1802" spans="2:6" ht="15" customHeight="1" x14ac:dyDescent="0.25">
      <c r="B1802" s="1"/>
      <c r="C1802" s="1"/>
      <c r="D1802" s="7"/>
      <c r="E1802" s="7"/>
      <c r="F1802" s="55"/>
    </row>
    <row r="1803" spans="2:6" ht="15" customHeight="1" x14ac:dyDescent="0.25">
      <c r="B1803" s="1"/>
      <c r="C1803" s="1"/>
      <c r="D1803" s="7"/>
      <c r="E1803" s="7"/>
      <c r="F1803" s="55"/>
    </row>
    <row r="1804" spans="2:6" ht="15" customHeight="1" x14ac:dyDescent="0.25">
      <c r="B1804" s="1"/>
      <c r="C1804" s="1"/>
      <c r="D1804" s="7"/>
      <c r="E1804" s="7"/>
      <c r="F1804" s="55"/>
    </row>
    <row r="1805" spans="2:6" ht="15" customHeight="1" x14ac:dyDescent="0.25">
      <c r="B1805" s="1"/>
      <c r="C1805" s="1"/>
      <c r="D1805" s="7"/>
      <c r="E1805" s="7"/>
      <c r="F1805" s="55"/>
    </row>
    <row r="1806" spans="2:6" ht="15" customHeight="1" x14ac:dyDescent="0.25">
      <c r="B1806" s="1"/>
      <c r="C1806" s="1"/>
      <c r="D1806" s="7"/>
      <c r="E1806" s="7"/>
      <c r="F1806" s="55"/>
    </row>
    <row r="1807" spans="2:6" ht="15" customHeight="1" x14ac:dyDescent="0.25">
      <c r="B1807" s="1"/>
      <c r="C1807" s="1"/>
      <c r="D1807" s="7"/>
      <c r="E1807" s="7"/>
      <c r="F1807" s="55"/>
    </row>
    <row r="1808" spans="2:6" ht="15" customHeight="1" x14ac:dyDescent="0.25">
      <c r="B1808" s="1"/>
      <c r="C1808" s="1"/>
      <c r="D1808" s="7"/>
      <c r="E1808" s="7"/>
      <c r="F1808" s="55"/>
    </row>
    <row r="1809" spans="2:6" ht="15" customHeight="1" x14ac:dyDescent="0.25">
      <c r="B1809" s="1"/>
      <c r="C1809" s="1"/>
      <c r="D1809" s="7"/>
      <c r="E1809" s="7"/>
      <c r="F1809" s="55"/>
    </row>
    <row r="1810" spans="2:6" ht="15" customHeight="1" x14ac:dyDescent="0.25">
      <c r="B1810" s="1"/>
      <c r="C1810" s="1"/>
      <c r="D1810" s="7"/>
      <c r="E1810" s="7"/>
      <c r="F1810" s="55"/>
    </row>
    <row r="1811" spans="2:6" ht="15" customHeight="1" x14ac:dyDescent="0.25">
      <c r="B1811" s="1"/>
      <c r="C1811" s="1"/>
      <c r="D1811" s="7"/>
      <c r="E1811" s="7"/>
      <c r="F1811" s="55"/>
    </row>
    <row r="1812" spans="2:6" ht="15" customHeight="1" x14ac:dyDescent="0.25">
      <c r="B1812" s="1"/>
      <c r="C1812" s="1"/>
      <c r="D1812" s="7"/>
      <c r="E1812" s="7"/>
      <c r="F1812" s="55"/>
    </row>
    <row r="1813" spans="2:6" ht="15" customHeight="1" x14ac:dyDescent="0.25">
      <c r="B1813" s="1"/>
      <c r="C1813" s="1"/>
      <c r="D1813" s="7"/>
      <c r="E1813" s="7"/>
      <c r="F1813" s="55"/>
    </row>
    <row r="1814" spans="2:6" ht="15" customHeight="1" x14ac:dyDescent="0.25">
      <c r="B1814" s="1"/>
      <c r="C1814" s="1"/>
      <c r="D1814" s="7"/>
      <c r="E1814" s="7"/>
      <c r="F1814" s="55"/>
    </row>
    <row r="1815" spans="2:6" ht="15" customHeight="1" x14ac:dyDescent="0.25">
      <c r="B1815" s="1"/>
      <c r="C1815" s="1"/>
      <c r="D1815" s="7"/>
      <c r="E1815" s="7"/>
      <c r="F1815" s="55"/>
    </row>
    <row r="1816" spans="2:6" ht="15" customHeight="1" x14ac:dyDescent="0.25">
      <c r="B1816" s="1"/>
      <c r="C1816" s="1"/>
      <c r="D1816" s="7"/>
      <c r="E1816" s="7"/>
      <c r="F1816" s="55"/>
    </row>
    <row r="1817" spans="2:6" ht="15" customHeight="1" x14ac:dyDescent="0.25">
      <c r="B1817" s="1"/>
      <c r="C1817" s="1"/>
      <c r="D1817" s="7"/>
      <c r="E1817" s="7"/>
      <c r="F1817" s="55"/>
    </row>
    <row r="1818" spans="2:6" ht="15" customHeight="1" x14ac:dyDescent="0.25">
      <c r="B1818" s="1"/>
      <c r="C1818" s="1"/>
      <c r="D1818" s="7"/>
      <c r="E1818" s="7"/>
      <c r="F1818" s="55"/>
    </row>
    <row r="1819" spans="2:6" ht="15" customHeight="1" x14ac:dyDescent="0.25">
      <c r="B1819" s="1"/>
      <c r="C1819" s="1"/>
      <c r="D1819" s="7"/>
      <c r="E1819" s="7"/>
      <c r="F1819" s="55"/>
    </row>
    <row r="1820" spans="2:6" ht="15" customHeight="1" x14ac:dyDescent="0.25">
      <c r="B1820" s="1"/>
      <c r="C1820" s="1"/>
      <c r="D1820" s="7"/>
      <c r="E1820" s="7"/>
      <c r="F1820" s="55"/>
    </row>
    <row r="1821" spans="2:6" ht="15" customHeight="1" x14ac:dyDescent="0.25">
      <c r="B1821" s="1"/>
      <c r="C1821" s="1"/>
      <c r="D1821" s="7"/>
      <c r="E1821" s="7"/>
      <c r="F1821" s="55"/>
    </row>
    <row r="1822" spans="2:6" ht="15" customHeight="1" x14ac:dyDescent="0.25">
      <c r="B1822" s="1"/>
      <c r="C1822" s="1"/>
      <c r="D1822" s="7"/>
      <c r="E1822" s="7"/>
      <c r="F1822" s="55"/>
    </row>
    <row r="1823" spans="2:6" ht="15" customHeight="1" x14ac:dyDescent="0.25">
      <c r="B1823" s="1"/>
      <c r="C1823" s="1"/>
      <c r="D1823" s="7"/>
      <c r="E1823" s="7"/>
      <c r="F1823" s="55"/>
    </row>
    <row r="1824" spans="2:6" ht="15" customHeight="1" x14ac:dyDescent="0.25">
      <c r="B1824" s="1"/>
      <c r="C1824" s="1"/>
      <c r="D1824" s="7"/>
      <c r="E1824" s="7"/>
      <c r="F1824" s="55"/>
    </row>
    <row r="1825" spans="2:6" ht="15" customHeight="1" x14ac:dyDescent="0.25">
      <c r="B1825" s="1"/>
      <c r="C1825" s="1"/>
      <c r="D1825" s="7"/>
      <c r="E1825" s="7"/>
      <c r="F1825" s="55"/>
    </row>
    <row r="1826" spans="2:6" ht="15" customHeight="1" x14ac:dyDescent="0.25">
      <c r="B1826" s="1"/>
      <c r="C1826" s="1"/>
      <c r="D1826" s="7"/>
      <c r="E1826" s="7"/>
      <c r="F1826" s="55"/>
    </row>
    <row r="1827" spans="2:6" ht="15" customHeight="1" x14ac:dyDescent="0.25">
      <c r="B1827" s="1"/>
      <c r="C1827" s="1"/>
      <c r="D1827" s="7"/>
      <c r="E1827" s="7"/>
      <c r="F1827" s="55"/>
    </row>
    <row r="1828" spans="2:6" ht="15" customHeight="1" x14ac:dyDescent="0.25">
      <c r="B1828" s="1"/>
      <c r="C1828" s="1"/>
      <c r="D1828" s="7"/>
      <c r="E1828" s="7"/>
      <c r="F1828" s="55"/>
    </row>
    <row r="1829" spans="2:6" ht="15" customHeight="1" x14ac:dyDescent="0.25">
      <c r="B1829" s="1"/>
      <c r="C1829" s="1"/>
      <c r="D1829" s="7"/>
      <c r="E1829" s="7"/>
      <c r="F1829" s="55"/>
    </row>
    <row r="1830" spans="2:6" ht="15" customHeight="1" x14ac:dyDescent="0.25">
      <c r="B1830" s="1"/>
      <c r="C1830" s="1"/>
      <c r="D1830" s="7"/>
      <c r="E1830" s="7"/>
      <c r="F1830" s="55"/>
    </row>
    <row r="1831" spans="2:6" ht="15" customHeight="1" x14ac:dyDescent="0.25">
      <c r="B1831" s="1"/>
      <c r="C1831" s="1"/>
      <c r="D1831" s="7"/>
      <c r="E1831" s="7"/>
      <c r="F1831" s="55"/>
    </row>
    <row r="1832" spans="2:6" ht="15" customHeight="1" x14ac:dyDescent="0.25">
      <c r="B1832" s="1"/>
      <c r="C1832" s="1"/>
      <c r="D1832" s="7"/>
      <c r="E1832" s="7"/>
      <c r="F1832" s="55"/>
    </row>
    <row r="1833" spans="2:6" ht="15" customHeight="1" x14ac:dyDescent="0.25">
      <c r="B1833" s="1"/>
      <c r="C1833" s="1"/>
      <c r="D1833" s="7"/>
      <c r="E1833" s="7"/>
      <c r="F1833" s="55"/>
    </row>
    <row r="1834" spans="2:6" ht="15" customHeight="1" x14ac:dyDescent="0.25">
      <c r="B1834" s="1"/>
      <c r="C1834" s="1"/>
      <c r="D1834" s="7"/>
      <c r="E1834" s="7"/>
      <c r="F1834" s="55"/>
    </row>
    <row r="1835" spans="2:6" ht="15" customHeight="1" x14ac:dyDescent="0.25">
      <c r="B1835" s="1"/>
      <c r="C1835" s="1"/>
      <c r="D1835" s="7"/>
      <c r="E1835" s="7"/>
      <c r="F1835" s="55"/>
    </row>
    <row r="1836" spans="2:6" ht="15" customHeight="1" x14ac:dyDescent="0.25">
      <c r="B1836" s="1"/>
      <c r="C1836" s="1"/>
      <c r="D1836" s="7"/>
      <c r="E1836" s="7"/>
      <c r="F1836" s="55"/>
    </row>
    <row r="1837" spans="2:6" ht="15" customHeight="1" x14ac:dyDescent="0.25">
      <c r="B1837" s="1"/>
      <c r="C1837" s="1"/>
      <c r="D1837" s="7"/>
      <c r="E1837" s="7"/>
      <c r="F1837" s="55"/>
    </row>
    <row r="1838" spans="2:6" ht="15" customHeight="1" x14ac:dyDescent="0.25">
      <c r="B1838" s="1"/>
      <c r="C1838" s="1"/>
      <c r="D1838" s="7"/>
      <c r="E1838" s="7"/>
      <c r="F1838" s="55"/>
    </row>
    <row r="1839" spans="2:6" ht="15" customHeight="1" x14ac:dyDescent="0.25">
      <c r="B1839" s="1"/>
      <c r="C1839" s="1"/>
      <c r="D1839" s="7"/>
      <c r="E1839" s="7"/>
      <c r="F1839" s="55"/>
    </row>
    <row r="1840" spans="2:6" ht="15" customHeight="1" x14ac:dyDescent="0.25">
      <c r="B1840" s="1"/>
      <c r="C1840" s="1"/>
      <c r="D1840" s="7"/>
      <c r="E1840" s="7"/>
      <c r="F1840" s="55"/>
    </row>
    <row r="1841" spans="2:6" ht="15" customHeight="1" x14ac:dyDescent="0.25">
      <c r="B1841" s="1"/>
      <c r="C1841" s="1"/>
      <c r="D1841" s="7"/>
      <c r="E1841" s="7"/>
      <c r="F1841" s="55"/>
    </row>
    <row r="1842" spans="2:6" ht="15" customHeight="1" x14ac:dyDescent="0.25">
      <c r="B1842" s="1"/>
      <c r="C1842" s="1"/>
      <c r="D1842" s="7"/>
      <c r="E1842" s="7"/>
      <c r="F1842" s="55"/>
    </row>
    <row r="1843" spans="2:6" ht="15" customHeight="1" x14ac:dyDescent="0.25">
      <c r="B1843" s="1"/>
      <c r="C1843" s="1"/>
      <c r="D1843" s="7"/>
      <c r="E1843" s="7"/>
      <c r="F1843" s="55"/>
    </row>
    <row r="1844" spans="2:6" ht="15" customHeight="1" x14ac:dyDescent="0.25">
      <c r="B1844" s="1"/>
      <c r="C1844" s="1"/>
      <c r="D1844" s="7"/>
      <c r="E1844" s="7"/>
      <c r="F1844" s="55"/>
    </row>
    <row r="1845" spans="2:6" ht="15" customHeight="1" x14ac:dyDescent="0.25">
      <c r="B1845" s="1"/>
      <c r="C1845" s="1"/>
      <c r="D1845" s="7"/>
      <c r="E1845" s="7"/>
      <c r="F1845" s="55"/>
    </row>
    <row r="1846" spans="2:6" ht="15" customHeight="1" x14ac:dyDescent="0.25">
      <c r="B1846" s="1"/>
      <c r="C1846" s="1"/>
      <c r="D1846" s="7"/>
      <c r="E1846" s="7"/>
      <c r="F1846" s="55"/>
    </row>
    <row r="1847" spans="2:6" ht="15" customHeight="1" x14ac:dyDescent="0.25">
      <c r="B1847" s="1"/>
      <c r="C1847" s="1"/>
      <c r="D1847" s="7"/>
      <c r="E1847" s="7"/>
      <c r="F1847" s="55"/>
    </row>
    <row r="1848" spans="2:6" ht="15" customHeight="1" x14ac:dyDescent="0.25">
      <c r="B1848" s="1"/>
      <c r="C1848" s="1"/>
      <c r="D1848" s="7"/>
      <c r="E1848" s="7"/>
      <c r="F1848" s="55"/>
    </row>
    <row r="1849" spans="2:6" ht="15" customHeight="1" x14ac:dyDescent="0.25">
      <c r="B1849" s="1"/>
      <c r="C1849" s="1"/>
      <c r="D1849" s="7"/>
      <c r="E1849" s="7"/>
      <c r="F1849" s="55"/>
    </row>
    <row r="1850" spans="2:6" ht="15" customHeight="1" x14ac:dyDescent="0.25">
      <c r="B1850" s="1"/>
      <c r="C1850" s="1"/>
      <c r="D1850" s="7"/>
      <c r="E1850" s="7"/>
      <c r="F1850" s="55"/>
    </row>
    <row r="1851" spans="2:6" ht="15" customHeight="1" x14ac:dyDescent="0.25">
      <c r="B1851" s="1"/>
      <c r="C1851" s="1"/>
      <c r="D1851" s="7"/>
      <c r="E1851" s="7"/>
      <c r="F1851" s="55"/>
    </row>
    <row r="1852" spans="2:6" ht="15" customHeight="1" x14ac:dyDescent="0.25">
      <c r="B1852" s="1"/>
      <c r="C1852" s="1"/>
      <c r="D1852" s="7"/>
      <c r="E1852" s="7"/>
      <c r="F1852" s="55"/>
    </row>
    <row r="1853" spans="2:6" ht="15" customHeight="1" x14ac:dyDescent="0.25">
      <c r="B1853" s="1"/>
      <c r="C1853" s="1"/>
      <c r="D1853" s="7"/>
      <c r="E1853" s="7"/>
      <c r="F1853" s="55"/>
    </row>
    <row r="1854" spans="2:6" ht="15" customHeight="1" x14ac:dyDescent="0.25">
      <c r="B1854" s="1"/>
      <c r="C1854" s="1"/>
      <c r="D1854" s="7"/>
      <c r="E1854" s="7"/>
      <c r="F1854" s="55"/>
    </row>
    <row r="1855" spans="2:6" ht="15" customHeight="1" x14ac:dyDescent="0.25">
      <c r="B1855" s="1"/>
      <c r="C1855" s="1"/>
      <c r="D1855" s="7"/>
      <c r="E1855" s="7"/>
      <c r="F1855" s="55"/>
    </row>
    <row r="1856" spans="2:6" ht="15" customHeight="1" x14ac:dyDescent="0.25">
      <c r="B1856" s="1"/>
      <c r="C1856" s="1"/>
      <c r="D1856" s="7"/>
      <c r="E1856" s="7"/>
      <c r="F1856" s="55"/>
    </row>
    <row r="1857" spans="2:6" ht="15" customHeight="1" x14ac:dyDescent="0.25">
      <c r="B1857" s="1"/>
      <c r="C1857" s="1"/>
      <c r="D1857" s="7"/>
      <c r="E1857" s="7"/>
      <c r="F1857" s="55"/>
    </row>
    <row r="1858" spans="2:6" ht="15" customHeight="1" x14ac:dyDescent="0.25">
      <c r="B1858" s="1"/>
      <c r="C1858" s="1"/>
      <c r="D1858" s="7"/>
      <c r="E1858" s="7"/>
      <c r="F1858" s="55"/>
    </row>
    <row r="1859" spans="2:6" ht="15" customHeight="1" x14ac:dyDescent="0.25">
      <c r="B1859" s="1"/>
      <c r="C1859" s="1"/>
      <c r="D1859" s="7"/>
      <c r="E1859" s="7"/>
      <c r="F1859" s="55"/>
    </row>
    <row r="1860" spans="2:6" ht="15" customHeight="1" x14ac:dyDescent="0.25">
      <c r="B1860" s="1"/>
      <c r="C1860" s="1"/>
      <c r="D1860" s="7"/>
      <c r="E1860" s="7"/>
      <c r="F1860" s="55"/>
    </row>
    <row r="1861" spans="2:6" ht="15" customHeight="1" x14ac:dyDescent="0.25">
      <c r="B1861" s="1"/>
      <c r="C1861" s="1"/>
      <c r="D1861" s="7"/>
      <c r="E1861" s="7"/>
      <c r="F1861" s="55"/>
    </row>
    <row r="1862" spans="2:6" ht="15" customHeight="1" x14ac:dyDescent="0.25">
      <c r="B1862" s="1"/>
      <c r="C1862" s="1"/>
      <c r="D1862" s="7"/>
      <c r="E1862" s="7"/>
      <c r="F1862" s="55"/>
    </row>
    <row r="1863" spans="2:6" ht="15" customHeight="1" x14ac:dyDescent="0.25">
      <c r="B1863" s="1"/>
      <c r="C1863" s="1"/>
      <c r="D1863" s="7"/>
      <c r="E1863" s="7"/>
      <c r="F1863" s="55"/>
    </row>
    <row r="1864" spans="2:6" ht="15" customHeight="1" x14ac:dyDescent="0.25">
      <c r="B1864" s="1"/>
      <c r="C1864" s="1"/>
      <c r="D1864" s="7"/>
      <c r="E1864" s="7"/>
      <c r="F1864" s="55"/>
    </row>
    <row r="1865" spans="2:6" ht="15" customHeight="1" x14ac:dyDescent="0.25">
      <c r="B1865" s="1"/>
      <c r="C1865" s="1"/>
      <c r="D1865" s="7"/>
      <c r="E1865" s="7"/>
      <c r="F1865" s="55"/>
    </row>
    <row r="1866" spans="2:6" ht="15" customHeight="1" x14ac:dyDescent="0.25">
      <c r="B1866" s="1"/>
      <c r="C1866" s="1"/>
      <c r="D1866" s="7"/>
      <c r="E1866" s="7"/>
      <c r="F1866" s="55"/>
    </row>
    <row r="1867" spans="2:6" ht="15" customHeight="1" x14ac:dyDescent="0.25">
      <c r="B1867" s="1"/>
      <c r="C1867" s="1"/>
      <c r="D1867" s="7"/>
      <c r="E1867" s="7"/>
      <c r="F1867" s="55"/>
    </row>
    <row r="1868" spans="2:6" ht="15" customHeight="1" x14ac:dyDescent="0.25">
      <c r="B1868" s="1"/>
      <c r="C1868" s="1"/>
      <c r="D1868" s="7"/>
      <c r="E1868" s="7"/>
      <c r="F1868" s="55"/>
    </row>
    <row r="1869" spans="2:6" ht="15" customHeight="1" x14ac:dyDescent="0.25">
      <c r="B1869" s="1"/>
      <c r="C1869" s="1"/>
      <c r="D1869" s="7"/>
      <c r="E1869" s="7"/>
      <c r="F1869" s="55"/>
    </row>
    <row r="1870" spans="2:6" ht="15" customHeight="1" x14ac:dyDescent="0.25">
      <c r="B1870" s="1"/>
      <c r="C1870" s="1"/>
      <c r="D1870" s="7"/>
      <c r="E1870" s="7"/>
      <c r="F1870" s="55"/>
    </row>
    <row r="1871" spans="2:6" ht="15" customHeight="1" x14ac:dyDescent="0.25">
      <c r="B1871" s="1"/>
      <c r="C1871" s="1"/>
      <c r="D1871" s="7"/>
      <c r="E1871" s="7"/>
      <c r="F1871" s="55"/>
    </row>
    <row r="1872" spans="2:6" ht="15" customHeight="1" x14ac:dyDescent="0.25">
      <c r="B1872" s="1"/>
      <c r="C1872" s="1"/>
      <c r="D1872" s="7"/>
      <c r="E1872" s="7"/>
      <c r="F1872" s="55"/>
    </row>
    <row r="1873" spans="2:6" ht="15" customHeight="1" x14ac:dyDescent="0.25">
      <c r="B1873" s="1"/>
      <c r="C1873" s="1"/>
      <c r="D1873" s="7"/>
      <c r="E1873" s="7"/>
      <c r="F1873" s="55"/>
    </row>
    <row r="1874" spans="2:6" ht="15" customHeight="1" x14ac:dyDescent="0.25">
      <c r="B1874" s="1"/>
      <c r="C1874" s="1"/>
      <c r="D1874" s="7"/>
      <c r="E1874" s="7"/>
      <c r="F1874" s="55"/>
    </row>
    <row r="1875" spans="2:6" ht="15" customHeight="1" x14ac:dyDescent="0.25">
      <c r="B1875" s="1"/>
      <c r="C1875" s="1"/>
      <c r="D1875" s="7"/>
      <c r="E1875" s="7"/>
      <c r="F1875" s="55"/>
    </row>
    <row r="1876" spans="2:6" ht="15" customHeight="1" x14ac:dyDescent="0.25">
      <c r="B1876" s="1"/>
      <c r="C1876" s="1"/>
      <c r="D1876" s="7"/>
      <c r="E1876" s="7"/>
      <c r="F1876" s="55"/>
    </row>
    <row r="1877" spans="2:6" ht="15" customHeight="1" x14ac:dyDescent="0.25">
      <c r="B1877" s="1"/>
      <c r="C1877" s="1"/>
      <c r="D1877" s="7"/>
      <c r="E1877" s="7"/>
      <c r="F1877" s="55"/>
    </row>
    <row r="1878" spans="2:6" ht="15" customHeight="1" x14ac:dyDescent="0.25">
      <c r="B1878" s="1"/>
      <c r="C1878" s="1"/>
      <c r="D1878" s="7"/>
      <c r="E1878" s="7"/>
      <c r="F1878" s="55"/>
    </row>
    <row r="1879" spans="2:6" ht="15" customHeight="1" x14ac:dyDescent="0.25">
      <c r="B1879" s="1"/>
      <c r="C1879" s="1"/>
      <c r="D1879" s="7"/>
      <c r="E1879" s="7"/>
      <c r="F1879" s="55"/>
    </row>
    <row r="1880" spans="2:6" ht="15" customHeight="1" x14ac:dyDescent="0.25">
      <c r="B1880" s="1"/>
      <c r="C1880" s="1"/>
      <c r="D1880" s="7"/>
      <c r="E1880" s="7"/>
      <c r="F1880" s="55"/>
    </row>
    <row r="1881" spans="2:6" ht="15" customHeight="1" x14ac:dyDescent="0.25">
      <c r="B1881" s="1"/>
      <c r="C1881" s="1"/>
      <c r="D1881" s="7"/>
      <c r="E1881" s="7"/>
      <c r="F1881" s="55"/>
    </row>
    <row r="1882" spans="2:6" ht="15" customHeight="1" x14ac:dyDescent="0.25">
      <c r="B1882" s="1"/>
      <c r="C1882" s="1"/>
      <c r="D1882" s="7"/>
      <c r="E1882" s="7"/>
      <c r="F1882" s="55"/>
    </row>
    <row r="1883" spans="2:6" ht="15" customHeight="1" x14ac:dyDescent="0.25">
      <c r="B1883" s="1"/>
      <c r="C1883" s="1"/>
      <c r="D1883" s="7"/>
      <c r="E1883" s="7"/>
      <c r="F1883" s="55"/>
    </row>
    <row r="1884" spans="2:6" ht="15" customHeight="1" x14ac:dyDescent="0.25">
      <c r="B1884" s="1"/>
      <c r="C1884" s="1"/>
      <c r="D1884" s="7"/>
      <c r="E1884" s="7"/>
      <c r="F1884" s="55"/>
    </row>
    <row r="1885" spans="2:6" ht="15" customHeight="1" x14ac:dyDescent="0.25">
      <c r="B1885" s="1"/>
      <c r="C1885" s="1"/>
      <c r="D1885" s="7"/>
      <c r="E1885" s="7"/>
      <c r="F1885" s="55"/>
    </row>
    <row r="1886" spans="2:6" ht="15" customHeight="1" x14ac:dyDescent="0.25">
      <c r="B1886" s="1"/>
      <c r="C1886" s="1"/>
      <c r="D1886" s="7"/>
      <c r="E1886" s="7"/>
      <c r="F1886" s="55"/>
    </row>
    <row r="1887" spans="2:6" ht="15" customHeight="1" x14ac:dyDescent="0.25">
      <c r="B1887" s="1"/>
      <c r="C1887" s="1"/>
      <c r="D1887" s="7"/>
      <c r="E1887" s="7"/>
      <c r="F1887" s="55"/>
    </row>
    <row r="1888" spans="2:6" ht="15" customHeight="1" x14ac:dyDescent="0.25">
      <c r="B1888" s="1"/>
      <c r="C1888" s="1"/>
      <c r="D1888" s="7"/>
      <c r="E1888" s="7"/>
      <c r="F1888" s="55"/>
    </row>
    <row r="1889" spans="2:6" ht="15" customHeight="1" x14ac:dyDescent="0.25">
      <c r="B1889" s="1"/>
      <c r="C1889" s="1"/>
      <c r="D1889" s="7"/>
      <c r="E1889" s="7"/>
      <c r="F1889" s="55"/>
    </row>
    <row r="1890" spans="2:6" ht="15" customHeight="1" x14ac:dyDescent="0.25">
      <c r="B1890" s="1"/>
      <c r="C1890" s="1"/>
      <c r="D1890" s="7"/>
      <c r="E1890" s="7"/>
      <c r="F1890" s="55"/>
    </row>
    <row r="1891" spans="2:6" ht="15" customHeight="1" x14ac:dyDescent="0.25">
      <c r="B1891" s="1"/>
      <c r="C1891" s="1"/>
      <c r="D1891" s="7"/>
      <c r="E1891" s="7"/>
      <c r="F1891" s="55"/>
    </row>
    <row r="1892" spans="2:6" ht="15" customHeight="1" x14ac:dyDescent="0.25">
      <c r="B1892" s="1"/>
      <c r="C1892" s="1"/>
      <c r="D1892" s="7"/>
      <c r="E1892" s="7"/>
      <c r="F1892" s="55"/>
    </row>
    <row r="1893" spans="2:6" ht="15" customHeight="1" x14ac:dyDescent="0.25">
      <c r="B1893" s="1"/>
      <c r="C1893" s="1"/>
      <c r="D1893" s="7"/>
      <c r="E1893" s="7"/>
      <c r="F1893" s="55"/>
    </row>
    <row r="1894" spans="2:6" ht="15" customHeight="1" x14ac:dyDescent="0.25">
      <c r="B1894" s="1"/>
      <c r="C1894" s="1"/>
      <c r="D1894" s="7"/>
      <c r="E1894" s="7"/>
      <c r="F1894" s="55"/>
    </row>
    <row r="1895" spans="2:6" ht="15" customHeight="1" x14ac:dyDescent="0.25">
      <c r="B1895" s="1"/>
      <c r="C1895" s="1"/>
      <c r="D1895" s="7"/>
      <c r="E1895" s="7"/>
      <c r="F1895" s="55"/>
    </row>
    <row r="1896" spans="2:6" ht="15" customHeight="1" x14ac:dyDescent="0.25">
      <c r="B1896" s="1"/>
      <c r="C1896" s="1"/>
      <c r="D1896" s="7"/>
      <c r="E1896" s="7"/>
      <c r="F1896" s="55"/>
    </row>
    <row r="1897" spans="2:6" ht="15" customHeight="1" x14ac:dyDescent="0.25">
      <c r="B1897" s="1"/>
      <c r="C1897" s="1"/>
      <c r="D1897" s="7"/>
      <c r="E1897" s="7"/>
      <c r="F1897" s="55"/>
    </row>
    <row r="1898" spans="2:6" ht="15" customHeight="1" x14ac:dyDescent="0.25">
      <c r="B1898" s="1"/>
      <c r="C1898" s="1"/>
      <c r="D1898" s="7"/>
      <c r="E1898" s="7"/>
      <c r="F1898" s="55"/>
    </row>
    <row r="1899" spans="2:6" ht="15" customHeight="1" x14ac:dyDescent="0.25">
      <c r="B1899" s="1"/>
      <c r="C1899" s="1"/>
      <c r="D1899" s="7"/>
      <c r="E1899" s="7"/>
      <c r="F1899" s="55"/>
    </row>
    <row r="1900" spans="2:6" ht="15" customHeight="1" x14ac:dyDescent="0.25">
      <c r="B1900" s="1"/>
      <c r="C1900" s="1"/>
      <c r="D1900" s="7"/>
      <c r="E1900" s="7"/>
      <c r="F1900" s="55"/>
    </row>
    <row r="1901" spans="2:6" ht="15" customHeight="1" x14ac:dyDescent="0.25">
      <c r="B1901" s="1"/>
      <c r="C1901" s="1"/>
      <c r="D1901" s="7"/>
      <c r="E1901" s="7"/>
      <c r="F1901" s="55"/>
    </row>
    <row r="1902" spans="2:6" ht="15" customHeight="1" x14ac:dyDescent="0.25">
      <c r="B1902" s="1"/>
      <c r="C1902" s="1"/>
      <c r="D1902" s="7"/>
      <c r="E1902" s="7"/>
      <c r="F1902" s="55"/>
    </row>
    <row r="1903" spans="2:6" ht="15" customHeight="1" x14ac:dyDescent="0.25">
      <c r="B1903" s="1"/>
      <c r="C1903" s="1"/>
      <c r="D1903" s="7"/>
      <c r="E1903" s="7"/>
      <c r="F1903" s="55"/>
    </row>
    <row r="1904" spans="2:6" ht="15" customHeight="1" x14ac:dyDescent="0.25">
      <c r="B1904" s="1"/>
      <c r="C1904" s="1"/>
      <c r="D1904" s="7"/>
      <c r="E1904" s="7"/>
      <c r="F1904" s="55"/>
    </row>
    <row r="1905" spans="2:6" ht="15" customHeight="1" x14ac:dyDescent="0.25">
      <c r="B1905" s="1"/>
      <c r="C1905" s="1"/>
      <c r="D1905" s="7"/>
      <c r="E1905" s="7"/>
      <c r="F1905" s="55"/>
    </row>
    <row r="1906" spans="2:6" ht="15" customHeight="1" x14ac:dyDescent="0.25">
      <c r="B1906" s="1"/>
      <c r="C1906" s="1"/>
      <c r="D1906" s="7"/>
      <c r="E1906" s="7"/>
      <c r="F1906" s="55"/>
    </row>
    <row r="1907" spans="2:6" ht="15" customHeight="1" x14ac:dyDescent="0.25">
      <c r="B1907" s="1"/>
      <c r="C1907" s="1"/>
      <c r="D1907" s="7"/>
      <c r="E1907" s="7"/>
      <c r="F1907" s="55"/>
    </row>
    <row r="1908" spans="2:6" ht="15" customHeight="1" x14ac:dyDescent="0.25">
      <c r="B1908" s="1"/>
      <c r="C1908" s="1"/>
      <c r="D1908" s="7"/>
      <c r="E1908" s="7"/>
      <c r="F1908" s="55"/>
    </row>
    <row r="1909" spans="2:6" ht="15" customHeight="1" x14ac:dyDescent="0.25">
      <c r="B1909" s="1"/>
      <c r="C1909" s="1"/>
      <c r="D1909" s="7"/>
      <c r="E1909" s="7"/>
      <c r="F1909" s="55"/>
    </row>
    <row r="1910" spans="2:6" ht="15" customHeight="1" x14ac:dyDescent="0.25">
      <c r="B1910" s="1"/>
      <c r="C1910" s="1"/>
      <c r="D1910" s="7"/>
      <c r="E1910" s="7"/>
      <c r="F1910" s="55"/>
    </row>
    <row r="1911" spans="2:6" ht="15" customHeight="1" x14ac:dyDescent="0.25">
      <c r="B1911" s="1"/>
      <c r="C1911" s="1"/>
      <c r="D1911" s="7"/>
      <c r="E1911" s="7"/>
      <c r="F1911" s="55"/>
    </row>
    <row r="1912" spans="2:6" ht="15" customHeight="1" x14ac:dyDescent="0.25">
      <c r="B1912" s="1"/>
      <c r="C1912" s="1"/>
      <c r="D1912" s="7"/>
      <c r="E1912" s="7"/>
      <c r="F1912" s="55"/>
    </row>
    <row r="1913" spans="2:6" ht="15" customHeight="1" x14ac:dyDescent="0.25">
      <c r="B1913" s="1"/>
      <c r="C1913" s="1"/>
      <c r="D1913" s="7"/>
      <c r="E1913" s="7"/>
      <c r="F1913" s="55"/>
    </row>
    <row r="1914" spans="2:6" ht="15" customHeight="1" x14ac:dyDescent="0.25">
      <c r="B1914" s="1"/>
      <c r="C1914" s="1"/>
      <c r="D1914" s="7"/>
      <c r="E1914" s="7"/>
      <c r="F1914" s="55"/>
    </row>
    <row r="1915" spans="2:6" ht="15" customHeight="1" x14ac:dyDescent="0.25">
      <c r="B1915" s="1"/>
      <c r="C1915" s="1"/>
      <c r="D1915" s="7"/>
      <c r="E1915" s="7"/>
      <c r="F1915" s="55"/>
    </row>
    <row r="1916" spans="2:6" ht="15" customHeight="1" x14ac:dyDescent="0.25">
      <c r="B1916" s="1"/>
      <c r="C1916" s="1"/>
      <c r="D1916" s="7"/>
      <c r="E1916" s="7"/>
      <c r="F1916" s="55"/>
    </row>
    <row r="1917" spans="2:6" ht="15" customHeight="1" x14ac:dyDescent="0.25">
      <c r="B1917" s="1"/>
      <c r="C1917" s="1"/>
      <c r="D1917" s="7"/>
      <c r="E1917" s="7"/>
      <c r="F1917" s="55"/>
    </row>
    <row r="1918" spans="2:6" ht="15" customHeight="1" x14ac:dyDescent="0.25">
      <c r="B1918" s="1"/>
      <c r="C1918" s="1"/>
      <c r="D1918" s="7"/>
      <c r="E1918" s="7"/>
      <c r="F1918" s="55"/>
    </row>
    <row r="1919" spans="2:6" ht="15" customHeight="1" x14ac:dyDescent="0.25">
      <c r="B1919" s="1"/>
      <c r="C1919" s="1"/>
      <c r="D1919" s="7"/>
      <c r="E1919" s="7"/>
      <c r="F1919" s="55"/>
    </row>
    <row r="1920" spans="2:6" ht="15" customHeight="1" x14ac:dyDescent="0.25">
      <c r="B1920" s="1"/>
      <c r="C1920" s="1"/>
      <c r="D1920" s="7"/>
      <c r="E1920" s="7"/>
      <c r="F1920" s="55"/>
    </row>
    <row r="1921" spans="2:6" ht="15" customHeight="1" x14ac:dyDescent="0.25">
      <c r="B1921" s="1"/>
      <c r="C1921" s="1"/>
      <c r="D1921" s="7"/>
      <c r="E1921" s="7"/>
      <c r="F1921" s="55"/>
    </row>
    <row r="1922" spans="2:6" ht="15" customHeight="1" x14ac:dyDescent="0.25">
      <c r="B1922" s="1"/>
      <c r="C1922" s="1"/>
      <c r="D1922" s="7"/>
      <c r="E1922" s="7"/>
      <c r="F1922" s="55"/>
    </row>
    <row r="1923" spans="2:6" ht="15" customHeight="1" x14ac:dyDescent="0.25">
      <c r="B1923" s="1"/>
      <c r="C1923" s="1"/>
      <c r="D1923" s="7"/>
      <c r="E1923" s="7"/>
      <c r="F1923" s="55"/>
    </row>
    <row r="1924" spans="2:6" ht="15" customHeight="1" x14ac:dyDescent="0.25">
      <c r="B1924" s="1"/>
      <c r="C1924" s="1"/>
      <c r="D1924" s="7"/>
      <c r="E1924" s="7"/>
      <c r="F1924" s="55"/>
    </row>
    <row r="1925" spans="2:6" ht="15" customHeight="1" x14ac:dyDescent="0.25">
      <c r="B1925" s="1"/>
      <c r="C1925" s="1"/>
      <c r="D1925" s="7"/>
      <c r="E1925" s="7"/>
      <c r="F1925" s="55"/>
    </row>
    <row r="1926" spans="2:6" ht="15" customHeight="1" x14ac:dyDescent="0.25">
      <c r="B1926" s="1"/>
      <c r="C1926" s="1"/>
      <c r="D1926" s="7"/>
      <c r="E1926" s="7"/>
      <c r="F1926" s="55"/>
    </row>
    <row r="1927" spans="2:6" ht="15" customHeight="1" x14ac:dyDescent="0.25">
      <c r="B1927" s="1"/>
      <c r="C1927" s="1"/>
      <c r="D1927" s="7"/>
      <c r="E1927" s="7"/>
      <c r="F1927" s="55"/>
    </row>
    <row r="1928" spans="2:6" ht="15" customHeight="1" x14ac:dyDescent="0.25">
      <c r="B1928" s="1"/>
      <c r="C1928" s="1"/>
      <c r="D1928" s="7"/>
      <c r="E1928" s="7"/>
      <c r="F1928" s="55"/>
    </row>
    <row r="1929" spans="2:6" ht="15" customHeight="1" x14ac:dyDescent="0.25">
      <c r="B1929" s="1"/>
      <c r="C1929" s="1"/>
      <c r="D1929" s="7"/>
      <c r="E1929" s="7"/>
      <c r="F1929" s="55"/>
    </row>
    <row r="1930" spans="2:6" ht="15" customHeight="1" x14ac:dyDescent="0.25">
      <c r="B1930" s="1"/>
      <c r="C1930" s="1"/>
      <c r="D1930" s="7"/>
      <c r="E1930" s="7"/>
      <c r="F1930" s="55"/>
    </row>
    <row r="1931" spans="2:6" ht="15" customHeight="1" x14ac:dyDescent="0.25">
      <c r="B1931" s="1"/>
      <c r="C1931" s="1"/>
      <c r="D1931" s="7"/>
      <c r="E1931" s="7"/>
      <c r="F1931" s="55"/>
    </row>
    <row r="1932" spans="2:6" ht="15" customHeight="1" x14ac:dyDescent="0.25">
      <c r="B1932" s="1"/>
      <c r="C1932" s="1"/>
      <c r="D1932" s="7"/>
      <c r="E1932" s="7"/>
      <c r="F1932" s="55"/>
    </row>
    <row r="1933" spans="2:6" ht="15" customHeight="1" x14ac:dyDescent="0.25">
      <c r="B1933" s="1"/>
      <c r="C1933" s="1"/>
      <c r="D1933" s="7"/>
      <c r="E1933" s="7"/>
      <c r="F1933" s="55"/>
    </row>
    <row r="1934" spans="2:6" ht="15" customHeight="1" x14ac:dyDescent="0.25">
      <c r="B1934" s="1"/>
      <c r="C1934" s="1"/>
      <c r="D1934" s="7"/>
      <c r="E1934" s="7"/>
      <c r="F1934" s="55"/>
    </row>
    <row r="1935" spans="2:6" ht="15" customHeight="1" x14ac:dyDescent="0.25">
      <c r="B1935" s="1"/>
      <c r="C1935" s="1"/>
      <c r="D1935" s="7"/>
      <c r="E1935" s="7"/>
      <c r="F1935" s="55"/>
    </row>
    <row r="1936" spans="2:6" ht="15" customHeight="1" x14ac:dyDescent="0.25">
      <c r="B1936" s="1"/>
      <c r="C1936" s="1"/>
      <c r="D1936" s="7"/>
      <c r="E1936" s="7"/>
      <c r="F1936" s="55"/>
    </row>
    <row r="1937" spans="2:6" ht="15" customHeight="1" x14ac:dyDescent="0.25">
      <c r="B1937" s="1"/>
      <c r="C1937" s="1"/>
      <c r="D1937" s="7"/>
      <c r="E1937" s="7"/>
      <c r="F1937" s="55"/>
    </row>
    <row r="1938" spans="2:6" ht="15" customHeight="1" x14ac:dyDescent="0.25">
      <c r="B1938" s="1"/>
      <c r="C1938" s="1"/>
      <c r="D1938" s="7"/>
      <c r="E1938" s="7"/>
      <c r="F1938" s="55"/>
    </row>
    <row r="1939" spans="2:6" ht="15" customHeight="1" x14ac:dyDescent="0.25">
      <c r="B1939" s="1"/>
      <c r="C1939" s="1"/>
      <c r="D1939" s="7"/>
      <c r="E1939" s="7"/>
      <c r="F1939" s="55"/>
    </row>
    <row r="1940" spans="2:6" ht="15" customHeight="1" x14ac:dyDescent="0.25">
      <c r="B1940" s="1"/>
      <c r="C1940" s="1"/>
      <c r="D1940" s="7"/>
      <c r="E1940" s="7"/>
      <c r="F1940" s="55"/>
    </row>
    <row r="1941" spans="2:6" ht="15" customHeight="1" x14ac:dyDescent="0.25">
      <c r="B1941" s="1"/>
      <c r="C1941" s="1"/>
      <c r="D1941" s="7"/>
      <c r="E1941" s="7"/>
      <c r="F1941" s="55"/>
    </row>
    <row r="1942" spans="2:6" ht="15" customHeight="1" x14ac:dyDescent="0.25">
      <c r="B1942" s="1"/>
      <c r="C1942" s="1"/>
      <c r="D1942" s="7"/>
      <c r="E1942" s="7"/>
      <c r="F1942" s="55"/>
    </row>
    <row r="1943" spans="2:6" ht="15" customHeight="1" x14ac:dyDescent="0.25">
      <c r="B1943" s="1"/>
      <c r="C1943" s="1"/>
      <c r="D1943" s="7"/>
      <c r="E1943" s="7"/>
      <c r="F1943" s="55"/>
    </row>
    <row r="1944" spans="2:6" ht="15" customHeight="1" x14ac:dyDescent="0.25">
      <c r="B1944" s="1"/>
      <c r="C1944" s="1"/>
      <c r="D1944" s="7"/>
      <c r="E1944" s="7"/>
      <c r="F1944" s="55"/>
    </row>
    <row r="1945" spans="2:6" ht="15" customHeight="1" x14ac:dyDescent="0.25">
      <c r="B1945" s="1"/>
      <c r="C1945" s="1"/>
      <c r="D1945" s="7"/>
      <c r="E1945" s="7"/>
      <c r="F1945" s="55"/>
    </row>
    <row r="1946" spans="2:6" ht="15" customHeight="1" x14ac:dyDescent="0.25">
      <c r="B1946" s="1"/>
      <c r="C1946" s="1"/>
      <c r="D1946" s="7"/>
      <c r="E1946" s="7"/>
      <c r="F1946" s="55"/>
    </row>
    <row r="1947" spans="2:6" ht="15" customHeight="1" x14ac:dyDescent="0.25">
      <c r="B1947" s="1"/>
      <c r="C1947" s="1"/>
      <c r="D1947" s="7"/>
      <c r="E1947" s="7"/>
      <c r="F1947" s="55"/>
    </row>
    <row r="1948" spans="2:6" ht="15" customHeight="1" x14ac:dyDescent="0.25">
      <c r="B1948" s="1"/>
      <c r="C1948" s="1"/>
      <c r="D1948" s="7"/>
      <c r="E1948" s="7"/>
      <c r="F1948" s="55"/>
    </row>
    <row r="1949" spans="2:6" ht="15" customHeight="1" x14ac:dyDescent="0.25">
      <c r="B1949" s="1"/>
      <c r="C1949" s="1"/>
      <c r="D1949" s="7"/>
      <c r="E1949" s="7"/>
      <c r="F1949" s="55"/>
    </row>
    <row r="1950" spans="2:6" ht="15" customHeight="1" x14ac:dyDescent="0.25">
      <c r="B1950" s="1"/>
      <c r="C1950" s="1"/>
      <c r="D1950" s="7"/>
      <c r="E1950" s="7"/>
      <c r="F1950" s="55"/>
    </row>
    <row r="1951" spans="2:6" ht="15" customHeight="1" x14ac:dyDescent="0.25">
      <c r="B1951" s="1"/>
      <c r="C1951" s="1"/>
      <c r="D1951" s="7"/>
      <c r="E1951" s="7"/>
      <c r="F1951" s="55"/>
    </row>
    <row r="1952" spans="2:6" ht="15" customHeight="1" x14ac:dyDescent="0.25">
      <c r="B1952" s="1"/>
      <c r="C1952" s="1"/>
      <c r="D1952" s="7"/>
      <c r="E1952" s="7"/>
      <c r="F1952" s="55"/>
    </row>
    <row r="1953" spans="2:6" ht="15" customHeight="1" x14ac:dyDescent="0.25">
      <c r="B1953" s="1"/>
      <c r="C1953" s="1"/>
      <c r="D1953" s="7"/>
      <c r="E1953" s="7"/>
      <c r="F1953" s="55"/>
    </row>
    <row r="1954" spans="2:6" ht="15" customHeight="1" x14ac:dyDescent="0.25">
      <c r="B1954" s="1"/>
      <c r="C1954" s="1"/>
      <c r="D1954" s="7"/>
      <c r="E1954" s="7"/>
      <c r="F1954" s="55"/>
    </row>
    <row r="1955" spans="2:6" ht="15" customHeight="1" x14ac:dyDescent="0.25">
      <c r="B1955" s="1"/>
      <c r="C1955" s="1"/>
      <c r="D1955" s="7"/>
      <c r="E1955" s="7"/>
      <c r="F1955" s="55"/>
    </row>
    <row r="1956" spans="2:6" ht="15" customHeight="1" x14ac:dyDescent="0.25">
      <c r="B1956" s="1"/>
      <c r="C1956" s="1"/>
      <c r="D1956" s="7"/>
      <c r="E1956" s="7"/>
      <c r="F1956" s="55"/>
    </row>
    <row r="1957" spans="2:6" ht="15" customHeight="1" x14ac:dyDescent="0.25">
      <c r="B1957" s="1"/>
      <c r="C1957" s="1"/>
      <c r="D1957" s="7"/>
      <c r="E1957" s="7"/>
      <c r="F1957" s="55"/>
    </row>
    <row r="1958" spans="2:6" ht="15" customHeight="1" x14ac:dyDescent="0.25">
      <c r="B1958" s="1"/>
      <c r="C1958" s="1"/>
      <c r="D1958" s="7"/>
      <c r="E1958" s="7"/>
      <c r="F1958" s="55"/>
    </row>
    <row r="1959" spans="2:6" ht="15" customHeight="1" x14ac:dyDescent="0.25">
      <c r="B1959" s="1"/>
      <c r="C1959" s="1"/>
      <c r="D1959" s="7"/>
      <c r="E1959" s="7"/>
      <c r="F1959" s="55"/>
    </row>
    <row r="1960" spans="2:6" ht="15" customHeight="1" x14ac:dyDescent="0.25">
      <c r="B1960" s="1"/>
      <c r="C1960" s="1"/>
      <c r="D1960" s="7"/>
      <c r="E1960" s="7"/>
      <c r="F1960" s="55"/>
    </row>
    <row r="1961" spans="2:6" ht="15" customHeight="1" x14ac:dyDescent="0.25">
      <c r="B1961" s="1"/>
      <c r="C1961" s="1"/>
      <c r="D1961" s="7"/>
      <c r="E1961" s="7"/>
      <c r="F1961" s="55"/>
    </row>
    <row r="1962" spans="2:6" ht="15" customHeight="1" x14ac:dyDescent="0.25">
      <c r="B1962" s="1"/>
      <c r="C1962" s="1"/>
      <c r="D1962" s="7"/>
      <c r="E1962" s="7"/>
      <c r="F1962" s="55"/>
    </row>
    <row r="1963" spans="2:6" ht="15" customHeight="1" x14ac:dyDescent="0.25">
      <c r="B1963" s="1"/>
      <c r="C1963" s="1"/>
      <c r="D1963" s="7"/>
      <c r="E1963" s="7"/>
      <c r="F1963" s="55"/>
    </row>
    <row r="1964" spans="2:6" ht="15" customHeight="1" x14ac:dyDescent="0.25">
      <c r="B1964" s="1"/>
      <c r="C1964" s="1"/>
      <c r="D1964" s="7"/>
      <c r="E1964" s="7"/>
      <c r="F1964" s="55"/>
    </row>
    <row r="1965" spans="2:6" ht="15" customHeight="1" x14ac:dyDescent="0.25">
      <c r="B1965" s="1"/>
      <c r="C1965" s="1"/>
      <c r="D1965" s="7"/>
      <c r="E1965" s="7"/>
      <c r="F1965" s="55"/>
    </row>
    <row r="1966" spans="2:6" ht="15" customHeight="1" x14ac:dyDescent="0.25">
      <c r="B1966" s="1"/>
      <c r="C1966" s="1"/>
      <c r="D1966" s="7"/>
      <c r="E1966" s="7"/>
      <c r="F1966" s="55"/>
    </row>
    <row r="1967" spans="2:6" ht="15" customHeight="1" x14ac:dyDescent="0.25">
      <c r="B1967" s="1"/>
      <c r="C1967" s="1"/>
      <c r="D1967" s="7"/>
      <c r="E1967" s="7"/>
      <c r="F1967" s="55"/>
    </row>
    <row r="1968" spans="2:6" ht="15" customHeight="1" x14ac:dyDescent="0.25">
      <c r="B1968" s="1"/>
      <c r="C1968" s="1"/>
      <c r="D1968" s="7"/>
      <c r="E1968" s="7"/>
      <c r="F1968" s="55"/>
    </row>
    <row r="1969" spans="2:6" ht="15" customHeight="1" x14ac:dyDescent="0.25">
      <c r="B1969" s="1"/>
      <c r="C1969" s="1"/>
      <c r="D1969" s="7"/>
      <c r="E1969" s="7"/>
      <c r="F1969" s="55"/>
    </row>
    <row r="1970" spans="2:6" ht="15" customHeight="1" x14ac:dyDescent="0.25">
      <c r="B1970" s="1"/>
      <c r="C1970" s="1"/>
      <c r="D1970" s="7"/>
      <c r="E1970" s="7"/>
      <c r="F1970" s="55"/>
    </row>
    <row r="1971" spans="2:6" ht="15" customHeight="1" x14ac:dyDescent="0.25">
      <c r="B1971" s="1"/>
      <c r="C1971" s="1"/>
      <c r="D1971" s="7"/>
      <c r="E1971" s="7"/>
      <c r="F1971" s="55"/>
    </row>
    <row r="1972" spans="2:6" ht="15" customHeight="1" x14ac:dyDescent="0.25">
      <c r="B1972" s="1"/>
      <c r="C1972" s="1"/>
      <c r="D1972" s="7"/>
      <c r="E1972" s="7"/>
      <c r="F1972" s="55"/>
    </row>
    <row r="1973" spans="2:6" ht="15" customHeight="1" x14ac:dyDescent="0.25">
      <c r="B1973" s="1"/>
      <c r="C1973" s="1"/>
      <c r="D1973" s="7"/>
      <c r="E1973" s="7"/>
      <c r="F1973" s="55"/>
    </row>
    <row r="1974" spans="2:6" ht="15" customHeight="1" x14ac:dyDescent="0.25">
      <c r="B1974" s="1"/>
      <c r="C1974" s="1"/>
      <c r="D1974" s="7"/>
      <c r="E1974" s="7"/>
      <c r="F1974" s="55"/>
    </row>
    <row r="1975" spans="2:6" ht="15" customHeight="1" x14ac:dyDescent="0.25">
      <c r="B1975" s="1"/>
      <c r="C1975" s="1"/>
      <c r="D1975" s="7"/>
      <c r="E1975" s="7"/>
      <c r="F1975" s="55"/>
    </row>
    <row r="1976" spans="2:6" ht="15" customHeight="1" x14ac:dyDescent="0.25">
      <c r="B1976" s="1"/>
      <c r="C1976" s="1"/>
      <c r="D1976" s="7"/>
      <c r="E1976" s="7"/>
      <c r="F1976" s="55"/>
    </row>
    <row r="1977" spans="2:6" ht="15" customHeight="1" x14ac:dyDescent="0.25">
      <c r="B1977" s="1"/>
      <c r="C1977" s="1"/>
      <c r="D1977" s="7"/>
      <c r="E1977" s="7"/>
      <c r="F1977" s="55"/>
    </row>
    <row r="1978" spans="2:6" ht="15" customHeight="1" x14ac:dyDescent="0.25">
      <c r="B1978" s="1"/>
      <c r="C1978" s="1"/>
      <c r="D1978" s="7"/>
      <c r="E1978" s="7"/>
      <c r="F1978" s="55"/>
    </row>
    <row r="1979" spans="2:6" ht="15" customHeight="1" x14ac:dyDescent="0.25">
      <c r="B1979" s="1"/>
      <c r="C1979" s="1"/>
      <c r="D1979" s="7"/>
      <c r="E1979" s="7"/>
      <c r="F1979" s="55"/>
    </row>
    <row r="1980" spans="2:6" ht="15" customHeight="1" x14ac:dyDescent="0.25">
      <c r="B1980" s="1"/>
      <c r="C1980" s="1"/>
      <c r="D1980" s="7"/>
      <c r="E1980" s="7"/>
      <c r="F1980" s="55"/>
    </row>
    <row r="1981" spans="2:6" ht="15" customHeight="1" x14ac:dyDescent="0.25">
      <c r="B1981" s="1"/>
      <c r="C1981" s="1"/>
      <c r="D1981" s="7"/>
      <c r="E1981" s="7"/>
      <c r="F1981" s="55"/>
    </row>
    <row r="1982" spans="2:6" ht="15" customHeight="1" x14ac:dyDescent="0.25">
      <c r="B1982" s="1"/>
      <c r="C1982" s="1"/>
      <c r="D1982" s="7"/>
      <c r="E1982" s="7"/>
      <c r="F1982" s="55"/>
    </row>
    <row r="1983" spans="2:6" ht="15" customHeight="1" x14ac:dyDescent="0.25">
      <c r="B1983" s="1"/>
      <c r="C1983" s="1"/>
      <c r="D1983" s="7"/>
      <c r="E1983" s="7"/>
      <c r="F1983" s="55"/>
    </row>
    <row r="1984" spans="2:6" ht="15" customHeight="1" x14ac:dyDescent="0.25">
      <c r="B1984" s="1"/>
      <c r="C1984" s="1"/>
      <c r="D1984" s="7"/>
      <c r="E1984" s="7"/>
      <c r="F1984" s="55"/>
    </row>
    <row r="1985" spans="2:6" ht="15" customHeight="1" x14ac:dyDescent="0.25">
      <c r="B1985" s="1"/>
      <c r="C1985" s="1"/>
      <c r="D1985" s="7"/>
      <c r="E1985" s="7"/>
      <c r="F1985" s="55"/>
    </row>
    <row r="1986" spans="2:6" ht="15" customHeight="1" x14ac:dyDescent="0.25">
      <c r="B1986" s="1"/>
      <c r="C1986" s="1"/>
      <c r="D1986" s="7"/>
      <c r="E1986" s="7"/>
      <c r="F1986" s="55"/>
    </row>
    <row r="1987" spans="2:6" ht="15" customHeight="1" x14ac:dyDescent="0.25">
      <c r="B1987" s="1"/>
      <c r="C1987" s="1"/>
      <c r="D1987" s="7"/>
      <c r="E1987" s="7"/>
      <c r="F1987" s="55"/>
    </row>
    <row r="1988" spans="2:6" ht="15" customHeight="1" x14ac:dyDescent="0.25">
      <c r="B1988" s="1"/>
      <c r="C1988" s="1"/>
      <c r="D1988" s="7"/>
      <c r="E1988" s="7"/>
      <c r="F1988" s="55"/>
    </row>
    <row r="1989" spans="2:6" ht="15" customHeight="1" x14ac:dyDescent="0.25">
      <c r="B1989" s="1"/>
      <c r="C1989" s="1"/>
      <c r="D1989" s="7"/>
      <c r="E1989" s="7"/>
      <c r="F1989" s="55"/>
    </row>
    <row r="1990" spans="2:6" ht="15" customHeight="1" x14ac:dyDescent="0.25">
      <c r="B1990" s="1"/>
      <c r="C1990" s="1"/>
      <c r="D1990" s="7"/>
      <c r="E1990" s="7"/>
      <c r="F1990" s="55"/>
    </row>
    <row r="1991" spans="2:6" ht="15" customHeight="1" x14ac:dyDescent="0.25">
      <c r="B1991" s="1"/>
      <c r="C1991" s="1"/>
      <c r="D1991" s="7"/>
      <c r="E1991" s="7"/>
      <c r="F1991" s="55"/>
    </row>
    <row r="1992" spans="2:6" ht="15" customHeight="1" x14ac:dyDescent="0.25">
      <c r="B1992" s="1"/>
      <c r="C1992" s="1"/>
      <c r="D1992" s="7"/>
      <c r="E1992" s="7"/>
      <c r="F1992" s="55"/>
    </row>
    <row r="1993" spans="2:6" ht="15" customHeight="1" x14ac:dyDescent="0.25">
      <c r="B1993" s="1"/>
      <c r="C1993" s="1"/>
      <c r="D1993" s="7"/>
      <c r="E1993" s="7"/>
      <c r="F1993" s="55"/>
    </row>
    <row r="1994" spans="2:6" ht="15" customHeight="1" x14ac:dyDescent="0.25">
      <c r="B1994" s="1"/>
      <c r="C1994" s="1"/>
      <c r="D1994" s="7"/>
      <c r="E1994" s="7"/>
      <c r="F1994" s="55"/>
    </row>
    <row r="1995" spans="2:6" ht="15" customHeight="1" x14ac:dyDescent="0.25">
      <c r="B1995" s="1"/>
      <c r="C1995" s="1"/>
      <c r="D1995" s="7"/>
      <c r="E1995" s="7"/>
      <c r="F1995" s="55"/>
    </row>
    <row r="1996" spans="2:6" ht="15" customHeight="1" x14ac:dyDescent="0.25">
      <c r="B1996" s="1"/>
      <c r="C1996" s="1"/>
      <c r="D1996" s="7"/>
      <c r="E1996" s="7"/>
      <c r="F1996" s="55"/>
    </row>
    <row r="1997" spans="2:6" ht="15" customHeight="1" x14ac:dyDescent="0.25">
      <c r="B1997" s="1"/>
      <c r="C1997" s="1"/>
      <c r="D1997" s="7"/>
      <c r="E1997" s="7"/>
      <c r="F1997" s="55"/>
    </row>
    <row r="1998" spans="2:6" ht="15" customHeight="1" x14ac:dyDescent="0.25">
      <c r="B1998" s="1"/>
      <c r="C1998" s="1"/>
      <c r="D1998" s="7"/>
      <c r="E1998" s="7"/>
      <c r="F1998" s="55"/>
    </row>
    <row r="1999" spans="2:6" ht="15" customHeight="1" x14ac:dyDescent="0.25">
      <c r="B1999" s="1"/>
      <c r="C1999" s="1"/>
      <c r="D1999" s="7"/>
      <c r="E1999" s="7"/>
      <c r="F1999" s="55"/>
    </row>
    <row r="2000" spans="2:6" ht="15" customHeight="1" x14ac:dyDescent="0.25">
      <c r="B2000" s="1"/>
      <c r="C2000" s="1"/>
      <c r="D2000" s="7"/>
      <c r="E2000" s="7"/>
      <c r="F2000" s="55"/>
    </row>
    <row r="2001" spans="2:6" ht="15" customHeight="1" x14ac:dyDescent="0.25">
      <c r="B2001" s="1"/>
      <c r="C2001" s="1"/>
      <c r="D2001" s="7"/>
      <c r="E2001" s="7"/>
      <c r="F2001" s="55"/>
    </row>
    <row r="2002" spans="2:6" ht="15" customHeight="1" x14ac:dyDescent="0.25">
      <c r="B2002" s="1"/>
      <c r="C2002" s="1"/>
      <c r="D2002" s="7"/>
      <c r="E2002" s="7"/>
      <c r="F2002" s="55"/>
    </row>
    <row r="2003" spans="2:6" ht="15" customHeight="1" x14ac:dyDescent="0.25">
      <c r="B2003" s="1"/>
      <c r="C2003" s="1"/>
      <c r="D2003" s="7"/>
      <c r="E2003" s="7"/>
      <c r="F2003" s="55"/>
    </row>
    <row r="2004" spans="2:6" ht="15" customHeight="1" x14ac:dyDescent="0.25">
      <c r="B2004" s="1"/>
      <c r="C2004" s="1"/>
      <c r="D2004" s="7"/>
      <c r="E2004" s="7"/>
      <c r="F2004" s="55"/>
    </row>
    <row r="2005" spans="2:6" ht="15" customHeight="1" x14ac:dyDescent="0.25">
      <c r="B2005" s="1"/>
      <c r="C2005" s="1"/>
      <c r="D2005" s="7"/>
      <c r="E2005" s="7"/>
      <c r="F2005" s="55"/>
    </row>
    <row r="2006" spans="2:6" ht="15" customHeight="1" x14ac:dyDescent="0.25">
      <c r="B2006" s="1"/>
      <c r="C2006" s="1"/>
      <c r="D2006" s="7"/>
      <c r="E2006" s="7"/>
      <c r="F2006" s="55"/>
    </row>
    <row r="2007" spans="2:6" ht="15" customHeight="1" x14ac:dyDescent="0.25">
      <c r="B2007" s="1"/>
      <c r="C2007" s="1"/>
      <c r="D2007" s="7"/>
      <c r="E2007" s="7"/>
      <c r="F2007" s="55"/>
    </row>
    <row r="2008" spans="2:6" ht="15" customHeight="1" x14ac:dyDescent="0.25">
      <c r="B2008" s="1"/>
      <c r="C2008" s="1"/>
      <c r="D2008" s="7"/>
      <c r="E2008" s="7"/>
      <c r="F2008" s="55"/>
    </row>
    <row r="2009" spans="2:6" ht="15" customHeight="1" x14ac:dyDescent="0.25">
      <c r="B2009" s="1"/>
      <c r="C2009" s="1"/>
      <c r="D2009" s="7"/>
      <c r="E2009" s="7"/>
      <c r="F2009" s="55"/>
    </row>
    <row r="2010" spans="2:6" ht="15" customHeight="1" x14ac:dyDescent="0.25">
      <c r="B2010" s="1"/>
      <c r="C2010" s="1"/>
      <c r="D2010" s="7"/>
      <c r="E2010" s="7"/>
      <c r="F2010" s="55"/>
    </row>
    <row r="2011" spans="2:6" ht="15" customHeight="1" x14ac:dyDescent="0.25">
      <c r="B2011" s="1"/>
      <c r="C2011" s="1"/>
      <c r="D2011" s="7"/>
      <c r="E2011" s="7"/>
      <c r="F2011" s="55"/>
    </row>
    <row r="2012" spans="2:6" ht="15" customHeight="1" x14ac:dyDescent="0.25">
      <c r="B2012" s="1"/>
      <c r="C2012" s="1"/>
      <c r="D2012" s="7"/>
      <c r="E2012" s="7"/>
      <c r="F2012" s="55"/>
    </row>
    <row r="2013" spans="2:6" ht="15" customHeight="1" x14ac:dyDescent="0.25">
      <c r="B2013" s="1"/>
      <c r="C2013" s="1"/>
      <c r="D2013" s="7"/>
      <c r="E2013" s="7"/>
      <c r="F2013" s="55"/>
    </row>
    <row r="2014" spans="2:6" ht="15" customHeight="1" x14ac:dyDescent="0.25">
      <c r="B2014" s="1"/>
      <c r="C2014" s="1"/>
      <c r="D2014" s="7"/>
      <c r="E2014" s="7"/>
      <c r="F2014" s="55"/>
    </row>
    <row r="2015" spans="2:6" ht="15" customHeight="1" x14ac:dyDescent="0.25">
      <c r="B2015" s="1"/>
      <c r="C2015" s="1"/>
      <c r="D2015" s="7"/>
      <c r="E2015" s="7"/>
      <c r="F2015" s="55"/>
    </row>
    <row r="2016" spans="2:6" ht="15" customHeight="1" x14ac:dyDescent="0.25">
      <c r="B2016" s="1"/>
      <c r="C2016" s="1"/>
      <c r="D2016" s="7"/>
      <c r="E2016" s="7"/>
      <c r="F2016" s="55"/>
    </row>
    <row r="2017" spans="2:6" ht="15" customHeight="1" x14ac:dyDescent="0.25">
      <c r="B2017" s="1"/>
      <c r="C2017" s="1"/>
      <c r="D2017" s="7"/>
      <c r="E2017" s="7"/>
      <c r="F2017" s="55"/>
    </row>
    <row r="2018" spans="2:6" ht="15" customHeight="1" x14ac:dyDescent="0.25">
      <c r="B2018" s="1"/>
      <c r="C2018" s="1"/>
      <c r="D2018" s="7"/>
      <c r="E2018" s="7"/>
      <c r="F2018" s="55"/>
    </row>
    <row r="2019" spans="2:6" ht="15" customHeight="1" x14ac:dyDescent="0.25">
      <c r="B2019" s="1"/>
      <c r="C2019" s="1"/>
      <c r="D2019" s="7"/>
      <c r="E2019" s="7"/>
      <c r="F2019" s="55"/>
    </row>
    <row r="2020" spans="2:6" ht="15" customHeight="1" x14ac:dyDescent="0.25">
      <c r="B2020" s="1"/>
      <c r="C2020" s="1"/>
      <c r="D2020" s="7"/>
      <c r="E2020" s="7"/>
      <c r="F2020" s="55"/>
    </row>
    <row r="2021" spans="2:6" ht="15" customHeight="1" x14ac:dyDescent="0.25">
      <c r="B2021" s="1"/>
      <c r="C2021" s="1"/>
      <c r="D2021" s="7"/>
      <c r="E2021" s="7"/>
      <c r="F2021" s="55"/>
    </row>
    <row r="2022" spans="2:6" ht="15" customHeight="1" x14ac:dyDescent="0.25">
      <c r="B2022" s="1"/>
      <c r="C2022" s="1"/>
      <c r="D2022" s="7"/>
      <c r="E2022" s="7"/>
      <c r="F2022" s="55"/>
    </row>
    <row r="2023" spans="2:6" ht="15" customHeight="1" x14ac:dyDescent="0.25">
      <c r="B2023" s="1"/>
      <c r="C2023" s="1"/>
      <c r="D2023" s="7"/>
      <c r="E2023" s="7"/>
      <c r="F2023" s="55"/>
    </row>
    <row r="2024" spans="2:6" ht="15" customHeight="1" x14ac:dyDescent="0.25">
      <c r="B2024" s="1"/>
      <c r="C2024" s="1"/>
      <c r="D2024" s="7"/>
      <c r="E2024" s="7"/>
      <c r="F2024" s="55"/>
    </row>
    <row r="2025" spans="2:6" ht="15" customHeight="1" x14ac:dyDescent="0.25">
      <c r="B2025" s="1"/>
      <c r="C2025" s="1"/>
      <c r="D2025" s="7"/>
      <c r="E2025" s="7"/>
      <c r="F2025" s="55"/>
    </row>
    <row r="2026" spans="2:6" ht="15" customHeight="1" x14ac:dyDescent="0.25">
      <c r="B2026" s="1"/>
      <c r="C2026" s="1"/>
      <c r="D2026" s="7"/>
      <c r="E2026" s="7"/>
      <c r="F2026" s="55"/>
    </row>
    <row r="2027" spans="2:6" ht="15" customHeight="1" x14ac:dyDescent="0.25">
      <c r="B2027" s="1"/>
      <c r="C2027" s="1"/>
      <c r="D2027" s="7"/>
      <c r="E2027" s="7"/>
      <c r="F2027" s="55"/>
    </row>
    <row r="2028" spans="2:6" ht="15" customHeight="1" x14ac:dyDescent="0.25">
      <c r="B2028" s="1"/>
      <c r="C2028" s="1"/>
      <c r="D2028" s="7"/>
      <c r="E2028" s="7"/>
      <c r="F2028" s="55"/>
    </row>
    <row r="2029" spans="2:6" ht="15" customHeight="1" x14ac:dyDescent="0.25">
      <c r="B2029" s="1"/>
      <c r="C2029" s="1"/>
      <c r="D2029" s="7"/>
      <c r="E2029" s="7"/>
      <c r="F2029" s="55"/>
    </row>
    <row r="2030" spans="2:6" ht="15" customHeight="1" x14ac:dyDescent="0.25">
      <c r="B2030" s="1"/>
      <c r="C2030" s="1"/>
      <c r="D2030" s="7"/>
      <c r="E2030" s="7"/>
      <c r="F2030" s="55"/>
    </row>
    <row r="2031" spans="2:6" ht="15" customHeight="1" x14ac:dyDescent="0.25">
      <c r="B2031" s="1"/>
      <c r="C2031" s="1"/>
      <c r="D2031" s="7"/>
      <c r="E2031" s="7"/>
      <c r="F2031" s="55"/>
    </row>
    <row r="2032" spans="2:6" ht="15" customHeight="1" x14ac:dyDescent="0.25">
      <c r="B2032" s="1"/>
      <c r="C2032" s="1"/>
      <c r="D2032" s="7"/>
      <c r="E2032" s="7"/>
      <c r="F2032" s="55"/>
    </row>
    <row r="2033" spans="2:6" ht="15" customHeight="1" x14ac:dyDescent="0.25">
      <c r="B2033" s="1"/>
      <c r="C2033" s="1"/>
      <c r="D2033" s="7"/>
      <c r="E2033" s="7"/>
      <c r="F2033" s="55"/>
    </row>
    <row r="2034" spans="2:6" ht="15" customHeight="1" x14ac:dyDescent="0.25">
      <c r="B2034" s="1"/>
      <c r="C2034" s="1"/>
      <c r="D2034" s="7"/>
      <c r="E2034" s="7"/>
      <c r="F2034" s="55"/>
    </row>
    <row r="2035" spans="2:6" ht="15" customHeight="1" x14ac:dyDescent="0.25">
      <c r="B2035" s="1"/>
      <c r="C2035" s="1"/>
      <c r="D2035" s="7"/>
      <c r="E2035" s="7"/>
      <c r="F2035" s="55"/>
    </row>
    <row r="2036" spans="2:6" ht="15" customHeight="1" x14ac:dyDescent="0.25">
      <c r="B2036" s="1"/>
      <c r="C2036" s="1"/>
      <c r="D2036" s="7"/>
      <c r="E2036" s="7"/>
      <c r="F2036" s="55"/>
    </row>
    <row r="2037" spans="2:6" ht="15" customHeight="1" x14ac:dyDescent="0.25">
      <c r="B2037" s="1"/>
      <c r="C2037" s="1"/>
      <c r="D2037" s="7"/>
      <c r="E2037" s="7"/>
      <c r="F2037" s="55"/>
    </row>
    <row r="2038" spans="2:6" ht="15" customHeight="1" x14ac:dyDescent="0.25">
      <c r="B2038" s="1"/>
      <c r="C2038" s="1"/>
      <c r="D2038" s="7"/>
      <c r="E2038" s="7"/>
      <c r="F2038" s="55"/>
    </row>
    <row r="2039" spans="2:6" ht="15" customHeight="1" x14ac:dyDescent="0.25">
      <c r="B2039" s="1"/>
      <c r="C2039" s="1"/>
      <c r="D2039" s="7"/>
      <c r="E2039" s="7"/>
      <c r="F2039" s="55"/>
    </row>
    <row r="2040" spans="2:6" ht="15" customHeight="1" x14ac:dyDescent="0.25">
      <c r="B2040" s="1"/>
      <c r="C2040" s="1"/>
      <c r="D2040" s="7"/>
      <c r="E2040" s="7"/>
      <c r="F2040" s="55"/>
    </row>
    <row r="2041" spans="2:6" ht="15" customHeight="1" x14ac:dyDescent="0.25">
      <c r="B2041" s="1"/>
      <c r="C2041" s="1"/>
      <c r="D2041" s="7"/>
      <c r="E2041" s="7"/>
      <c r="F2041" s="55"/>
    </row>
    <row r="2042" spans="2:6" ht="15" customHeight="1" x14ac:dyDescent="0.25">
      <c r="B2042" s="1"/>
      <c r="C2042" s="1"/>
      <c r="D2042" s="7"/>
      <c r="E2042" s="7"/>
      <c r="F2042" s="55"/>
    </row>
    <row r="2043" spans="2:6" ht="15" customHeight="1" x14ac:dyDescent="0.25">
      <c r="B2043" s="1"/>
      <c r="C2043" s="1"/>
      <c r="D2043" s="7"/>
      <c r="E2043" s="7"/>
      <c r="F2043" s="55"/>
    </row>
    <row r="2044" spans="2:6" ht="15" customHeight="1" x14ac:dyDescent="0.25">
      <c r="B2044" s="1"/>
      <c r="C2044" s="1"/>
      <c r="D2044" s="7"/>
      <c r="E2044" s="7"/>
      <c r="F2044" s="55"/>
    </row>
    <row r="2045" spans="2:6" ht="15" customHeight="1" x14ac:dyDescent="0.25">
      <c r="B2045" s="1"/>
      <c r="C2045" s="1"/>
      <c r="D2045" s="7"/>
      <c r="E2045" s="7"/>
      <c r="F2045" s="55"/>
    </row>
    <row r="2046" spans="2:6" ht="15" customHeight="1" x14ac:dyDescent="0.25">
      <c r="B2046" s="1"/>
      <c r="C2046" s="1"/>
      <c r="D2046" s="7"/>
      <c r="E2046" s="7"/>
      <c r="F2046" s="55"/>
    </row>
    <row r="2047" spans="2:6" ht="15" customHeight="1" x14ac:dyDescent="0.25">
      <c r="B2047" s="1"/>
      <c r="C2047" s="1"/>
      <c r="D2047" s="7"/>
      <c r="E2047" s="7"/>
      <c r="F2047" s="55"/>
    </row>
    <row r="2048" spans="2:6" ht="15" customHeight="1" x14ac:dyDescent="0.25">
      <c r="B2048" s="1"/>
      <c r="C2048" s="1"/>
      <c r="D2048" s="7"/>
      <c r="E2048" s="7"/>
      <c r="F2048" s="55"/>
    </row>
    <row r="2049" spans="2:6" ht="15" customHeight="1" x14ac:dyDescent="0.25">
      <c r="B2049" s="1"/>
      <c r="C2049" s="1"/>
      <c r="D2049" s="7"/>
      <c r="E2049" s="7"/>
      <c r="F2049" s="55"/>
    </row>
    <row r="2050" spans="2:6" ht="15" customHeight="1" x14ac:dyDescent="0.25">
      <c r="B2050" s="1"/>
      <c r="C2050" s="1"/>
      <c r="D2050" s="7"/>
      <c r="E2050" s="7"/>
      <c r="F2050" s="55"/>
    </row>
    <row r="2051" spans="2:6" ht="15" customHeight="1" x14ac:dyDescent="0.25">
      <c r="B2051" s="1"/>
      <c r="C2051" s="1"/>
      <c r="D2051" s="7"/>
      <c r="E2051" s="7"/>
      <c r="F2051" s="55"/>
    </row>
    <row r="2052" spans="2:6" ht="15" customHeight="1" x14ac:dyDescent="0.25">
      <c r="B2052" s="1"/>
      <c r="C2052" s="1"/>
      <c r="D2052" s="7"/>
      <c r="E2052" s="7"/>
      <c r="F2052" s="55"/>
    </row>
    <row r="2053" spans="2:6" ht="15" customHeight="1" x14ac:dyDescent="0.25">
      <c r="B2053" s="1"/>
      <c r="C2053" s="1"/>
      <c r="D2053" s="7"/>
      <c r="E2053" s="7"/>
      <c r="F2053" s="55"/>
    </row>
    <row r="2054" spans="2:6" ht="15" customHeight="1" x14ac:dyDescent="0.25">
      <c r="B2054" s="1"/>
      <c r="C2054" s="1"/>
      <c r="D2054" s="7"/>
      <c r="E2054" s="7"/>
      <c r="F2054" s="55"/>
    </row>
    <row r="2055" spans="2:6" ht="15" customHeight="1" x14ac:dyDescent="0.25">
      <c r="B2055" s="1"/>
      <c r="C2055" s="1"/>
      <c r="D2055" s="7"/>
      <c r="E2055" s="7"/>
      <c r="F2055" s="55"/>
    </row>
    <row r="2056" spans="2:6" ht="15" customHeight="1" x14ac:dyDescent="0.25">
      <c r="B2056" s="1"/>
      <c r="C2056" s="1"/>
      <c r="D2056" s="7"/>
      <c r="E2056" s="7"/>
      <c r="F2056" s="55"/>
    </row>
    <row r="2057" spans="2:6" ht="15" customHeight="1" x14ac:dyDescent="0.25">
      <c r="B2057" s="1"/>
      <c r="C2057" s="1"/>
      <c r="D2057" s="7"/>
      <c r="E2057" s="7"/>
      <c r="F2057" s="55"/>
    </row>
    <row r="2058" spans="2:6" ht="15" customHeight="1" x14ac:dyDescent="0.25">
      <c r="B2058" s="1"/>
      <c r="C2058" s="1"/>
      <c r="D2058" s="7"/>
      <c r="E2058" s="7"/>
      <c r="F2058" s="55"/>
    </row>
    <row r="2059" spans="2:6" ht="15" customHeight="1" x14ac:dyDescent="0.25">
      <c r="B2059" s="1"/>
      <c r="C2059" s="1"/>
      <c r="D2059" s="7"/>
      <c r="E2059" s="7"/>
      <c r="F2059" s="55"/>
    </row>
    <row r="2060" spans="2:6" ht="15" customHeight="1" x14ac:dyDescent="0.25">
      <c r="B2060" s="1"/>
      <c r="C2060" s="1"/>
      <c r="D2060" s="7"/>
      <c r="E2060" s="7"/>
      <c r="F2060" s="55"/>
    </row>
    <row r="2061" spans="2:6" ht="15" customHeight="1" x14ac:dyDescent="0.25">
      <c r="B2061" s="1"/>
      <c r="C2061" s="1"/>
      <c r="D2061" s="7"/>
      <c r="E2061" s="7"/>
      <c r="F2061" s="55"/>
    </row>
    <row r="2062" spans="2:6" ht="15" customHeight="1" x14ac:dyDescent="0.25">
      <c r="B2062" s="1"/>
      <c r="C2062" s="1"/>
      <c r="D2062" s="7"/>
      <c r="E2062" s="7"/>
      <c r="F2062" s="55"/>
    </row>
    <row r="2063" spans="2:6" ht="15" customHeight="1" x14ac:dyDescent="0.25">
      <c r="B2063" s="1"/>
      <c r="C2063" s="1"/>
      <c r="D2063" s="7"/>
      <c r="E2063" s="7"/>
      <c r="F2063" s="55"/>
    </row>
    <row r="2064" spans="2:6" ht="15" customHeight="1" x14ac:dyDescent="0.25">
      <c r="B2064" s="1"/>
      <c r="C2064" s="1"/>
      <c r="D2064" s="7"/>
      <c r="E2064" s="7"/>
      <c r="F2064" s="55"/>
    </row>
    <row r="2065" spans="2:6" ht="15" customHeight="1" x14ac:dyDescent="0.25">
      <c r="B2065" s="1"/>
      <c r="C2065" s="1"/>
      <c r="D2065" s="7"/>
      <c r="E2065" s="7"/>
      <c r="F2065" s="55"/>
    </row>
    <row r="2066" spans="2:6" ht="15" customHeight="1" x14ac:dyDescent="0.25">
      <c r="B2066" s="1"/>
      <c r="C2066" s="1"/>
      <c r="D2066" s="7"/>
      <c r="E2066" s="7"/>
      <c r="F2066" s="55"/>
    </row>
    <row r="2067" spans="2:6" ht="15" customHeight="1" x14ac:dyDescent="0.25">
      <c r="B2067" s="1"/>
      <c r="C2067" s="1"/>
      <c r="D2067" s="7"/>
      <c r="E2067" s="7"/>
      <c r="F2067" s="55"/>
    </row>
    <row r="2068" spans="2:6" ht="15" customHeight="1" x14ac:dyDescent="0.25">
      <c r="B2068" s="1"/>
      <c r="C2068" s="1"/>
      <c r="D2068" s="7"/>
      <c r="E2068" s="7"/>
      <c r="F2068" s="55"/>
    </row>
    <row r="2069" spans="2:6" ht="15" customHeight="1" x14ac:dyDescent="0.25">
      <c r="B2069" s="1"/>
      <c r="C2069" s="1"/>
      <c r="D2069" s="7"/>
      <c r="E2069" s="7"/>
      <c r="F2069" s="55"/>
    </row>
    <row r="2070" spans="2:6" ht="15" customHeight="1" x14ac:dyDescent="0.25">
      <c r="B2070" s="1"/>
      <c r="C2070" s="1"/>
      <c r="D2070" s="7"/>
      <c r="E2070" s="7"/>
      <c r="F2070" s="55"/>
    </row>
    <row r="2071" spans="2:6" ht="15" customHeight="1" x14ac:dyDescent="0.25">
      <c r="B2071" s="1"/>
      <c r="C2071" s="1"/>
      <c r="D2071" s="7"/>
      <c r="E2071" s="7"/>
      <c r="F2071" s="55"/>
    </row>
    <row r="2072" spans="2:6" ht="15" customHeight="1" x14ac:dyDescent="0.25">
      <c r="B2072" s="1"/>
      <c r="C2072" s="1"/>
      <c r="D2072" s="7"/>
      <c r="E2072" s="7"/>
      <c r="F2072" s="55"/>
    </row>
    <row r="2073" spans="2:6" ht="15" customHeight="1" x14ac:dyDescent="0.25">
      <c r="B2073" s="1"/>
      <c r="C2073" s="1"/>
      <c r="D2073" s="7"/>
      <c r="E2073" s="7"/>
      <c r="F2073" s="55"/>
    </row>
    <row r="2074" spans="2:6" ht="15" customHeight="1" x14ac:dyDescent="0.25">
      <c r="B2074" s="1"/>
      <c r="C2074" s="1"/>
      <c r="D2074" s="7"/>
      <c r="E2074" s="7"/>
      <c r="F2074" s="55"/>
    </row>
    <row r="2075" spans="2:6" ht="15" customHeight="1" x14ac:dyDescent="0.25">
      <c r="B2075" s="1"/>
      <c r="C2075" s="1"/>
      <c r="D2075" s="7"/>
      <c r="E2075" s="7"/>
      <c r="F2075" s="55"/>
    </row>
    <row r="2076" spans="2:6" ht="15" customHeight="1" x14ac:dyDescent="0.25">
      <c r="B2076" s="1"/>
      <c r="C2076" s="1"/>
      <c r="D2076" s="7"/>
      <c r="E2076" s="7"/>
      <c r="F2076" s="55"/>
    </row>
    <row r="2077" spans="2:6" ht="15" customHeight="1" x14ac:dyDescent="0.25">
      <c r="B2077" s="1"/>
      <c r="C2077" s="1"/>
      <c r="D2077" s="7"/>
      <c r="E2077" s="7"/>
      <c r="F2077" s="55"/>
    </row>
    <row r="2078" spans="2:6" ht="15" customHeight="1" x14ac:dyDescent="0.25">
      <c r="B2078" s="1"/>
      <c r="C2078" s="1"/>
      <c r="D2078" s="7"/>
      <c r="E2078" s="7"/>
      <c r="F2078" s="55"/>
    </row>
    <row r="2079" spans="2:6" ht="15" customHeight="1" x14ac:dyDescent="0.25">
      <c r="B2079" s="1"/>
      <c r="C2079" s="1"/>
      <c r="D2079" s="7"/>
      <c r="E2079" s="7"/>
      <c r="F2079" s="55"/>
    </row>
    <row r="2080" spans="2:6" ht="15" customHeight="1" x14ac:dyDescent="0.25">
      <c r="B2080" s="1"/>
      <c r="C2080" s="1"/>
      <c r="D2080" s="7"/>
      <c r="E2080" s="7"/>
      <c r="F2080" s="55"/>
    </row>
    <row r="2081" spans="2:6" ht="15" customHeight="1" x14ac:dyDescent="0.25">
      <c r="B2081" s="1"/>
      <c r="C2081" s="1"/>
      <c r="D2081" s="7"/>
      <c r="E2081" s="7"/>
      <c r="F2081" s="55"/>
    </row>
    <row r="2082" spans="2:6" ht="15" customHeight="1" x14ac:dyDescent="0.25">
      <c r="B2082" s="1"/>
      <c r="C2082" s="1"/>
      <c r="D2082" s="7"/>
      <c r="E2082" s="7"/>
      <c r="F2082" s="55"/>
    </row>
    <row r="2083" spans="2:6" ht="15" customHeight="1" x14ac:dyDescent="0.25">
      <c r="B2083" s="1"/>
      <c r="C2083" s="1"/>
      <c r="D2083" s="7"/>
      <c r="E2083" s="7"/>
      <c r="F2083" s="55"/>
    </row>
    <row r="2084" spans="2:6" ht="15" customHeight="1" x14ac:dyDescent="0.25">
      <c r="B2084" s="1"/>
      <c r="C2084" s="1"/>
      <c r="D2084" s="7"/>
      <c r="E2084" s="7"/>
      <c r="F2084" s="55"/>
    </row>
    <row r="2085" spans="2:6" ht="15" customHeight="1" x14ac:dyDescent="0.25">
      <c r="B2085" s="1"/>
      <c r="C2085" s="1"/>
      <c r="D2085" s="7"/>
      <c r="E2085" s="7"/>
      <c r="F2085" s="55"/>
    </row>
    <row r="2086" spans="2:6" ht="15" customHeight="1" x14ac:dyDescent="0.25">
      <c r="B2086" s="1"/>
      <c r="C2086" s="1"/>
      <c r="D2086" s="7"/>
      <c r="E2086" s="7"/>
      <c r="F2086" s="55"/>
    </row>
    <row r="2087" spans="2:6" ht="15" customHeight="1" x14ac:dyDescent="0.25">
      <c r="B2087" s="1"/>
      <c r="C2087" s="1"/>
      <c r="D2087" s="7"/>
      <c r="E2087" s="7"/>
      <c r="F2087" s="55"/>
    </row>
    <row r="2088" spans="2:6" ht="15" customHeight="1" x14ac:dyDescent="0.25">
      <c r="B2088" s="1"/>
      <c r="C2088" s="1"/>
      <c r="D2088" s="7"/>
      <c r="E2088" s="7"/>
      <c r="F2088" s="55"/>
    </row>
    <row r="2089" spans="2:6" ht="15" customHeight="1" x14ac:dyDescent="0.25">
      <c r="B2089" s="1"/>
      <c r="C2089" s="1"/>
      <c r="D2089" s="7"/>
      <c r="E2089" s="7"/>
      <c r="F2089" s="55"/>
    </row>
    <row r="2090" spans="2:6" ht="15" customHeight="1" x14ac:dyDescent="0.25">
      <c r="B2090" s="1"/>
      <c r="C2090" s="1"/>
      <c r="D2090" s="7"/>
      <c r="E2090" s="7"/>
      <c r="F2090" s="55"/>
    </row>
    <row r="2091" spans="2:6" ht="15" customHeight="1" x14ac:dyDescent="0.25">
      <c r="B2091" s="1"/>
      <c r="C2091" s="1"/>
      <c r="D2091" s="7"/>
      <c r="E2091" s="7"/>
      <c r="F2091" s="55"/>
    </row>
    <row r="2092" spans="2:6" ht="15" customHeight="1" x14ac:dyDescent="0.25">
      <c r="B2092" s="1"/>
      <c r="C2092" s="1"/>
      <c r="D2092" s="7"/>
      <c r="E2092" s="7"/>
      <c r="F2092" s="55"/>
    </row>
    <row r="2093" spans="2:6" ht="15" customHeight="1" x14ac:dyDescent="0.25">
      <c r="B2093" s="1"/>
      <c r="C2093" s="1"/>
      <c r="D2093" s="7"/>
      <c r="E2093" s="7"/>
      <c r="F2093" s="55"/>
    </row>
    <row r="2094" spans="2:6" ht="15" customHeight="1" x14ac:dyDescent="0.25">
      <c r="B2094" s="1"/>
      <c r="C2094" s="1"/>
      <c r="D2094" s="7"/>
      <c r="E2094" s="7"/>
      <c r="F2094" s="55"/>
    </row>
    <row r="2095" spans="2:6" ht="15" customHeight="1" x14ac:dyDescent="0.25">
      <c r="B2095" s="1"/>
      <c r="C2095" s="1"/>
      <c r="D2095" s="7"/>
      <c r="E2095" s="7"/>
      <c r="F2095" s="55"/>
    </row>
    <row r="2096" spans="2:6" ht="15" customHeight="1" x14ac:dyDescent="0.25">
      <c r="B2096" s="1"/>
      <c r="C2096" s="1"/>
      <c r="D2096" s="7"/>
      <c r="E2096" s="7"/>
      <c r="F2096" s="55"/>
    </row>
    <row r="2097" spans="2:6" ht="15" customHeight="1" x14ac:dyDescent="0.25">
      <c r="B2097" s="1"/>
      <c r="C2097" s="1"/>
      <c r="D2097" s="7"/>
      <c r="E2097" s="7"/>
      <c r="F2097" s="55"/>
    </row>
    <row r="2098" spans="2:6" ht="15" customHeight="1" x14ac:dyDescent="0.25">
      <c r="B2098" s="1"/>
      <c r="C2098" s="1"/>
      <c r="D2098" s="7"/>
      <c r="E2098" s="7"/>
      <c r="F2098" s="55"/>
    </row>
    <row r="2099" spans="2:6" ht="15" customHeight="1" x14ac:dyDescent="0.25">
      <c r="B2099" s="1"/>
      <c r="C2099" s="1"/>
      <c r="D2099" s="7"/>
      <c r="E2099" s="7"/>
      <c r="F2099" s="55"/>
    </row>
    <row r="2100" spans="2:6" ht="15" customHeight="1" x14ac:dyDescent="0.25">
      <c r="B2100" s="1"/>
      <c r="C2100" s="1"/>
      <c r="D2100" s="7"/>
      <c r="E2100" s="7"/>
      <c r="F2100" s="55"/>
    </row>
    <row r="2101" spans="2:6" ht="15" customHeight="1" x14ac:dyDescent="0.25">
      <c r="B2101" s="1"/>
      <c r="C2101" s="1"/>
      <c r="D2101" s="7"/>
      <c r="E2101" s="7"/>
      <c r="F2101" s="55"/>
    </row>
    <row r="2102" spans="2:6" ht="15" customHeight="1" x14ac:dyDescent="0.25">
      <c r="B2102" s="1"/>
      <c r="C2102" s="1"/>
      <c r="D2102" s="7"/>
      <c r="E2102" s="7"/>
      <c r="F2102" s="55"/>
    </row>
    <row r="2103" spans="2:6" ht="15" customHeight="1" x14ac:dyDescent="0.25">
      <c r="B2103" s="1"/>
      <c r="C2103" s="1"/>
      <c r="D2103" s="7"/>
      <c r="E2103" s="7"/>
      <c r="F2103" s="55"/>
    </row>
    <row r="2104" spans="2:6" ht="15" customHeight="1" x14ac:dyDescent="0.25">
      <c r="B2104" s="1"/>
      <c r="C2104" s="1"/>
      <c r="D2104" s="7"/>
      <c r="E2104" s="7"/>
      <c r="F2104" s="55"/>
    </row>
    <row r="2105" spans="2:6" ht="15" customHeight="1" x14ac:dyDescent="0.25">
      <c r="B2105" s="1"/>
      <c r="C2105" s="1"/>
      <c r="D2105" s="7"/>
      <c r="E2105" s="7"/>
      <c r="F2105" s="55"/>
    </row>
    <row r="2106" spans="2:6" ht="15" customHeight="1" x14ac:dyDescent="0.25">
      <c r="B2106" s="1"/>
      <c r="C2106" s="1"/>
      <c r="D2106" s="7"/>
      <c r="E2106" s="7"/>
      <c r="F2106" s="55"/>
    </row>
    <row r="2107" spans="2:6" ht="15" customHeight="1" x14ac:dyDescent="0.25">
      <c r="B2107" s="1"/>
      <c r="C2107" s="1"/>
      <c r="D2107" s="7"/>
      <c r="E2107" s="7"/>
      <c r="F2107" s="55"/>
    </row>
    <row r="2108" spans="2:6" ht="15" customHeight="1" x14ac:dyDescent="0.25">
      <c r="B2108" s="1"/>
      <c r="C2108" s="1"/>
      <c r="D2108" s="7"/>
      <c r="E2108" s="7"/>
      <c r="F2108" s="55"/>
    </row>
    <row r="2109" spans="2:6" ht="15" customHeight="1" x14ac:dyDescent="0.25">
      <c r="B2109" s="1"/>
      <c r="C2109" s="1"/>
      <c r="D2109" s="7"/>
      <c r="E2109" s="7"/>
      <c r="F2109" s="55"/>
    </row>
    <row r="2110" spans="2:6" ht="15" customHeight="1" x14ac:dyDescent="0.25">
      <c r="B2110" s="1"/>
      <c r="C2110" s="1"/>
      <c r="D2110" s="7"/>
      <c r="E2110" s="7"/>
      <c r="F2110" s="55"/>
    </row>
    <row r="2111" spans="2:6" ht="15" customHeight="1" x14ac:dyDescent="0.25">
      <c r="B2111" s="1"/>
      <c r="C2111" s="1"/>
      <c r="D2111" s="7"/>
      <c r="E2111" s="7"/>
      <c r="F2111" s="55"/>
    </row>
    <row r="2112" spans="2:6" ht="15" customHeight="1" x14ac:dyDescent="0.25">
      <c r="B2112" s="1"/>
      <c r="C2112" s="1"/>
      <c r="D2112" s="7"/>
      <c r="E2112" s="7"/>
      <c r="F2112" s="55"/>
    </row>
    <row r="2113" spans="2:6" ht="15" customHeight="1" x14ac:dyDescent="0.25">
      <c r="B2113" s="1"/>
      <c r="C2113" s="1"/>
      <c r="D2113" s="7"/>
      <c r="E2113" s="7"/>
      <c r="F2113" s="55"/>
    </row>
    <row r="2114" spans="2:6" ht="15" customHeight="1" x14ac:dyDescent="0.25">
      <c r="B2114" s="1"/>
      <c r="C2114" s="1"/>
      <c r="D2114" s="7"/>
      <c r="E2114" s="7"/>
      <c r="F2114" s="55"/>
    </row>
    <row r="2115" spans="2:6" ht="15" customHeight="1" x14ac:dyDescent="0.25">
      <c r="B2115" s="1"/>
      <c r="C2115" s="1"/>
      <c r="D2115" s="7"/>
      <c r="E2115" s="7"/>
      <c r="F2115" s="55"/>
    </row>
    <row r="2116" spans="2:6" ht="15" customHeight="1" x14ac:dyDescent="0.25">
      <c r="B2116" s="1"/>
      <c r="C2116" s="1"/>
      <c r="D2116" s="7"/>
      <c r="E2116" s="7"/>
      <c r="F2116" s="55"/>
    </row>
    <row r="2117" spans="2:6" ht="15" customHeight="1" x14ac:dyDescent="0.25">
      <c r="B2117" s="1"/>
      <c r="C2117" s="1"/>
      <c r="D2117" s="7"/>
      <c r="E2117" s="7"/>
      <c r="F2117" s="55"/>
    </row>
    <row r="2118" spans="2:6" ht="15" customHeight="1" x14ac:dyDescent="0.25">
      <c r="B2118" s="1"/>
      <c r="C2118" s="1"/>
      <c r="D2118" s="7"/>
      <c r="E2118" s="7"/>
      <c r="F2118" s="55"/>
    </row>
    <row r="2119" spans="2:6" ht="15" customHeight="1" x14ac:dyDescent="0.25">
      <c r="B2119" s="1"/>
      <c r="C2119" s="1"/>
      <c r="D2119" s="7"/>
      <c r="E2119" s="7"/>
      <c r="F2119" s="55"/>
    </row>
    <row r="2120" spans="2:6" ht="15" customHeight="1" x14ac:dyDescent="0.25">
      <c r="B2120" s="1"/>
      <c r="C2120" s="1"/>
      <c r="D2120" s="7"/>
      <c r="E2120" s="7"/>
      <c r="F2120" s="55"/>
    </row>
    <row r="2121" spans="2:6" ht="15" customHeight="1" x14ac:dyDescent="0.25">
      <c r="B2121" s="1"/>
      <c r="C2121" s="1"/>
      <c r="D2121" s="7"/>
      <c r="E2121" s="7"/>
      <c r="F2121" s="55"/>
    </row>
    <row r="2122" spans="2:6" ht="15" customHeight="1" x14ac:dyDescent="0.25">
      <c r="B2122" s="1"/>
      <c r="C2122" s="1"/>
      <c r="D2122" s="7"/>
      <c r="E2122" s="7"/>
      <c r="F2122" s="55"/>
    </row>
    <row r="2123" spans="2:6" ht="15" customHeight="1" x14ac:dyDescent="0.25">
      <c r="B2123" s="1"/>
      <c r="C2123" s="1"/>
      <c r="D2123" s="7"/>
      <c r="E2123" s="7"/>
      <c r="F2123" s="55"/>
    </row>
    <row r="2124" spans="2:6" ht="15" customHeight="1" x14ac:dyDescent="0.25">
      <c r="B2124" s="1"/>
      <c r="C2124" s="1"/>
      <c r="D2124" s="7"/>
      <c r="E2124" s="7"/>
      <c r="F2124" s="55"/>
    </row>
    <row r="2125" spans="2:6" ht="15" customHeight="1" x14ac:dyDescent="0.25">
      <c r="B2125" s="1"/>
      <c r="C2125" s="1"/>
      <c r="D2125" s="7"/>
      <c r="E2125" s="7"/>
      <c r="F2125" s="55"/>
    </row>
    <row r="2126" spans="2:6" ht="15" customHeight="1" x14ac:dyDescent="0.25">
      <c r="B2126" s="1"/>
      <c r="C2126" s="1"/>
      <c r="D2126" s="7"/>
      <c r="E2126" s="7"/>
      <c r="F2126" s="55"/>
    </row>
    <row r="2127" spans="2:6" ht="15" customHeight="1" x14ac:dyDescent="0.25">
      <c r="B2127" s="1"/>
      <c r="C2127" s="1"/>
      <c r="D2127" s="7"/>
      <c r="E2127" s="7"/>
      <c r="F2127" s="55"/>
    </row>
    <row r="2128" spans="2:6" ht="15" customHeight="1" x14ac:dyDescent="0.25">
      <c r="B2128" s="1"/>
      <c r="C2128" s="1"/>
      <c r="D2128" s="7"/>
      <c r="E2128" s="7"/>
      <c r="F2128" s="55"/>
    </row>
    <row r="2129" spans="2:6" ht="15" customHeight="1" x14ac:dyDescent="0.25">
      <c r="B2129" s="1"/>
      <c r="C2129" s="1"/>
      <c r="D2129" s="7"/>
      <c r="E2129" s="7"/>
      <c r="F2129" s="55"/>
    </row>
    <row r="2130" spans="2:6" ht="15" customHeight="1" x14ac:dyDescent="0.25">
      <c r="B2130" s="1"/>
      <c r="C2130" s="1"/>
      <c r="D2130" s="7"/>
      <c r="E2130" s="7"/>
      <c r="F2130" s="55"/>
    </row>
    <row r="2131" spans="2:6" ht="15" customHeight="1" x14ac:dyDescent="0.25">
      <c r="B2131" s="1"/>
      <c r="C2131" s="1"/>
      <c r="D2131" s="7"/>
      <c r="E2131" s="7"/>
      <c r="F2131" s="55"/>
    </row>
    <row r="2132" spans="2:6" ht="15" customHeight="1" x14ac:dyDescent="0.25">
      <c r="B2132" s="1"/>
      <c r="C2132" s="1"/>
      <c r="D2132" s="7"/>
      <c r="E2132" s="7"/>
      <c r="F2132" s="55"/>
    </row>
    <row r="2133" spans="2:6" ht="15" customHeight="1" x14ac:dyDescent="0.25">
      <c r="B2133" s="1"/>
      <c r="C2133" s="1"/>
      <c r="D2133" s="7"/>
      <c r="E2133" s="7"/>
      <c r="F2133" s="55"/>
    </row>
    <row r="2134" spans="2:6" ht="15" customHeight="1" x14ac:dyDescent="0.25">
      <c r="B2134" s="1"/>
      <c r="C2134" s="1"/>
      <c r="D2134" s="7"/>
      <c r="E2134" s="7"/>
      <c r="F2134" s="55"/>
    </row>
    <row r="2135" spans="2:6" ht="15" customHeight="1" x14ac:dyDescent="0.25">
      <c r="B2135" s="1"/>
      <c r="C2135" s="1"/>
      <c r="D2135" s="7"/>
      <c r="E2135" s="7"/>
      <c r="F2135" s="55"/>
    </row>
    <row r="2136" spans="2:6" ht="15" customHeight="1" x14ac:dyDescent="0.25">
      <c r="B2136" s="1"/>
      <c r="C2136" s="1"/>
      <c r="D2136" s="7"/>
      <c r="E2136" s="7"/>
      <c r="F2136" s="55"/>
    </row>
    <row r="2137" spans="2:6" ht="15" customHeight="1" x14ac:dyDescent="0.25">
      <c r="B2137" s="1"/>
      <c r="C2137" s="1"/>
      <c r="D2137" s="7"/>
      <c r="E2137" s="7"/>
      <c r="F2137" s="55"/>
    </row>
    <row r="2138" spans="2:6" ht="15" customHeight="1" x14ac:dyDescent="0.25">
      <c r="B2138" s="1"/>
      <c r="C2138" s="1"/>
      <c r="D2138" s="7"/>
      <c r="E2138" s="7"/>
      <c r="F2138" s="55"/>
    </row>
    <row r="2139" spans="2:6" ht="15" customHeight="1" x14ac:dyDescent="0.25">
      <c r="B2139" s="1"/>
      <c r="C2139" s="1"/>
      <c r="D2139" s="7"/>
      <c r="E2139" s="7"/>
      <c r="F2139" s="55"/>
    </row>
    <row r="2140" spans="2:6" ht="15" customHeight="1" x14ac:dyDescent="0.25">
      <c r="B2140" s="1"/>
      <c r="C2140" s="1"/>
      <c r="D2140" s="7"/>
      <c r="E2140" s="7"/>
      <c r="F2140" s="55"/>
    </row>
    <row r="2141" spans="2:6" ht="15" customHeight="1" x14ac:dyDescent="0.25">
      <c r="B2141" s="1"/>
      <c r="C2141" s="1"/>
      <c r="D2141" s="7"/>
      <c r="E2141" s="7"/>
      <c r="F2141" s="55"/>
    </row>
    <row r="2142" spans="2:6" ht="15" customHeight="1" x14ac:dyDescent="0.25">
      <c r="B2142" s="1"/>
      <c r="C2142" s="1"/>
      <c r="D2142" s="7"/>
      <c r="E2142" s="7"/>
      <c r="F2142" s="55"/>
    </row>
    <row r="2143" spans="2:6" ht="15" customHeight="1" x14ac:dyDescent="0.25">
      <c r="B2143" s="1"/>
      <c r="C2143" s="1"/>
      <c r="D2143" s="7"/>
      <c r="E2143" s="7"/>
      <c r="F2143" s="55"/>
    </row>
    <row r="2144" spans="2:6" ht="15" customHeight="1" x14ac:dyDescent="0.25">
      <c r="B2144" s="1"/>
      <c r="C2144" s="1"/>
      <c r="D2144" s="7"/>
      <c r="E2144" s="7"/>
      <c r="F2144" s="55"/>
    </row>
    <row r="2145" spans="2:6" ht="15" customHeight="1" x14ac:dyDescent="0.25">
      <c r="B2145" s="1"/>
      <c r="C2145" s="1"/>
      <c r="D2145" s="7"/>
      <c r="E2145" s="7"/>
      <c r="F2145" s="55"/>
    </row>
    <row r="2146" spans="2:6" ht="15" customHeight="1" x14ac:dyDescent="0.25">
      <c r="B2146" s="1"/>
      <c r="C2146" s="1"/>
      <c r="D2146" s="7"/>
      <c r="E2146" s="7"/>
      <c r="F2146" s="55"/>
    </row>
    <row r="2147" spans="2:6" ht="15" customHeight="1" x14ac:dyDescent="0.25">
      <c r="B2147" s="1"/>
      <c r="C2147" s="1"/>
      <c r="D2147" s="7"/>
      <c r="E2147" s="7"/>
      <c r="F2147" s="55"/>
    </row>
    <row r="2148" spans="2:6" ht="15" customHeight="1" x14ac:dyDescent="0.25">
      <c r="B2148" s="1"/>
      <c r="C2148" s="1"/>
      <c r="D2148" s="7"/>
      <c r="E2148" s="7"/>
      <c r="F2148" s="55"/>
    </row>
    <row r="2149" spans="2:6" ht="15" customHeight="1" x14ac:dyDescent="0.25">
      <c r="B2149" s="1"/>
      <c r="C2149" s="1"/>
      <c r="D2149" s="7"/>
      <c r="E2149" s="7"/>
      <c r="F2149" s="55"/>
    </row>
    <row r="2150" spans="2:6" ht="15" customHeight="1" x14ac:dyDescent="0.25">
      <c r="B2150" s="1"/>
      <c r="C2150" s="1"/>
      <c r="D2150" s="7"/>
      <c r="E2150" s="7"/>
      <c r="F2150" s="55"/>
    </row>
    <row r="2151" spans="2:6" ht="15" customHeight="1" x14ac:dyDescent="0.25">
      <c r="B2151" s="1"/>
      <c r="C2151" s="1"/>
      <c r="D2151" s="7"/>
      <c r="E2151" s="7"/>
      <c r="F2151" s="55"/>
    </row>
    <row r="2152" spans="2:6" ht="15" customHeight="1" x14ac:dyDescent="0.25">
      <c r="B2152" s="1"/>
      <c r="C2152" s="1"/>
      <c r="D2152" s="7"/>
      <c r="E2152" s="7"/>
      <c r="F2152" s="55"/>
    </row>
    <row r="2153" spans="2:6" ht="15" customHeight="1" x14ac:dyDescent="0.25">
      <c r="B2153" s="1"/>
      <c r="C2153" s="1"/>
      <c r="D2153" s="7"/>
      <c r="E2153" s="7"/>
      <c r="F2153" s="55"/>
    </row>
    <row r="2154" spans="2:6" ht="15" customHeight="1" x14ac:dyDescent="0.25">
      <c r="B2154" s="1"/>
      <c r="C2154" s="1"/>
      <c r="D2154" s="7"/>
      <c r="E2154" s="7"/>
      <c r="F2154" s="55"/>
    </row>
    <row r="2155" spans="2:6" ht="15" customHeight="1" x14ac:dyDescent="0.25">
      <c r="B2155" s="1"/>
      <c r="C2155" s="1"/>
      <c r="D2155" s="7"/>
      <c r="E2155" s="7"/>
      <c r="F2155" s="55"/>
    </row>
    <row r="2156" spans="2:6" ht="15" customHeight="1" x14ac:dyDescent="0.25">
      <c r="B2156" s="1"/>
      <c r="C2156" s="1"/>
      <c r="D2156" s="7"/>
      <c r="E2156" s="7"/>
      <c r="F2156" s="55"/>
    </row>
    <row r="2157" spans="2:6" ht="15" customHeight="1" x14ac:dyDescent="0.25">
      <c r="B2157" s="1"/>
      <c r="C2157" s="1"/>
      <c r="D2157" s="7"/>
      <c r="E2157" s="7"/>
      <c r="F2157" s="55"/>
    </row>
    <row r="2158" spans="2:6" ht="15" customHeight="1" x14ac:dyDescent="0.25">
      <c r="B2158" s="1"/>
      <c r="C2158" s="1"/>
      <c r="D2158" s="7"/>
      <c r="E2158" s="7"/>
      <c r="F2158" s="55"/>
    </row>
    <row r="2159" spans="2:6" ht="15" customHeight="1" x14ac:dyDescent="0.25">
      <c r="B2159" s="1"/>
      <c r="C2159" s="1"/>
      <c r="D2159" s="7"/>
      <c r="E2159" s="7"/>
      <c r="F2159" s="55"/>
    </row>
    <row r="2160" spans="2:6" ht="15" customHeight="1" x14ac:dyDescent="0.25">
      <c r="B2160" s="1"/>
      <c r="C2160" s="1"/>
      <c r="D2160" s="7"/>
      <c r="E2160" s="7"/>
      <c r="F2160" s="55"/>
    </row>
    <row r="2161" spans="2:6" ht="15" customHeight="1" x14ac:dyDescent="0.25">
      <c r="B2161" s="1"/>
      <c r="C2161" s="1"/>
      <c r="D2161" s="7"/>
      <c r="E2161" s="7"/>
      <c r="F2161" s="55"/>
    </row>
    <row r="2162" spans="2:6" ht="15" customHeight="1" x14ac:dyDescent="0.25">
      <c r="B2162" s="1"/>
      <c r="C2162" s="1"/>
      <c r="D2162" s="7"/>
      <c r="E2162" s="7"/>
      <c r="F2162" s="55"/>
    </row>
    <row r="2163" spans="2:6" ht="15" customHeight="1" x14ac:dyDescent="0.25">
      <c r="B2163" s="1"/>
      <c r="C2163" s="1"/>
      <c r="D2163" s="7"/>
      <c r="E2163" s="7"/>
      <c r="F2163" s="55"/>
    </row>
    <row r="2164" spans="2:6" ht="15" customHeight="1" x14ac:dyDescent="0.25">
      <c r="B2164" s="1"/>
      <c r="C2164" s="1"/>
      <c r="D2164" s="7"/>
      <c r="E2164" s="7"/>
      <c r="F2164" s="55"/>
    </row>
    <row r="2165" spans="2:6" ht="15" customHeight="1" x14ac:dyDescent="0.25">
      <c r="B2165" s="1"/>
      <c r="C2165" s="1"/>
      <c r="D2165" s="7"/>
      <c r="E2165" s="7"/>
      <c r="F2165" s="55"/>
    </row>
    <row r="2166" spans="2:6" ht="15" customHeight="1" x14ac:dyDescent="0.25">
      <c r="B2166" s="1"/>
      <c r="C2166" s="1"/>
      <c r="D2166" s="7"/>
      <c r="E2166" s="7"/>
      <c r="F2166" s="55"/>
    </row>
    <row r="2167" spans="2:6" ht="15" customHeight="1" x14ac:dyDescent="0.25">
      <c r="B2167" s="1"/>
      <c r="C2167" s="1"/>
      <c r="D2167" s="7"/>
      <c r="E2167" s="7"/>
      <c r="F2167" s="55"/>
    </row>
    <row r="2168" spans="2:6" ht="15" customHeight="1" x14ac:dyDescent="0.25">
      <c r="B2168" s="1"/>
      <c r="C2168" s="1"/>
      <c r="D2168" s="7"/>
      <c r="E2168" s="7"/>
      <c r="F2168" s="55"/>
    </row>
    <row r="2169" spans="2:6" ht="15" customHeight="1" x14ac:dyDescent="0.25">
      <c r="B2169" s="1"/>
      <c r="C2169" s="1"/>
      <c r="D2169" s="7"/>
      <c r="E2169" s="7"/>
      <c r="F2169" s="55"/>
    </row>
    <row r="2170" spans="2:6" ht="15" customHeight="1" x14ac:dyDescent="0.25">
      <c r="B2170" s="1"/>
      <c r="C2170" s="1"/>
      <c r="D2170" s="7"/>
      <c r="E2170" s="7"/>
      <c r="F2170" s="55"/>
    </row>
    <row r="2171" spans="2:6" ht="15" customHeight="1" x14ac:dyDescent="0.25">
      <c r="B2171" s="1"/>
      <c r="C2171" s="1"/>
      <c r="D2171" s="7"/>
      <c r="E2171" s="7"/>
      <c r="F2171" s="55"/>
    </row>
    <row r="2172" spans="2:6" ht="15" customHeight="1" x14ac:dyDescent="0.25">
      <c r="B2172" s="1"/>
      <c r="C2172" s="1"/>
      <c r="D2172" s="7"/>
      <c r="E2172" s="7"/>
      <c r="F2172" s="55"/>
    </row>
    <row r="2173" spans="2:6" ht="15" customHeight="1" x14ac:dyDescent="0.25">
      <c r="B2173" s="1"/>
      <c r="C2173" s="1"/>
      <c r="D2173" s="7"/>
      <c r="E2173" s="7"/>
      <c r="F2173" s="55"/>
    </row>
    <row r="2174" spans="2:6" ht="15" customHeight="1" x14ac:dyDescent="0.25">
      <c r="B2174" s="1"/>
      <c r="C2174" s="1"/>
      <c r="D2174" s="7"/>
      <c r="E2174" s="7"/>
      <c r="F2174" s="55"/>
    </row>
    <row r="2175" spans="2:6" ht="15" customHeight="1" x14ac:dyDescent="0.25">
      <c r="B2175" s="1"/>
      <c r="C2175" s="1"/>
      <c r="D2175" s="7"/>
      <c r="E2175" s="7"/>
      <c r="F2175" s="55"/>
    </row>
    <row r="2176" spans="2:6" ht="15" customHeight="1" x14ac:dyDescent="0.25">
      <c r="B2176" s="1"/>
      <c r="C2176" s="1"/>
      <c r="D2176" s="7"/>
      <c r="E2176" s="7"/>
      <c r="F2176" s="55"/>
    </row>
    <row r="2177" spans="2:6" ht="15" customHeight="1" x14ac:dyDescent="0.25">
      <c r="B2177" s="1"/>
      <c r="C2177" s="1"/>
      <c r="D2177" s="7"/>
      <c r="E2177" s="7"/>
      <c r="F2177" s="55"/>
    </row>
    <row r="2178" spans="2:6" ht="15" customHeight="1" x14ac:dyDescent="0.25">
      <c r="B2178" s="1"/>
      <c r="C2178" s="1"/>
      <c r="D2178" s="7"/>
      <c r="E2178" s="7"/>
      <c r="F2178" s="55"/>
    </row>
    <row r="2179" spans="2:6" ht="15" customHeight="1" x14ac:dyDescent="0.25">
      <c r="B2179" s="1"/>
      <c r="C2179" s="1"/>
      <c r="D2179" s="7"/>
      <c r="E2179" s="7"/>
      <c r="F2179" s="55"/>
    </row>
    <row r="2180" spans="2:6" ht="15" customHeight="1" x14ac:dyDescent="0.25">
      <c r="B2180" s="1"/>
      <c r="C2180" s="1"/>
      <c r="D2180" s="7"/>
      <c r="E2180" s="7"/>
      <c r="F2180" s="55"/>
    </row>
    <row r="2181" spans="2:6" ht="15" customHeight="1" x14ac:dyDescent="0.25">
      <c r="B2181" s="1"/>
      <c r="C2181" s="1"/>
      <c r="D2181" s="7"/>
      <c r="E2181" s="7"/>
      <c r="F2181" s="55"/>
    </row>
    <row r="2182" spans="2:6" ht="15" customHeight="1" x14ac:dyDescent="0.25">
      <c r="B2182" s="1"/>
      <c r="C2182" s="1"/>
      <c r="D2182" s="7"/>
      <c r="E2182" s="7"/>
      <c r="F2182" s="55"/>
    </row>
    <row r="2183" spans="2:6" ht="15" customHeight="1" x14ac:dyDescent="0.25">
      <c r="B2183" s="1"/>
      <c r="C2183" s="1"/>
      <c r="D2183" s="7"/>
      <c r="E2183" s="7"/>
      <c r="F2183" s="55"/>
    </row>
    <row r="2184" spans="2:6" ht="15" customHeight="1" x14ac:dyDescent="0.25">
      <c r="B2184" s="1"/>
      <c r="C2184" s="1"/>
      <c r="D2184" s="7"/>
      <c r="E2184" s="7"/>
      <c r="F2184" s="55"/>
    </row>
    <row r="2185" spans="2:6" ht="15" customHeight="1" x14ac:dyDescent="0.25">
      <c r="B2185" s="1"/>
      <c r="C2185" s="1"/>
      <c r="D2185" s="7"/>
      <c r="E2185" s="7"/>
      <c r="F2185" s="55"/>
    </row>
    <row r="2186" spans="2:6" ht="15" customHeight="1" x14ac:dyDescent="0.25">
      <c r="B2186" s="1"/>
      <c r="C2186" s="1"/>
      <c r="D2186" s="7"/>
      <c r="E2186" s="7"/>
      <c r="F2186" s="55"/>
    </row>
    <row r="2187" spans="2:6" ht="15" customHeight="1" x14ac:dyDescent="0.25">
      <c r="B2187" s="1"/>
      <c r="C2187" s="1"/>
      <c r="D2187" s="7"/>
      <c r="E2187" s="7"/>
      <c r="F2187" s="55"/>
    </row>
    <row r="2188" spans="2:6" ht="15" customHeight="1" x14ac:dyDescent="0.25">
      <c r="B2188" s="1"/>
      <c r="C2188" s="1"/>
      <c r="D2188" s="7"/>
      <c r="E2188" s="7"/>
      <c r="F2188" s="55"/>
    </row>
    <row r="2189" spans="2:6" ht="15" customHeight="1" x14ac:dyDescent="0.25">
      <c r="B2189" s="1"/>
      <c r="C2189" s="1"/>
      <c r="D2189" s="7"/>
      <c r="E2189" s="7"/>
      <c r="F2189" s="55"/>
    </row>
    <row r="2190" spans="2:6" ht="15" customHeight="1" x14ac:dyDescent="0.25">
      <c r="B2190" s="1"/>
      <c r="C2190" s="1"/>
      <c r="D2190" s="7"/>
      <c r="E2190" s="7"/>
      <c r="F2190" s="55"/>
    </row>
    <row r="2191" spans="2:6" ht="15" customHeight="1" x14ac:dyDescent="0.25">
      <c r="B2191" s="1"/>
      <c r="C2191" s="1"/>
      <c r="D2191" s="7"/>
      <c r="E2191" s="7"/>
      <c r="F2191" s="55"/>
    </row>
    <row r="2192" spans="2:6" ht="15" customHeight="1" x14ac:dyDescent="0.25">
      <c r="B2192" s="1"/>
      <c r="C2192" s="1"/>
      <c r="D2192" s="7"/>
      <c r="E2192" s="7"/>
      <c r="F2192" s="55"/>
    </row>
    <row r="2193" spans="2:6" ht="15" customHeight="1" x14ac:dyDescent="0.25">
      <c r="B2193" s="1"/>
      <c r="C2193" s="1"/>
      <c r="D2193" s="7"/>
      <c r="E2193" s="7"/>
      <c r="F2193" s="55"/>
    </row>
    <row r="2194" spans="2:6" ht="15" customHeight="1" x14ac:dyDescent="0.25">
      <c r="B2194" s="1"/>
      <c r="C2194" s="1"/>
      <c r="D2194" s="7"/>
      <c r="E2194" s="7"/>
      <c r="F2194" s="55"/>
    </row>
    <row r="2195" spans="2:6" ht="15" customHeight="1" x14ac:dyDescent="0.25">
      <c r="B2195" s="1"/>
      <c r="C2195" s="1"/>
      <c r="D2195" s="7"/>
      <c r="E2195" s="7"/>
      <c r="F2195" s="55"/>
    </row>
    <row r="2196" spans="2:6" ht="15" customHeight="1" x14ac:dyDescent="0.25">
      <c r="B2196" s="1"/>
      <c r="C2196" s="1"/>
      <c r="D2196" s="7"/>
      <c r="E2196" s="7"/>
      <c r="F2196" s="55"/>
    </row>
    <row r="2197" spans="2:6" ht="15" customHeight="1" x14ac:dyDescent="0.25">
      <c r="B2197" s="1"/>
      <c r="C2197" s="1"/>
      <c r="D2197" s="7"/>
      <c r="E2197" s="7"/>
      <c r="F2197" s="55"/>
    </row>
    <row r="2198" spans="2:6" ht="15" customHeight="1" x14ac:dyDescent="0.25">
      <c r="B2198" s="1"/>
      <c r="C2198" s="1"/>
      <c r="D2198" s="7"/>
      <c r="E2198" s="7"/>
      <c r="F2198" s="55"/>
    </row>
    <row r="2199" spans="2:6" ht="15" customHeight="1" x14ac:dyDescent="0.25">
      <c r="B2199" s="1"/>
      <c r="C2199" s="1"/>
      <c r="D2199" s="7"/>
      <c r="E2199" s="7"/>
      <c r="F2199" s="55"/>
    </row>
    <row r="2200" spans="2:6" ht="15" customHeight="1" x14ac:dyDescent="0.25">
      <c r="B2200" s="1"/>
      <c r="C2200" s="1"/>
      <c r="D2200" s="7"/>
      <c r="E2200" s="7"/>
      <c r="F2200" s="55"/>
    </row>
    <row r="2201" spans="2:6" ht="15" customHeight="1" x14ac:dyDescent="0.25">
      <c r="B2201" s="1"/>
      <c r="C2201" s="1"/>
      <c r="D2201" s="7"/>
      <c r="E2201" s="7"/>
      <c r="F2201" s="55"/>
    </row>
    <row r="2202" spans="2:6" ht="15" customHeight="1" x14ac:dyDescent="0.25">
      <c r="B2202" s="1"/>
      <c r="C2202" s="1"/>
      <c r="D2202" s="7"/>
      <c r="E2202" s="7"/>
      <c r="F2202" s="55"/>
    </row>
    <row r="2203" spans="2:6" ht="15" customHeight="1" x14ac:dyDescent="0.25">
      <c r="B2203" s="1"/>
      <c r="C2203" s="1"/>
      <c r="D2203" s="7"/>
      <c r="E2203" s="7"/>
      <c r="F2203" s="55"/>
    </row>
    <row r="2204" spans="2:6" ht="15" customHeight="1" x14ac:dyDescent="0.25">
      <c r="B2204" s="1"/>
      <c r="C2204" s="1"/>
      <c r="D2204" s="7"/>
      <c r="E2204" s="7"/>
      <c r="F2204" s="55"/>
    </row>
    <row r="2205" spans="2:6" ht="15" customHeight="1" x14ac:dyDescent="0.25">
      <c r="B2205" s="1"/>
      <c r="C2205" s="1"/>
      <c r="D2205" s="7"/>
      <c r="E2205" s="7"/>
      <c r="F2205" s="55"/>
    </row>
    <row r="2206" spans="2:6" ht="15" customHeight="1" x14ac:dyDescent="0.25">
      <c r="B2206" s="1"/>
      <c r="C2206" s="1"/>
      <c r="D2206" s="7"/>
      <c r="E2206" s="7"/>
      <c r="F2206" s="55"/>
    </row>
    <row r="2207" spans="2:6" ht="15" customHeight="1" x14ac:dyDescent="0.25">
      <c r="B2207" s="1"/>
      <c r="C2207" s="1"/>
      <c r="D2207" s="7"/>
      <c r="E2207" s="7"/>
      <c r="F2207" s="55"/>
    </row>
    <row r="2208" spans="2:6" ht="15" customHeight="1" x14ac:dyDescent="0.25">
      <c r="B2208" s="1"/>
      <c r="C2208" s="1"/>
      <c r="D2208" s="7"/>
      <c r="E2208" s="7"/>
      <c r="F2208" s="55"/>
    </row>
    <row r="2209" spans="2:6" ht="15" customHeight="1" x14ac:dyDescent="0.25">
      <c r="B2209" s="1"/>
      <c r="C2209" s="1"/>
      <c r="D2209" s="7"/>
      <c r="E2209" s="7"/>
      <c r="F2209" s="55"/>
    </row>
    <row r="2210" spans="2:6" ht="15" customHeight="1" x14ac:dyDescent="0.25">
      <c r="B2210" s="1"/>
      <c r="C2210" s="1"/>
      <c r="D2210" s="7"/>
      <c r="E2210" s="7"/>
      <c r="F2210" s="55"/>
    </row>
    <row r="2211" spans="2:6" ht="15" customHeight="1" x14ac:dyDescent="0.25">
      <c r="B2211" s="1"/>
      <c r="C2211" s="1"/>
      <c r="D2211" s="7"/>
      <c r="E2211" s="7"/>
      <c r="F2211" s="55"/>
    </row>
    <row r="2212" spans="2:6" ht="15" customHeight="1" x14ac:dyDescent="0.25">
      <c r="B2212" s="1"/>
      <c r="C2212" s="1"/>
      <c r="D2212" s="7"/>
      <c r="E2212" s="7"/>
      <c r="F2212" s="55"/>
    </row>
    <row r="2213" spans="2:6" ht="15" customHeight="1" x14ac:dyDescent="0.25">
      <c r="B2213" s="1"/>
      <c r="C2213" s="1"/>
      <c r="D2213" s="7"/>
      <c r="E2213" s="7"/>
      <c r="F2213" s="55"/>
    </row>
    <row r="2214" spans="2:6" ht="15" customHeight="1" x14ac:dyDescent="0.25">
      <c r="B2214" s="1"/>
      <c r="C2214" s="1"/>
      <c r="D2214" s="7"/>
      <c r="E2214" s="7"/>
      <c r="F2214" s="55"/>
    </row>
    <row r="2215" spans="2:6" ht="15" customHeight="1" x14ac:dyDescent="0.25">
      <c r="B2215" s="1"/>
      <c r="C2215" s="1"/>
      <c r="D2215" s="7"/>
      <c r="E2215" s="7"/>
      <c r="F2215" s="55"/>
    </row>
    <row r="2216" spans="2:6" ht="15" customHeight="1" x14ac:dyDescent="0.25">
      <c r="B2216" s="1"/>
      <c r="C2216" s="1"/>
      <c r="D2216" s="7"/>
      <c r="E2216" s="7"/>
      <c r="F2216" s="55"/>
    </row>
    <row r="2217" spans="2:6" ht="15" customHeight="1" x14ac:dyDescent="0.25">
      <c r="B2217" s="1"/>
      <c r="C2217" s="1"/>
      <c r="D2217" s="7"/>
      <c r="E2217" s="7"/>
      <c r="F2217" s="55"/>
    </row>
    <row r="2218" spans="2:6" ht="15" customHeight="1" x14ac:dyDescent="0.25">
      <c r="B2218" s="1"/>
      <c r="C2218" s="1"/>
      <c r="D2218" s="7"/>
      <c r="E2218" s="7"/>
      <c r="F2218" s="55"/>
    </row>
    <row r="2219" spans="2:6" ht="15" customHeight="1" x14ac:dyDescent="0.25">
      <c r="B2219" s="1"/>
      <c r="C2219" s="1"/>
      <c r="D2219" s="7"/>
      <c r="E2219" s="7"/>
      <c r="F2219" s="55"/>
    </row>
    <row r="2220" spans="2:6" ht="15" customHeight="1" x14ac:dyDescent="0.25">
      <c r="B2220" s="1"/>
      <c r="C2220" s="1"/>
      <c r="D2220" s="7"/>
      <c r="E2220" s="7"/>
      <c r="F2220" s="55"/>
    </row>
    <row r="2221" spans="2:6" ht="15" customHeight="1" x14ac:dyDescent="0.25">
      <c r="B2221" s="1"/>
      <c r="C2221" s="1"/>
      <c r="D2221" s="7"/>
      <c r="E2221" s="7"/>
      <c r="F2221" s="55"/>
    </row>
    <row r="2222" spans="2:6" ht="15" customHeight="1" x14ac:dyDescent="0.25">
      <c r="B2222" s="1"/>
      <c r="C2222" s="1"/>
      <c r="D2222" s="7"/>
      <c r="E2222" s="7"/>
      <c r="F2222" s="55"/>
    </row>
    <row r="2223" spans="2:6" ht="15" customHeight="1" x14ac:dyDescent="0.25">
      <c r="B2223" s="1"/>
      <c r="C2223" s="1"/>
      <c r="D2223" s="7"/>
      <c r="E2223" s="7"/>
      <c r="F2223" s="55"/>
    </row>
    <row r="2224" spans="2:6" ht="15" customHeight="1" x14ac:dyDescent="0.25">
      <c r="B2224" s="1"/>
      <c r="C2224" s="1"/>
      <c r="D2224" s="7"/>
      <c r="E2224" s="7"/>
      <c r="F2224" s="55"/>
    </row>
    <row r="2225" spans="2:6" ht="15" customHeight="1" x14ac:dyDescent="0.25">
      <c r="B2225" s="1"/>
      <c r="C2225" s="1"/>
      <c r="D2225" s="7"/>
      <c r="E2225" s="7"/>
      <c r="F2225" s="55"/>
    </row>
    <row r="2226" spans="2:6" ht="15" customHeight="1" x14ac:dyDescent="0.25">
      <c r="B2226" s="1"/>
      <c r="C2226" s="1"/>
      <c r="D2226" s="7"/>
      <c r="E2226" s="7"/>
      <c r="F2226" s="55"/>
    </row>
    <row r="2227" spans="2:6" ht="15" customHeight="1" x14ac:dyDescent="0.25">
      <c r="B2227" s="1"/>
      <c r="C2227" s="1"/>
      <c r="D2227" s="7"/>
      <c r="E2227" s="7"/>
      <c r="F2227" s="55"/>
    </row>
    <row r="2228" spans="2:6" ht="15" customHeight="1" x14ac:dyDescent="0.25">
      <c r="B2228" s="1"/>
      <c r="C2228" s="1"/>
      <c r="D2228" s="7"/>
      <c r="E2228" s="7"/>
      <c r="F2228" s="55"/>
    </row>
    <row r="2229" spans="2:6" ht="15" customHeight="1" x14ac:dyDescent="0.25">
      <c r="B2229" s="1"/>
      <c r="C2229" s="1"/>
      <c r="D2229" s="7"/>
      <c r="E2229" s="7"/>
      <c r="F2229" s="55"/>
    </row>
    <row r="2230" spans="2:6" ht="15" customHeight="1" x14ac:dyDescent="0.25">
      <c r="B2230" s="1"/>
      <c r="C2230" s="1"/>
      <c r="D2230" s="7"/>
      <c r="E2230" s="7"/>
      <c r="F2230" s="55"/>
    </row>
    <row r="2231" spans="2:6" ht="15" customHeight="1" x14ac:dyDescent="0.25">
      <c r="B2231" s="1"/>
      <c r="C2231" s="1"/>
      <c r="D2231" s="7"/>
      <c r="E2231" s="7"/>
      <c r="F2231" s="55"/>
    </row>
    <row r="2232" spans="2:6" ht="15" customHeight="1" x14ac:dyDescent="0.25">
      <c r="B2232" s="1"/>
      <c r="C2232" s="1"/>
      <c r="D2232" s="7"/>
      <c r="E2232" s="7"/>
      <c r="F2232" s="55"/>
    </row>
    <row r="2233" spans="2:6" ht="15" customHeight="1" x14ac:dyDescent="0.25">
      <c r="B2233" s="1"/>
      <c r="C2233" s="1"/>
      <c r="D2233" s="7"/>
      <c r="E2233" s="7"/>
      <c r="F2233" s="55"/>
    </row>
    <row r="2234" spans="2:6" ht="15" customHeight="1" x14ac:dyDescent="0.25">
      <c r="B2234" s="1"/>
      <c r="C2234" s="1"/>
      <c r="D2234" s="7"/>
      <c r="E2234" s="7"/>
      <c r="F2234" s="55"/>
    </row>
    <row r="2235" spans="2:6" ht="15" customHeight="1" x14ac:dyDescent="0.25">
      <c r="B2235" s="1"/>
      <c r="C2235" s="1"/>
      <c r="D2235" s="7"/>
      <c r="E2235" s="7"/>
      <c r="F2235" s="55"/>
    </row>
    <row r="2236" spans="2:6" ht="15" customHeight="1" x14ac:dyDescent="0.25">
      <c r="B2236" s="1"/>
      <c r="C2236" s="1"/>
      <c r="D2236" s="7"/>
      <c r="E2236" s="7"/>
      <c r="F2236" s="55"/>
    </row>
    <row r="2237" spans="2:6" ht="15" customHeight="1" x14ac:dyDescent="0.25">
      <c r="B2237" s="1"/>
      <c r="C2237" s="1"/>
      <c r="D2237" s="7"/>
      <c r="E2237" s="7"/>
      <c r="F2237" s="55"/>
    </row>
    <row r="2238" spans="2:6" ht="15" customHeight="1" x14ac:dyDescent="0.25">
      <c r="B2238" s="1"/>
      <c r="C2238" s="1"/>
      <c r="D2238" s="7"/>
      <c r="E2238" s="7"/>
      <c r="F2238" s="55"/>
    </row>
    <row r="2239" spans="2:6" ht="15" customHeight="1" x14ac:dyDescent="0.25">
      <c r="B2239" s="1"/>
      <c r="C2239" s="1"/>
      <c r="D2239" s="7"/>
      <c r="E2239" s="7"/>
      <c r="F2239" s="55"/>
    </row>
    <row r="2240" spans="2:6" ht="15" customHeight="1" x14ac:dyDescent="0.25">
      <c r="B2240" s="1"/>
      <c r="C2240" s="1"/>
      <c r="D2240" s="7"/>
      <c r="E2240" s="7"/>
      <c r="F2240" s="55"/>
    </row>
    <row r="2241" spans="2:6" ht="15" customHeight="1" x14ac:dyDescent="0.25">
      <c r="B2241" s="1"/>
      <c r="C2241" s="1"/>
      <c r="D2241" s="7"/>
      <c r="E2241" s="7"/>
      <c r="F2241" s="55"/>
    </row>
    <row r="2242" spans="2:6" ht="15" customHeight="1" x14ac:dyDescent="0.25">
      <c r="B2242" s="1"/>
      <c r="C2242" s="1"/>
      <c r="D2242" s="7"/>
      <c r="E2242" s="7"/>
      <c r="F2242" s="55"/>
    </row>
    <row r="2243" spans="2:6" ht="15" customHeight="1" x14ac:dyDescent="0.25">
      <c r="B2243" s="1"/>
      <c r="C2243" s="1"/>
      <c r="D2243" s="7"/>
      <c r="E2243" s="7"/>
      <c r="F2243" s="55"/>
    </row>
    <row r="2244" spans="2:6" ht="15" customHeight="1" x14ac:dyDescent="0.25">
      <c r="B2244" s="1"/>
      <c r="C2244" s="1"/>
      <c r="D2244" s="7"/>
      <c r="E2244" s="7"/>
      <c r="F2244" s="55"/>
    </row>
    <row r="2245" spans="2:6" ht="15" customHeight="1" x14ac:dyDescent="0.25">
      <c r="B2245" s="1"/>
      <c r="C2245" s="1"/>
      <c r="D2245" s="7"/>
      <c r="E2245" s="7"/>
      <c r="F2245" s="55"/>
    </row>
    <row r="2246" spans="2:6" ht="15" customHeight="1" x14ac:dyDescent="0.25">
      <c r="B2246" s="1"/>
      <c r="C2246" s="1"/>
      <c r="D2246" s="7"/>
      <c r="E2246" s="7"/>
      <c r="F2246" s="55"/>
    </row>
    <row r="2247" spans="2:6" ht="15" customHeight="1" x14ac:dyDescent="0.25">
      <c r="B2247" s="1"/>
      <c r="C2247" s="1"/>
      <c r="D2247" s="7"/>
      <c r="E2247" s="7"/>
      <c r="F2247" s="55"/>
    </row>
    <row r="2248" spans="2:6" ht="15" customHeight="1" x14ac:dyDescent="0.25">
      <c r="B2248" s="1"/>
      <c r="C2248" s="1"/>
      <c r="D2248" s="7"/>
      <c r="E2248" s="7"/>
      <c r="F2248" s="55"/>
    </row>
    <row r="2249" spans="2:6" ht="15" customHeight="1" x14ac:dyDescent="0.25">
      <c r="B2249" s="1"/>
      <c r="C2249" s="1"/>
      <c r="D2249" s="7"/>
      <c r="E2249" s="7"/>
      <c r="F2249" s="55"/>
    </row>
    <row r="2250" spans="2:6" ht="15" customHeight="1" x14ac:dyDescent="0.25">
      <c r="B2250" s="1"/>
      <c r="C2250" s="1"/>
      <c r="D2250" s="7"/>
      <c r="E2250" s="7"/>
      <c r="F2250" s="55"/>
    </row>
    <row r="2251" spans="2:6" ht="15" customHeight="1" x14ac:dyDescent="0.25">
      <c r="B2251" s="1"/>
      <c r="C2251" s="1"/>
      <c r="D2251" s="7"/>
      <c r="E2251" s="7"/>
      <c r="F2251" s="55"/>
    </row>
    <row r="2252" spans="2:6" ht="15" customHeight="1" x14ac:dyDescent="0.25">
      <c r="B2252" s="1"/>
      <c r="C2252" s="1"/>
      <c r="D2252" s="7"/>
      <c r="E2252" s="7"/>
      <c r="F2252" s="55"/>
    </row>
    <row r="2253" spans="2:6" ht="15" customHeight="1" x14ac:dyDescent="0.25">
      <c r="B2253" s="1"/>
      <c r="C2253" s="1"/>
      <c r="D2253" s="7"/>
      <c r="E2253" s="7"/>
      <c r="F2253" s="55"/>
    </row>
    <row r="2254" spans="2:6" ht="15" customHeight="1" x14ac:dyDescent="0.25">
      <c r="B2254" s="1"/>
      <c r="C2254" s="1"/>
      <c r="D2254" s="7"/>
      <c r="E2254" s="7"/>
      <c r="F2254" s="55"/>
    </row>
    <row r="2255" spans="2:6" ht="15" customHeight="1" x14ac:dyDescent="0.25">
      <c r="B2255" s="1"/>
      <c r="C2255" s="1"/>
      <c r="D2255" s="7"/>
      <c r="E2255" s="7"/>
      <c r="F2255" s="55"/>
    </row>
    <row r="2256" spans="2:6" ht="15" customHeight="1" x14ac:dyDescent="0.25">
      <c r="B2256" s="1"/>
      <c r="C2256" s="1"/>
      <c r="D2256" s="7"/>
      <c r="E2256" s="7"/>
      <c r="F2256" s="55"/>
    </row>
    <row r="2257" spans="2:6" ht="15" customHeight="1" x14ac:dyDescent="0.25">
      <c r="B2257" s="1"/>
      <c r="C2257" s="1"/>
      <c r="D2257" s="7"/>
      <c r="E2257" s="7"/>
      <c r="F2257" s="55"/>
    </row>
    <row r="2258" spans="2:6" ht="15" customHeight="1" x14ac:dyDescent="0.25">
      <c r="B2258" s="1"/>
      <c r="C2258" s="1"/>
      <c r="D2258" s="7"/>
      <c r="E2258" s="7"/>
      <c r="F2258" s="55"/>
    </row>
    <row r="2259" spans="2:6" ht="15" customHeight="1" x14ac:dyDescent="0.25">
      <c r="B2259" s="1"/>
      <c r="C2259" s="1"/>
      <c r="D2259" s="7"/>
      <c r="E2259" s="7"/>
      <c r="F2259" s="55"/>
    </row>
    <row r="2260" spans="2:6" ht="15" customHeight="1" x14ac:dyDescent="0.25">
      <c r="B2260" s="1"/>
      <c r="C2260" s="1"/>
      <c r="D2260" s="7"/>
      <c r="E2260" s="7"/>
      <c r="F2260" s="55"/>
    </row>
    <row r="2261" spans="2:6" ht="15" customHeight="1" x14ac:dyDescent="0.25">
      <c r="B2261" s="1"/>
      <c r="C2261" s="1"/>
      <c r="D2261" s="7"/>
      <c r="E2261" s="7"/>
      <c r="F2261" s="55"/>
    </row>
    <row r="2262" spans="2:6" ht="15" customHeight="1" x14ac:dyDescent="0.25">
      <c r="B2262" s="1"/>
      <c r="C2262" s="1"/>
      <c r="D2262" s="7"/>
      <c r="E2262" s="7"/>
      <c r="F2262" s="55"/>
    </row>
    <row r="2263" spans="2:6" ht="15" customHeight="1" x14ac:dyDescent="0.25">
      <c r="B2263" s="1"/>
      <c r="C2263" s="1"/>
      <c r="D2263" s="7"/>
      <c r="E2263" s="7"/>
      <c r="F2263" s="55"/>
    </row>
    <row r="2264" spans="2:6" ht="15" customHeight="1" x14ac:dyDescent="0.25">
      <c r="B2264" s="1"/>
      <c r="C2264" s="1"/>
      <c r="D2264" s="7"/>
      <c r="E2264" s="7"/>
      <c r="F2264" s="55"/>
    </row>
    <row r="2265" spans="2:6" ht="15" customHeight="1" x14ac:dyDescent="0.25">
      <c r="B2265" s="1"/>
      <c r="C2265" s="1"/>
      <c r="D2265" s="7"/>
      <c r="E2265" s="7"/>
      <c r="F2265" s="55"/>
    </row>
    <row r="2266" spans="2:6" ht="15" customHeight="1" x14ac:dyDescent="0.25">
      <c r="B2266" s="1"/>
      <c r="C2266" s="1"/>
      <c r="D2266" s="7"/>
      <c r="E2266" s="7"/>
      <c r="F2266" s="55"/>
    </row>
    <row r="2267" spans="2:6" ht="15" customHeight="1" x14ac:dyDescent="0.25">
      <c r="B2267" s="1"/>
      <c r="C2267" s="1"/>
      <c r="D2267" s="7"/>
      <c r="E2267" s="7"/>
      <c r="F2267" s="55"/>
    </row>
    <row r="2268" spans="2:6" ht="15" customHeight="1" x14ac:dyDescent="0.25">
      <c r="B2268" s="1"/>
      <c r="C2268" s="1"/>
      <c r="D2268" s="7"/>
      <c r="E2268" s="7"/>
      <c r="F2268" s="55"/>
    </row>
    <row r="2269" spans="2:6" ht="15" customHeight="1" x14ac:dyDescent="0.25">
      <c r="B2269" s="1"/>
      <c r="C2269" s="1"/>
      <c r="D2269" s="7"/>
      <c r="E2269" s="7"/>
      <c r="F2269" s="55"/>
    </row>
    <row r="2270" spans="2:6" ht="15" customHeight="1" x14ac:dyDescent="0.25">
      <c r="B2270" s="1"/>
      <c r="C2270" s="1"/>
      <c r="D2270" s="7"/>
      <c r="E2270" s="7"/>
      <c r="F2270" s="55"/>
    </row>
    <row r="2271" spans="2:6" ht="15" customHeight="1" x14ac:dyDescent="0.25">
      <c r="B2271" s="1"/>
      <c r="C2271" s="1"/>
      <c r="D2271" s="7"/>
      <c r="E2271" s="7"/>
      <c r="F2271" s="55"/>
    </row>
    <row r="2272" spans="2:6" ht="15" customHeight="1" x14ac:dyDescent="0.25">
      <c r="B2272" s="1"/>
      <c r="C2272" s="1"/>
      <c r="D2272" s="7"/>
      <c r="E2272" s="7"/>
      <c r="F2272" s="55"/>
    </row>
    <row r="2273" spans="2:6" ht="15" customHeight="1" x14ac:dyDescent="0.25">
      <c r="B2273" s="1"/>
      <c r="C2273" s="1"/>
      <c r="D2273" s="7"/>
      <c r="E2273" s="7"/>
      <c r="F2273" s="55"/>
    </row>
    <row r="2274" spans="2:6" ht="15" customHeight="1" x14ac:dyDescent="0.25">
      <c r="B2274" s="1"/>
      <c r="C2274" s="1"/>
      <c r="D2274" s="7"/>
      <c r="E2274" s="7"/>
      <c r="F2274" s="55"/>
    </row>
    <row r="2275" spans="2:6" ht="15" customHeight="1" x14ac:dyDescent="0.25">
      <c r="B2275" s="1"/>
      <c r="C2275" s="1"/>
      <c r="D2275" s="7"/>
      <c r="E2275" s="7"/>
      <c r="F2275" s="55"/>
    </row>
    <row r="2276" spans="2:6" ht="15" customHeight="1" x14ac:dyDescent="0.25">
      <c r="B2276" s="1"/>
      <c r="C2276" s="1"/>
      <c r="D2276" s="7"/>
      <c r="E2276" s="7"/>
      <c r="F2276" s="55"/>
    </row>
    <row r="2277" spans="2:6" ht="15" customHeight="1" x14ac:dyDescent="0.25">
      <c r="B2277" s="1"/>
      <c r="C2277" s="1"/>
      <c r="D2277" s="7"/>
      <c r="E2277" s="7"/>
      <c r="F2277" s="55"/>
    </row>
    <row r="2278" spans="2:6" ht="15" customHeight="1" x14ac:dyDescent="0.25">
      <c r="B2278" s="1"/>
      <c r="C2278" s="1"/>
      <c r="D2278" s="7"/>
      <c r="E2278" s="7"/>
      <c r="F2278" s="55"/>
    </row>
    <row r="2279" spans="2:6" ht="15" customHeight="1" x14ac:dyDescent="0.25">
      <c r="B2279" s="1"/>
      <c r="C2279" s="1"/>
      <c r="D2279" s="7"/>
      <c r="E2279" s="7"/>
      <c r="F2279" s="55"/>
    </row>
    <row r="2280" spans="2:6" ht="15" customHeight="1" x14ac:dyDescent="0.25">
      <c r="B2280" s="1"/>
      <c r="C2280" s="1"/>
      <c r="D2280" s="7"/>
      <c r="E2280" s="7"/>
      <c r="F2280" s="55"/>
    </row>
    <row r="2281" spans="2:6" ht="15" customHeight="1" x14ac:dyDescent="0.25">
      <c r="B2281" s="1"/>
      <c r="C2281" s="1"/>
      <c r="D2281" s="7"/>
      <c r="E2281" s="7"/>
      <c r="F2281" s="55"/>
    </row>
    <row r="2282" spans="2:6" ht="15" customHeight="1" x14ac:dyDescent="0.25">
      <c r="B2282" s="1"/>
      <c r="C2282" s="1"/>
      <c r="D2282" s="7"/>
      <c r="E2282" s="7"/>
      <c r="F2282" s="55"/>
    </row>
    <row r="2283" spans="2:6" ht="15" customHeight="1" x14ac:dyDescent="0.25">
      <c r="B2283" s="1"/>
      <c r="C2283" s="1"/>
      <c r="D2283" s="7"/>
      <c r="E2283" s="7"/>
      <c r="F2283" s="55"/>
    </row>
    <row r="2284" spans="2:6" ht="15" customHeight="1" x14ac:dyDescent="0.25">
      <c r="B2284" s="1"/>
      <c r="C2284" s="1"/>
      <c r="D2284" s="7"/>
      <c r="E2284" s="7"/>
      <c r="F2284" s="55"/>
    </row>
    <row r="2285" spans="2:6" ht="15" customHeight="1" x14ac:dyDescent="0.25">
      <c r="B2285" s="1"/>
      <c r="C2285" s="1"/>
      <c r="D2285" s="7"/>
      <c r="E2285" s="7"/>
      <c r="F2285" s="55"/>
    </row>
    <row r="2286" spans="2:6" ht="15" customHeight="1" x14ac:dyDescent="0.25">
      <c r="B2286" s="1"/>
      <c r="C2286" s="1"/>
      <c r="D2286" s="7"/>
      <c r="E2286" s="7"/>
      <c r="F2286" s="55"/>
    </row>
    <row r="2287" spans="2:6" ht="15" customHeight="1" x14ac:dyDescent="0.25">
      <c r="B2287" s="1"/>
      <c r="C2287" s="1"/>
      <c r="D2287" s="7"/>
      <c r="E2287" s="7"/>
      <c r="F2287" s="55"/>
    </row>
    <row r="2288" spans="2:6" ht="15" customHeight="1" x14ac:dyDescent="0.25">
      <c r="B2288" s="1"/>
      <c r="C2288" s="1"/>
      <c r="D2288" s="7"/>
      <c r="E2288" s="7"/>
      <c r="F2288" s="55"/>
    </row>
    <row r="2289" spans="2:6" ht="15" customHeight="1" x14ac:dyDescent="0.25">
      <c r="B2289" s="1"/>
      <c r="C2289" s="1"/>
      <c r="D2289" s="7"/>
      <c r="E2289" s="7"/>
      <c r="F2289" s="55"/>
    </row>
    <row r="2290" spans="2:6" ht="15" customHeight="1" x14ac:dyDescent="0.25">
      <c r="B2290" s="1"/>
      <c r="C2290" s="1"/>
      <c r="D2290" s="7"/>
      <c r="E2290" s="7"/>
      <c r="F2290" s="55"/>
    </row>
    <row r="2291" spans="2:6" ht="15" customHeight="1" x14ac:dyDescent="0.25">
      <c r="B2291" s="1"/>
      <c r="C2291" s="1"/>
      <c r="D2291" s="7"/>
      <c r="E2291" s="7"/>
      <c r="F2291" s="55"/>
    </row>
    <row r="2292" spans="2:6" ht="15" customHeight="1" x14ac:dyDescent="0.25">
      <c r="B2292" s="1"/>
      <c r="C2292" s="1"/>
      <c r="D2292" s="7"/>
      <c r="E2292" s="7"/>
      <c r="F2292" s="55"/>
    </row>
    <row r="2293" spans="2:6" ht="15" customHeight="1" x14ac:dyDescent="0.25">
      <c r="B2293" s="1"/>
      <c r="C2293" s="1"/>
      <c r="D2293" s="7"/>
      <c r="E2293" s="7"/>
      <c r="F2293" s="55"/>
    </row>
    <row r="2294" spans="2:6" ht="15" customHeight="1" x14ac:dyDescent="0.25">
      <c r="B2294" s="1"/>
      <c r="C2294" s="1"/>
      <c r="D2294" s="7"/>
      <c r="E2294" s="7"/>
      <c r="F2294" s="55"/>
    </row>
    <row r="2295" spans="2:6" ht="15" customHeight="1" x14ac:dyDescent="0.25">
      <c r="B2295" s="1"/>
      <c r="C2295" s="1"/>
      <c r="D2295" s="7"/>
      <c r="E2295" s="7"/>
      <c r="F2295" s="55"/>
    </row>
    <row r="2296" spans="2:6" ht="15" customHeight="1" x14ac:dyDescent="0.25">
      <c r="B2296" s="1"/>
      <c r="C2296" s="1"/>
      <c r="D2296" s="7"/>
      <c r="E2296" s="7"/>
      <c r="F2296" s="55"/>
    </row>
    <row r="2297" spans="2:6" ht="15" customHeight="1" x14ac:dyDescent="0.25">
      <c r="B2297" s="1"/>
      <c r="C2297" s="1"/>
      <c r="D2297" s="7"/>
      <c r="E2297" s="7"/>
      <c r="F2297" s="55"/>
    </row>
    <row r="2298" spans="2:6" ht="15" customHeight="1" x14ac:dyDescent="0.25">
      <c r="B2298" s="1"/>
      <c r="C2298" s="1"/>
      <c r="D2298" s="7"/>
      <c r="E2298" s="7"/>
      <c r="F2298" s="55"/>
    </row>
    <row r="2299" spans="2:6" ht="15" customHeight="1" x14ac:dyDescent="0.25">
      <c r="B2299" s="1"/>
      <c r="C2299" s="1"/>
      <c r="D2299" s="7"/>
      <c r="E2299" s="7"/>
      <c r="F2299" s="55"/>
    </row>
    <row r="2300" spans="2:6" ht="15" customHeight="1" x14ac:dyDescent="0.25">
      <c r="B2300" s="1"/>
      <c r="C2300" s="1"/>
      <c r="D2300" s="7"/>
      <c r="E2300" s="7"/>
      <c r="F2300" s="55"/>
    </row>
    <row r="2301" spans="2:6" ht="15" customHeight="1" x14ac:dyDescent="0.25">
      <c r="B2301" s="1"/>
      <c r="C2301" s="1"/>
      <c r="D2301" s="7"/>
      <c r="E2301" s="7"/>
      <c r="F2301" s="55"/>
    </row>
    <row r="2302" spans="2:6" ht="15" customHeight="1" x14ac:dyDescent="0.25">
      <c r="B2302" s="1"/>
      <c r="C2302" s="1"/>
      <c r="D2302" s="7"/>
      <c r="E2302" s="7"/>
      <c r="F2302" s="55"/>
    </row>
    <row r="2303" spans="2:6" ht="15" customHeight="1" x14ac:dyDescent="0.25">
      <c r="B2303" s="1"/>
      <c r="C2303" s="1"/>
      <c r="D2303" s="7"/>
      <c r="E2303" s="7"/>
      <c r="F2303" s="55"/>
    </row>
    <row r="2304" spans="2:6" ht="15" customHeight="1" x14ac:dyDescent="0.25">
      <c r="B2304" s="1"/>
      <c r="C2304" s="1"/>
      <c r="D2304" s="7"/>
      <c r="E2304" s="7"/>
      <c r="F2304" s="55"/>
    </row>
    <row r="2305" spans="2:6" ht="15" customHeight="1" x14ac:dyDescent="0.25">
      <c r="B2305" s="1"/>
      <c r="C2305" s="1"/>
      <c r="D2305" s="7"/>
      <c r="E2305" s="7"/>
      <c r="F2305" s="55"/>
    </row>
    <row r="2306" spans="2:6" ht="15" customHeight="1" x14ac:dyDescent="0.25">
      <c r="B2306" s="1"/>
      <c r="C2306" s="1"/>
      <c r="D2306" s="7"/>
      <c r="E2306" s="7"/>
      <c r="F2306" s="55"/>
    </row>
    <row r="2307" spans="2:6" ht="15" customHeight="1" x14ac:dyDescent="0.25">
      <c r="B2307" s="1"/>
      <c r="C2307" s="1"/>
      <c r="D2307" s="7"/>
      <c r="E2307" s="7"/>
      <c r="F2307" s="55"/>
    </row>
    <row r="2308" spans="2:6" ht="15" customHeight="1" x14ac:dyDescent="0.25">
      <c r="B2308" s="1"/>
      <c r="C2308" s="1"/>
      <c r="D2308" s="7"/>
      <c r="E2308" s="7"/>
      <c r="F2308" s="55"/>
    </row>
    <row r="2309" spans="2:6" ht="15" customHeight="1" x14ac:dyDescent="0.25">
      <c r="B2309" s="1"/>
      <c r="C2309" s="1"/>
      <c r="D2309" s="7"/>
      <c r="E2309" s="7"/>
      <c r="F2309" s="55"/>
    </row>
    <row r="2310" spans="2:6" ht="15" customHeight="1" x14ac:dyDescent="0.25">
      <c r="B2310" s="1"/>
      <c r="C2310" s="1"/>
      <c r="D2310" s="7"/>
      <c r="E2310" s="7"/>
      <c r="F2310" s="55"/>
    </row>
    <row r="2311" spans="2:6" ht="15" customHeight="1" x14ac:dyDescent="0.25">
      <c r="B2311" s="1"/>
      <c r="C2311" s="1"/>
      <c r="D2311" s="7"/>
      <c r="E2311" s="7"/>
      <c r="F2311" s="55"/>
    </row>
    <row r="2312" spans="2:6" ht="15" customHeight="1" x14ac:dyDescent="0.25">
      <c r="B2312" s="1"/>
      <c r="C2312" s="1"/>
      <c r="D2312" s="7"/>
      <c r="E2312" s="7"/>
      <c r="F2312" s="55"/>
    </row>
    <row r="2313" spans="2:6" ht="15" customHeight="1" x14ac:dyDescent="0.25">
      <c r="B2313" s="1"/>
      <c r="C2313" s="1"/>
      <c r="D2313" s="7"/>
      <c r="E2313" s="7"/>
      <c r="F2313" s="55"/>
    </row>
    <row r="2314" spans="2:6" ht="15" customHeight="1" x14ac:dyDescent="0.25">
      <c r="B2314" s="1"/>
      <c r="C2314" s="1"/>
      <c r="D2314" s="7"/>
      <c r="E2314" s="7"/>
      <c r="F2314" s="55"/>
    </row>
    <row r="2315" spans="2:6" ht="15" customHeight="1" x14ac:dyDescent="0.25">
      <c r="B2315" s="1"/>
      <c r="C2315" s="1"/>
      <c r="D2315" s="7"/>
      <c r="E2315" s="7"/>
      <c r="F2315" s="55"/>
    </row>
    <row r="2316" spans="2:6" ht="15" customHeight="1" x14ac:dyDescent="0.25">
      <c r="B2316" s="1"/>
      <c r="C2316" s="1"/>
      <c r="D2316" s="7"/>
      <c r="E2316" s="7"/>
      <c r="F2316" s="55"/>
    </row>
    <row r="2317" spans="2:6" ht="15" customHeight="1" x14ac:dyDescent="0.25">
      <c r="B2317" s="1"/>
      <c r="C2317" s="1"/>
      <c r="D2317" s="7"/>
      <c r="E2317" s="7"/>
      <c r="F2317" s="55"/>
    </row>
    <row r="2318" spans="2:6" ht="15" customHeight="1" x14ac:dyDescent="0.25">
      <c r="B2318" s="1"/>
      <c r="C2318" s="1"/>
      <c r="D2318" s="7"/>
      <c r="E2318" s="7"/>
      <c r="F2318" s="55"/>
    </row>
    <row r="2319" spans="2:6" ht="15" customHeight="1" x14ac:dyDescent="0.25">
      <c r="B2319" s="1"/>
      <c r="C2319" s="1"/>
      <c r="D2319" s="7"/>
      <c r="E2319" s="7"/>
      <c r="F2319" s="55"/>
    </row>
    <row r="2320" spans="2:6" ht="15" customHeight="1" x14ac:dyDescent="0.25">
      <c r="B2320" s="1"/>
      <c r="C2320" s="1"/>
      <c r="D2320" s="7"/>
      <c r="E2320" s="7"/>
      <c r="F2320" s="55"/>
    </row>
    <row r="2321" spans="2:6" ht="15" customHeight="1" x14ac:dyDescent="0.25">
      <c r="B2321" s="1"/>
      <c r="C2321" s="1"/>
      <c r="D2321" s="7"/>
      <c r="E2321" s="7"/>
      <c r="F2321" s="55"/>
    </row>
    <row r="2322" spans="2:6" ht="15" customHeight="1" x14ac:dyDescent="0.25">
      <c r="B2322" s="1"/>
      <c r="C2322" s="1"/>
      <c r="D2322" s="7"/>
      <c r="E2322" s="7"/>
      <c r="F2322" s="55"/>
    </row>
    <row r="2323" spans="2:6" ht="15" customHeight="1" x14ac:dyDescent="0.25">
      <c r="B2323" s="1"/>
      <c r="C2323" s="1"/>
      <c r="D2323" s="7"/>
      <c r="E2323" s="7"/>
      <c r="F2323" s="55"/>
    </row>
    <row r="2324" spans="2:6" ht="15" customHeight="1" x14ac:dyDescent="0.25">
      <c r="B2324" s="1"/>
      <c r="C2324" s="1"/>
      <c r="D2324" s="7"/>
      <c r="E2324" s="7"/>
      <c r="F2324" s="55"/>
    </row>
    <row r="2325" spans="2:6" ht="15" customHeight="1" x14ac:dyDescent="0.25">
      <c r="B2325" s="1"/>
      <c r="C2325" s="1"/>
      <c r="D2325" s="7"/>
      <c r="E2325" s="7"/>
      <c r="F2325" s="55"/>
    </row>
    <row r="2326" spans="2:6" ht="15" customHeight="1" x14ac:dyDescent="0.25">
      <c r="B2326" s="1"/>
      <c r="C2326" s="1"/>
      <c r="D2326" s="7"/>
      <c r="E2326" s="7"/>
      <c r="F2326" s="55"/>
    </row>
    <row r="2327" spans="2:6" ht="15" customHeight="1" x14ac:dyDescent="0.25">
      <c r="B2327" s="1"/>
      <c r="C2327" s="1"/>
      <c r="D2327" s="7"/>
      <c r="E2327" s="7"/>
      <c r="F2327" s="55"/>
    </row>
    <row r="2328" spans="2:6" ht="15" customHeight="1" x14ac:dyDescent="0.25">
      <c r="B2328" s="1"/>
      <c r="C2328" s="1"/>
      <c r="D2328" s="7"/>
      <c r="E2328" s="7"/>
      <c r="F2328" s="55"/>
    </row>
    <row r="2329" spans="2:6" ht="15" customHeight="1" x14ac:dyDescent="0.25">
      <c r="B2329" s="1"/>
      <c r="C2329" s="1"/>
      <c r="D2329" s="7"/>
      <c r="E2329" s="7"/>
      <c r="F2329" s="55"/>
    </row>
    <row r="2330" spans="2:6" ht="15" customHeight="1" x14ac:dyDescent="0.25">
      <c r="B2330" s="1"/>
      <c r="C2330" s="1"/>
      <c r="D2330" s="7"/>
      <c r="E2330" s="7"/>
      <c r="F2330" s="55"/>
    </row>
    <row r="2331" spans="2:6" ht="15" customHeight="1" x14ac:dyDescent="0.25">
      <c r="B2331" s="1"/>
      <c r="C2331" s="1"/>
      <c r="D2331" s="7"/>
      <c r="E2331" s="7"/>
      <c r="F2331" s="55"/>
    </row>
    <row r="2332" spans="2:6" ht="15" customHeight="1" x14ac:dyDescent="0.25">
      <c r="B2332" s="1"/>
      <c r="C2332" s="1"/>
      <c r="D2332" s="7"/>
      <c r="E2332" s="7"/>
      <c r="F2332" s="55"/>
    </row>
    <row r="2333" spans="2:6" ht="15" customHeight="1" x14ac:dyDescent="0.25">
      <c r="B2333" s="1"/>
      <c r="C2333" s="1"/>
      <c r="D2333" s="7"/>
      <c r="E2333" s="7"/>
      <c r="F2333" s="55"/>
    </row>
    <row r="2334" spans="2:6" ht="15" customHeight="1" x14ac:dyDescent="0.25">
      <c r="B2334" s="1"/>
      <c r="C2334" s="1"/>
      <c r="D2334" s="7"/>
      <c r="E2334" s="7"/>
      <c r="F2334" s="55"/>
    </row>
    <row r="2335" spans="2:6" ht="15" customHeight="1" x14ac:dyDescent="0.25">
      <c r="B2335" s="1"/>
      <c r="C2335" s="1"/>
      <c r="D2335" s="7"/>
      <c r="E2335" s="7"/>
      <c r="F2335" s="55"/>
    </row>
    <row r="2336" spans="2:6" ht="15" customHeight="1" x14ac:dyDescent="0.25">
      <c r="B2336" s="1"/>
      <c r="C2336" s="1"/>
      <c r="D2336" s="7"/>
      <c r="E2336" s="7"/>
      <c r="F2336" s="55"/>
    </row>
    <row r="2337" spans="2:6" ht="15" customHeight="1" x14ac:dyDescent="0.25">
      <c r="B2337" s="1"/>
      <c r="C2337" s="1"/>
      <c r="D2337" s="7"/>
      <c r="E2337" s="7"/>
      <c r="F2337" s="55"/>
    </row>
    <row r="2338" spans="2:6" ht="15" customHeight="1" x14ac:dyDescent="0.25">
      <c r="B2338" s="1"/>
      <c r="C2338" s="1"/>
      <c r="D2338" s="7"/>
      <c r="E2338" s="7"/>
      <c r="F2338" s="55"/>
    </row>
    <row r="2339" spans="2:6" ht="15" customHeight="1" x14ac:dyDescent="0.25">
      <c r="B2339" s="1"/>
      <c r="C2339" s="1"/>
      <c r="D2339" s="7"/>
      <c r="E2339" s="7"/>
      <c r="F2339" s="55"/>
    </row>
    <row r="2340" spans="2:6" ht="15" customHeight="1" x14ac:dyDescent="0.25">
      <c r="B2340" s="1"/>
      <c r="C2340" s="1"/>
      <c r="D2340" s="7"/>
      <c r="E2340" s="7"/>
      <c r="F2340" s="55"/>
    </row>
    <row r="2341" spans="2:6" ht="15" customHeight="1" x14ac:dyDescent="0.25">
      <c r="B2341" s="1"/>
      <c r="C2341" s="1"/>
      <c r="D2341" s="7"/>
      <c r="E2341" s="7"/>
      <c r="F2341" s="55"/>
    </row>
    <row r="2342" spans="2:6" ht="15" customHeight="1" x14ac:dyDescent="0.25">
      <c r="B2342" s="1"/>
      <c r="C2342" s="1"/>
      <c r="D2342" s="7"/>
      <c r="E2342" s="7"/>
      <c r="F2342" s="55"/>
    </row>
    <row r="2343" spans="2:6" ht="15" customHeight="1" x14ac:dyDescent="0.25">
      <c r="B2343" s="1"/>
      <c r="C2343" s="1"/>
      <c r="D2343" s="7"/>
      <c r="E2343" s="7"/>
      <c r="F2343" s="55"/>
    </row>
    <row r="2344" spans="2:6" ht="15" customHeight="1" x14ac:dyDescent="0.25">
      <c r="B2344" s="1"/>
      <c r="C2344" s="1"/>
      <c r="D2344" s="7"/>
      <c r="E2344" s="7"/>
      <c r="F2344" s="55"/>
    </row>
    <row r="2345" spans="2:6" ht="15" customHeight="1" x14ac:dyDescent="0.25">
      <c r="B2345" s="1"/>
      <c r="C2345" s="1"/>
      <c r="D2345" s="7"/>
      <c r="E2345" s="7"/>
      <c r="F2345" s="55"/>
    </row>
    <row r="2346" spans="2:6" ht="15" customHeight="1" x14ac:dyDescent="0.25">
      <c r="B2346" s="1"/>
      <c r="C2346" s="1"/>
      <c r="D2346" s="7"/>
      <c r="E2346" s="7"/>
      <c r="F2346" s="55"/>
    </row>
    <row r="2347" spans="2:6" ht="15" customHeight="1" x14ac:dyDescent="0.25">
      <c r="B2347" s="1"/>
      <c r="C2347" s="1"/>
      <c r="D2347" s="7"/>
      <c r="E2347" s="7"/>
      <c r="F2347" s="55"/>
    </row>
    <row r="2348" spans="2:6" ht="15" customHeight="1" x14ac:dyDescent="0.25">
      <c r="B2348" s="1"/>
      <c r="C2348" s="1"/>
      <c r="D2348" s="7"/>
      <c r="E2348" s="7"/>
      <c r="F2348" s="55"/>
    </row>
    <row r="2349" spans="2:6" ht="15" customHeight="1" x14ac:dyDescent="0.25">
      <c r="B2349" s="1"/>
      <c r="C2349" s="1"/>
      <c r="D2349" s="7"/>
      <c r="E2349" s="7"/>
      <c r="F2349" s="55"/>
    </row>
    <row r="2350" spans="2:6" ht="15" customHeight="1" x14ac:dyDescent="0.25">
      <c r="B2350" s="1"/>
      <c r="C2350" s="1"/>
      <c r="D2350" s="7"/>
      <c r="E2350" s="7"/>
      <c r="F2350" s="55"/>
    </row>
    <row r="2351" spans="2:6" ht="15" customHeight="1" x14ac:dyDescent="0.25">
      <c r="B2351" s="1"/>
      <c r="C2351" s="1"/>
      <c r="D2351" s="7"/>
      <c r="E2351" s="7"/>
      <c r="F2351" s="55"/>
    </row>
    <row r="2352" spans="2:6" ht="15" customHeight="1" x14ac:dyDescent="0.25">
      <c r="B2352" s="1"/>
      <c r="C2352" s="1"/>
      <c r="D2352" s="7"/>
      <c r="E2352" s="7"/>
      <c r="F2352" s="55"/>
    </row>
    <row r="2353" spans="2:6" ht="15" customHeight="1" x14ac:dyDescent="0.25">
      <c r="B2353" s="1"/>
      <c r="C2353" s="1"/>
      <c r="D2353" s="7"/>
      <c r="E2353" s="7"/>
      <c r="F2353" s="55"/>
    </row>
    <row r="2354" spans="2:6" ht="15" customHeight="1" x14ac:dyDescent="0.25">
      <c r="B2354" s="1"/>
      <c r="C2354" s="1"/>
      <c r="D2354" s="7"/>
      <c r="E2354" s="7"/>
      <c r="F2354" s="55"/>
    </row>
    <row r="2355" spans="2:6" ht="15" customHeight="1" x14ac:dyDescent="0.25">
      <c r="B2355" s="1"/>
      <c r="C2355" s="1"/>
      <c r="D2355" s="7"/>
      <c r="E2355" s="7"/>
      <c r="F2355" s="55"/>
    </row>
    <row r="2356" spans="2:6" ht="15" customHeight="1" x14ac:dyDescent="0.25">
      <c r="B2356" s="1"/>
      <c r="C2356" s="1"/>
      <c r="D2356" s="7"/>
      <c r="E2356" s="7"/>
      <c r="F2356" s="55"/>
    </row>
    <row r="2357" spans="2:6" ht="15" customHeight="1" x14ac:dyDescent="0.25">
      <c r="B2357" s="1"/>
      <c r="C2357" s="1"/>
      <c r="D2357" s="7"/>
      <c r="E2357" s="7"/>
      <c r="F2357" s="55"/>
    </row>
    <row r="2358" spans="2:6" ht="15" customHeight="1" x14ac:dyDescent="0.25">
      <c r="B2358" s="1"/>
      <c r="C2358" s="1"/>
      <c r="D2358" s="7"/>
      <c r="E2358" s="7"/>
      <c r="F2358" s="55"/>
    </row>
    <row r="2359" spans="2:6" ht="15" customHeight="1" x14ac:dyDescent="0.25">
      <c r="B2359" s="1"/>
      <c r="C2359" s="1"/>
      <c r="D2359" s="7"/>
      <c r="E2359" s="7"/>
      <c r="F2359" s="55"/>
    </row>
    <row r="2360" spans="2:6" ht="15" customHeight="1" x14ac:dyDescent="0.25">
      <c r="B2360" s="1"/>
      <c r="C2360" s="1"/>
      <c r="D2360" s="7"/>
      <c r="E2360" s="7"/>
      <c r="F2360" s="55"/>
    </row>
    <row r="2361" spans="2:6" ht="15" customHeight="1" x14ac:dyDescent="0.25">
      <c r="B2361" s="1"/>
      <c r="C2361" s="1"/>
      <c r="D2361" s="7"/>
      <c r="E2361" s="7"/>
      <c r="F2361" s="55"/>
    </row>
    <row r="2362" spans="2:6" ht="15" customHeight="1" x14ac:dyDescent="0.25">
      <c r="B2362" s="1"/>
      <c r="C2362" s="1"/>
      <c r="D2362" s="7"/>
      <c r="E2362" s="7"/>
      <c r="F2362" s="55"/>
    </row>
    <row r="2363" spans="2:6" ht="15" customHeight="1" x14ac:dyDescent="0.25">
      <c r="B2363" s="1"/>
      <c r="C2363" s="1"/>
      <c r="D2363" s="7"/>
      <c r="E2363" s="7"/>
      <c r="F2363" s="55"/>
    </row>
    <row r="2364" spans="2:6" ht="15" customHeight="1" x14ac:dyDescent="0.25">
      <c r="B2364" s="1"/>
      <c r="C2364" s="1"/>
      <c r="D2364" s="7"/>
      <c r="E2364" s="7"/>
      <c r="F2364" s="55"/>
    </row>
    <row r="2365" spans="2:6" ht="15" customHeight="1" x14ac:dyDescent="0.25">
      <c r="B2365" s="1"/>
      <c r="C2365" s="1"/>
      <c r="D2365" s="7"/>
      <c r="E2365" s="7"/>
      <c r="F2365" s="55"/>
    </row>
    <row r="2366" spans="2:6" ht="15" customHeight="1" x14ac:dyDescent="0.25">
      <c r="B2366" s="1"/>
      <c r="C2366" s="1"/>
      <c r="D2366" s="7"/>
      <c r="E2366" s="7"/>
      <c r="F2366" s="55"/>
    </row>
    <row r="2367" spans="2:6" ht="15" customHeight="1" x14ac:dyDescent="0.25">
      <c r="B2367" s="1"/>
      <c r="C2367" s="1"/>
      <c r="D2367" s="7"/>
      <c r="E2367" s="7"/>
      <c r="F2367" s="55"/>
    </row>
    <row r="2368" spans="2:6" ht="15" customHeight="1" x14ac:dyDescent="0.25">
      <c r="B2368" s="1"/>
      <c r="C2368" s="1"/>
      <c r="D2368" s="7"/>
      <c r="E2368" s="7"/>
      <c r="F2368" s="55"/>
    </row>
    <row r="2369" spans="2:6" ht="15" customHeight="1" x14ac:dyDescent="0.25">
      <c r="B2369" s="1"/>
      <c r="C2369" s="1"/>
      <c r="D2369" s="7"/>
      <c r="E2369" s="7"/>
      <c r="F2369" s="55"/>
    </row>
    <row r="2370" spans="2:6" ht="15" customHeight="1" x14ac:dyDescent="0.25">
      <c r="B2370" s="1"/>
      <c r="C2370" s="1"/>
      <c r="D2370" s="7"/>
      <c r="E2370" s="7"/>
      <c r="F2370" s="55"/>
    </row>
    <row r="2371" spans="2:6" ht="15" customHeight="1" x14ac:dyDescent="0.25">
      <c r="B2371" s="1"/>
      <c r="C2371" s="1"/>
      <c r="D2371" s="7"/>
      <c r="E2371" s="7"/>
      <c r="F2371" s="55"/>
    </row>
    <row r="2372" spans="2:6" ht="15" customHeight="1" x14ac:dyDescent="0.25">
      <c r="B2372" s="1"/>
      <c r="C2372" s="1"/>
      <c r="D2372" s="7"/>
      <c r="E2372" s="7"/>
      <c r="F2372" s="55"/>
    </row>
    <row r="2373" spans="2:6" ht="15" customHeight="1" x14ac:dyDescent="0.25">
      <c r="B2373" s="1"/>
      <c r="C2373" s="1"/>
      <c r="D2373" s="7"/>
      <c r="E2373" s="7"/>
      <c r="F2373" s="55"/>
    </row>
    <row r="2374" spans="2:6" ht="15" customHeight="1" x14ac:dyDescent="0.25">
      <c r="B2374" s="1"/>
      <c r="C2374" s="1"/>
      <c r="D2374" s="7"/>
      <c r="E2374" s="7"/>
      <c r="F2374" s="55"/>
    </row>
    <row r="2375" spans="2:6" ht="15" customHeight="1" x14ac:dyDescent="0.25">
      <c r="B2375" s="1"/>
      <c r="C2375" s="1"/>
      <c r="D2375" s="7"/>
      <c r="E2375" s="7"/>
      <c r="F2375" s="55"/>
    </row>
    <row r="2376" spans="2:6" ht="15" customHeight="1" x14ac:dyDescent="0.25">
      <c r="B2376" s="1"/>
      <c r="C2376" s="1"/>
      <c r="D2376" s="7"/>
      <c r="E2376" s="7"/>
      <c r="F2376" s="55"/>
    </row>
    <row r="2377" spans="2:6" ht="15" customHeight="1" x14ac:dyDescent="0.25">
      <c r="B2377" s="1"/>
      <c r="C2377" s="1"/>
      <c r="D2377" s="7"/>
      <c r="E2377" s="7"/>
      <c r="F2377" s="55"/>
    </row>
    <row r="2378" spans="2:6" ht="15" customHeight="1" x14ac:dyDescent="0.25">
      <c r="B2378" s="1"/>
      <c r="C2378" s="1"/>
      <c r="D2378" s="7"/>
      <c r="E2378" s="7"/>
      <c r="F2378" s="55"/>
    </row>
    <row r="2379" spans="2:6" ht="15" customHeight="1" x14ac:dyDescent="0.25">
      <c r="B2379" s="1"/>
      <c r="C2379" s="1"/>
      <c r="D2379" s="7"/>
      <c r="E2379" s="7"/>
      <c r="F2379" s="55"/>
    </row>
    <row r="2380" spans="2:6" ht="15" customHeight="1" x14ac:dyDescent="0.25">
      <c r="B2380" s="1"/>
      <c r="C2380" s="1"/>
      <c r="D2380" s="7"/>
      <c r="E2380" s="7"/>
      <c r="F2380" s="55"/>
    </row>
    <row r="2381" spans="2:6" ht="15" customHeight="1" x14ac:dyDescent="0.25">
      <c r="B2381" s="1"/>
      <c r="C2381" s="1"/>
      <c r="D2381" s="7"/>
      <c r="E2381" s="7"/>
      <c r="F2381" s="55"/>
    </row>
    <row r="2382" spans="2:6" ht="15" customHeight="1" x14ac:dyDescent="0.25">
      <c r="B2382" s="1"/>
      <c r="C2382" s="1"/>
      <c r="D2382" s="7"/>
      <c r="E2382" s="7"/>
      <c r="F2382" s="55"/>
    </row>
    <row r="2383" spans="2:6" ht="15" customHeight="1" x14ac:dyDescent="0.25">
      <c r="B2383" s="1"/>
      <c r="C2383" s="1"/>
      <c r="D2383" s="7"/>
      <c r="E2383" s="7"/>
      <c r="F2383" s="55"/>
    </row>
    <row r="2384" spans="2:6" ht="15" customHeight="1" x14ac:dyDescent="0.25">
      <c r="B2384" s="1"/>
      <c r="C2384" s="1"/>
      <c r="D2384" s="7"/>
      <c r="E2384" s="7"/>
      <c r="F2384" s="55"/>
    </row>
    <row r="2385" spans="2:6" ht="15" customHeight="1" x14ac:dyDescent="0.25">
      <c r="B2385" s="1"/>
      <c r="C2385" s="1"/>
      <c r="D2385" s="7"/>
      <c r="E2385" s="7"/>
      <c r="F2385" s="55"/>
    </row>
    <row r="2386" spans="2:6" ht="15" customHeight="1" x14ac:dyDescent="0.25">
      <c r="B2386" s="1"/>
      <c r="C2386" s="1"/>
      <c r="D2386" s="7"/>
      <c r="E2386" s="7"/>
      <c r="F2386" s="55"/>
    </row>
    <row r="2387" spans="2:6" ht="15" customHeight="1" x14ac:dyDescent="0.25">
      <c r="B2387" s="1"/>
      <c r="C2387" s="1"/>
      <c r="D2387" s="7"/>
      <c r="E2387" s="7"/>
      <c r="F2387" s="55"/>
    </row>
    <row r="2388" spans="2:6" ht="15" customHeight="1" x14ac:dyDescent="0.25">
      <c r="B2388" s="1"/>
      <c r="C2388" s="1"/>
      <c r="D2388" s="7"/>
      <c r="E2388" s="7"/>
      <c r="F2388" s="55"/>
    </row>
    <row r="2389" spans="2:6" ht="15" customHeight="1" x14ac:dyDescent="0.25">
      <c r="B2389" s="1"/>
      <c r="C2389" s="1"/>
      <c r="D2389" s="7"/>
      <c r="E2389" s="7"/>
      <c r="F2389" s="55"/>
    </row>
    <row r="2390" spans="2:6" ht="15" customHeight="1" x14ac:dyDescent="0.25">
      <c r="B2390" s="1"/>
      <c r="C2390" s="1"/>
      <c r="D2390" s="7"/>
      <c r="E2390" s="7"/>
      <c r="F2390" s="55"/>
    </row>
    <row r="2391" spans="2:6" ht="15" customHeight="1" x14ac:dyDescent="0.25">
      <c r="B2391" s="1"/>
      <c r="C2391" s="1"/>
      <c r="D2391" s="7"/>
      <c r="E2391" s="7"/>
      <c r="F2391" s="55"/>
    </row>
    <row r="2392" spans="2:6" ht="15" customHeight="1" x14ac:dyDescent="0.25">
      <c r="B2392" s="1"/>
      <c r="C2392" s="1"/>
      <c r="D2392" s="7"/>
      <c r="E2392" s="7"/>
      <c r="F2392" s="55"/>
    </row>
    <row r="2393" spans="2:6" ht="15" customHeight="1" x14ac:dyDescent="0.25">
      <c r="B2393" s="1"/>
      <c r="C2393" s="1"/>
      <c r="D2393" s="7"/>
      <c r="E2393" s="7"/>
      <c r="F2393" s="55"/>
    </row>
    <row r="2394" spans="2:6" ht="15" customHeight="1" x14ac:dyDescent="0.25">
      <c r="B2394" s="1"/>
      <c r="C2394" s="1"/>
      <c r="D2394" s="7"/>
      <c r="E2394" s="7"/>
      <c r="F2394" s="55"/>
    </row>
    <row r="2395" spans="2:6" ht="15" customHeight="1" x14ac:dyDescent="0.25">
      <c r="B2395" s="1"/>
      <c r="C2395" s="1"/>
      <c r="D2395" s="7"/>
      <c r="E2395" s="7"/>
      <c r="F2395" s="55"/>
    </row>
    <row r="2396" spans="2:6" ht="15" customHeight="1" x14ac:dyDescent="0.25">
      <c r="B2396" s="1"/>
      <c r="C2396" s="1"/>
      <c r="D2396" s="7"/>
      <c r="E2396" s="7"/>
      <c r="F2396" s="55"/>
    </row>
    <row r="2397" spans="2:6" ht="15" customHeight="1" x14ac:dyDescent="0.25">
      <c r="B2397" s="1"/>
      <c r="C2397" s="1"/>
      <c r="D2397" s="7"/>
      <c r="E2397" s="7"/>
      <c r="F2397" s="55"/>
    </row>
    <row r="2398" spans="2:6" ht="15" customHeight="1" x14ac:dyDescent="0.25">
      <c r="B2398" s="1"/>
      <c r="C2398" s="1"/>
      <c r="D2398" s="7"/>
      <c r="E2398" s="7"/>
      <c r="F2398" s="55"/>
    </row>
    <row r="2399" spans="2:6" ht="15" customHeight="1" x14ac:dyDescent="0.25">
      <c r="B2399" s="1"/>
      <c r="C2399" s="1"/>
      <c r="D2399" s="7"/>
      <c r="E2399" s="7"/>
      <c r="F2399" s="55"/>
    </row>
    <row r="2400" spans="2:6" ht="15" customHeight="1" x14ac:dyDescent="0.25">
      <c r="B2400" s="1"/>
      <c r="C2400" s="1"/>
      <c r="D2400" s="7"/>
      <c r="E2400" s="7"/>
      <c r="F2400" s="55"/>
    </row>
    <row r="2401" spans="2:6" ht="15" customHeight="1" x14ac:dyDescent="0.25">
      <c r="B2401" s="1"/>
      <c r="C2401" s="1"/>
      <c r="D2401" s="7"/>
      <c r="E2401" s="7"/>
      <c r="F2401" s="55"/>
    </row>
    <row r="2402" spans="2:6" ht="15" customHeight="1" x14ac:dyDescent="0.25">
      <c r="B2402" s="1"/>
      <c r="C2402" s="1"/>
      <c r="D2402" s="7"/>
      <c r="E2402" s="7"/>
      <c r="F2402" s="55"/>
    </row>
    <row r="2403" spans="2:6" ht="15" customHeight="1" x14ac:dyDescent="0.25">
      <c r="B2403" s="1"/>
      <c r="C2403" s="1"/>
      <c r="D2403" s="7"/>
      <c r="E2403" s="7"/>
      <c r="F2403" s="55"/>
    </row>
    <row r="2404" spans="2:6" ht="15" customHeight="1" x14ac:dyDescent="0.25">
      <c r="B2404" s="1"/>
      <c r="C2404" s="1"/>
      <c r="D2404" s="7"/>
      <c r="E2404" s="7"/>
      <c r="F2404" s="55"/>
    </row>
    <row r="2405" spans="2:6" ht="15" customHeight="1" x14ac:dyDescent="0.25">
      <c r="B2405" s="1"/>
      <c r="C2405" s="1"/>
      <c r="D2405" s="7"/>
      <c r="E2405" s="7"/>
      <c r="F2405" s="55"/>
    </row>
    <row r="2406" spans="2:6" ht="15" customHeight="1" x14ac:dyDescent="0.25">
      <c r="B2406" s="1"/>
      <c r="C2406" s="1"/>
      <c r="D2406" s="7"/>
      <c r="E2406" s="7"/>
      <c r="F2406" s="55"/>
    </row>
    <row r="2407" spans="2:6" ht="15" customHeight="1" x14ac:dyDescent="0.25">
      <c r="B2407" s="1"/>
      <c r="C2407" s="1"/>
      <c r="D2407" s="7"/>
      <c r="E2407" s="7"/>
      <c r="F2407" s="55"/>
    </row>
    <row r="2408" spans="2:6" ht="15" customHeight="1" x14ac:dyDescent="0.25">
      <c r="B2408" s="1"/>
      <c r="C2408" s="1"/>
      <c r="D2408" s="7"/>
      <c r="E2408" s="7"/>
      <c r="F2408" s="55"/>
    </row>
    <row r="2409" spans="2:6" ht="15" customHeight="1" x14ac:dyDescent="0.25">
      <c r="B2409" s="1"/>
      <c r="C2409" s="1"/>
      <c r="D2409" s="7"/>
      <c r="E2409" s="7"/>
      <c r="F2409" s="55"/>
    </row>
    <row r="2410" spans="2:6" ht="15" customHeight="1" x14ac:dyDescent="0.25">
      <c r="B2410" s="1"/>
      <c r="C2410" s="1"/>
      <c r="D2410" s="7"/>
      <c r="E2410" s="7"/>
      <c r="F2410" s="55"/>
    </row>
    <row r="2411" spans="2:6" ht="15" customHeight="1" x14ac:dyDescent="0.25">
      <c r="B2411" s="1"/>
      <c r="C2411" s="1"/>
      <c r="D2411" s="7"/>
      <c r="E2411" s="7"/>
      <c r="F2411" s="55"/>
    </row>
    <row r="2412" spans="2:6" ht="15" customHeight="1" x14ac:dyDescent="0.25">
      <c r="B2412" s="1"/>
      <c r="C2412" s="1"/>
      <c r="D2412" s="7"/>
      <c r="E2412" s="7"/>
      <c r="F2412" s="55"/>
    </row>
    <row r="2413" spans="2:6" ht="15" customHeight="1" x14ac:dyDescent="0.25">
      <c r="B2413" s="1"/>
      <c r="C2413" s="1"/>
      <c r="D2413" s="7"/>
      <c r="E2413" s="7"/>
      <c r="F2413" s="55"/>
    </row>
    <row r="2414" spans="2:6" ht="15" customHeight="1" x14ac:dyDescent="0.25">
      <c r="B2414" s="1"/>
      <c r="C2414" s="1"/>
      <c r="D2414" s="7"/>
      <c r="E2414" s="7"/>
      <c r="F2414" s="55"/>
    </row>
    <row r="2415" spans="2:6" ht="15" customHeight="1" x14ac:dyDescent="0.25">
      <c r="B2415" s="1"/>
      <c r="C2415" s="1"/>
      <c r="D2415" s="7"/>
      <c r="E2415" s="7"/>
      <c r="F2415" s="55"/>
    </row>
    <row r="2416" spans="2:6" ht="15" customHeight="1" x14ac:dyDescent="0.25">
      <c r="B2416" s="1"/>
      <c r="C2416" s="1"/>
      <c r="D2416" s="7"/>
      <c r="E2416" s="7"/>
      <c r="F2416" s="55"/>
    </row>
    <row r="2417" spans="2:6" ht="15" customHeight="1" x14ac:dyDescent="0.25">
      <c r="B2417" s="1"/>
      <c r="C2417" s="1"/>
      <c r="D2417" s="7"/>
      <c r="E2417" s="7"/>
      <c r="F2417" s="55"/>
    </row>
    <row r="2418" spans="2:6" ht="15" customHeight="1" x14ac:dyDescent="0.25">
      <c r="B2418" s="1"/>
      <c r="C2418" s="1"/>
      <c r="D2418" s="7"/>
      <c r="E2418" s="7"/>
      <c r="F2418" s="55"/>
    </row>
    <row r="2419" spans="2:6" ht="15" customHeight="1" x14ac:dyDescent="0.25">
      <c r="B2419" s="1"/>
      <c r="C2419" s="1"/>
      <c r="D2419" s="7"/>
      <c r="E2419" s="7"/>
      <c r="F2419" s="55"/>
    </row>
    <row r="2420" spans="2:6" ht="15" customHeight="1" x14ac:dyDescent="0.25">
      <c r="B2420" s="1"/>
      <c r="C2420" s="1"/>
      <c r="D2420" s="7"/>
      <c r="E2420" s="7"/>
      <c r="F2420" s="55"/>
    </row>
    <row r="2421" spans="2:6" ht="15" customHeight="1" x14ac:dyDescent="0.25">
      <c r="B2421" s="1"/>
      <c r="C2421" s="1"/>
      <c r="D2421" s="7"/>
      <c r="E2421" s="7"/>
      <c r="F2421" s="55"/>
    </row>
    <row r="2422" spans="2:6" ht="15" customHeight="1" x14ac:dyDescent="0.25">
      <c r="B2422" s="1"/>
      <c r="C2422" s="1"/>
      <c r="D2422" s="7"/>
      <c r="E2422" s="7"/>
      <c r="F2422" s="55"/>
    </row>
    <row r="2423" spans="2:6" ht="15" customHeight="1" x14ac:dyDescent="0.25">
      <c r="B2423" s="1"/>
      <c r="C2423" s="1"/>
      <c r="D2423" s="7"/>
      <c r="E2423" s="7"/>
      <c r="F2423" s="55"/>
    </row>
    <row r="2424" spans="2:6" ht="15" customHeight="1" x14ac:dyDescent="0.25">
      <c r="B2424" s="1"/>
      <c r="C2424" s="1"/>
      <c r="D2424" s="7"/>
      <c r="E2424" s="7"/>
      <c r="F2424" s="55"/>
    </row>
    <row r="2425" spans="2:6" ht="15" customHeight="1" x14ac:dyDescent="0.25">
      <c r="B2425" s="1"/>
      <c r="C2425" s="1"/>
      <c r="D2425" s="7"/>
      <c r="E2425" s="7"/>
      <c r="F2425" s="55"/>
    </row>
    <row r="2426" spans="2:6" ht="15" customHeight="1" x14ac:dyDescent="0.25">
      <c r="B2426" s="1"/>
      <c r="C2426" s="1"/>
      <c r="D2426" s="7"/>
      <c r="E2426" s="7"/>
      <c r="F2426" s="55"/>
    </row>
    <row r="2427" spans="2:6" ht="15" customHeight="1" x14ac:dyDescent="0.25">
      <c r="B2427" s="1"/>
      <c r="C2427" s="1"/>
      <c r="D2427" s="7"/>
      <c r="E2427" s="7"/>
      <c r="F2427" s="55"/>
    </row>
    <row r="2428" spans="2:6" ht="15" customHeight="1" x14ac:dyDescent="0.25">
      <c r="B2428" s="1"/>
      <c r="C2428" s="1"/>
      <c r="D2428" s="7"/>
      <c r="E2428" s="7"/>
      <c r="F2428" s="55"/>
    </row>
    <row r="2429" spans="2:6" ht="15" customHeight="1" x14ac:dyDescent="0.25">
      <c r="B2429" s="1"/>
      <c r="C2429" s="1"/>
      <c r="D2429" s="7"/>
      <c r="E2429" s="7"/>
      <c r="F2429" s="55"/>
    </row>
    <row r="2430" spans="2:6" ht="15" customHeight="1" x14ac:dyDescent="0.25">
      <c r="B2430" s="1"/>
      <c r="C2430" s="1"/>
      <c r="D2430" s="7"/>
      <c r="E2430" s="7"/>
      <c r="F2430" s="55"/>
    </row>
    <row r="2431" spans="2:6" ht="15" customHeight="1" x14ac:dyDescent="0.25">
      <c r="B2431" s="1"/>
      <c r="C2431" s="1"/>
      <c r="D2431" s="7"/>
      <c r="E2431" s="7"/>
      <c r="F2431" s="55"/>
    </row>
    <row r="2432" spans="2:6" ht="15" customHeight="1" x14ac:dyDescent="0.25">
      <c r="B2432" s="1"/>
      <c r="C2432" s="1"/>
      <c r="D2432" s="7"/>
      <c r="E2432" s="7"/>
      <c r="F2432" s="55"/>
    </row>
    <row r="2433" spans="2:6" ht="15" customHeight="1" x14ac:dyDescent="0.25">
      <c r="B2433" s="1"/>
      <c r="C2433" s="1"/>
      <c r="D2433" s="7"/>
      <c r="E2433" s="7"/>
      <c r="F2433" s="55"/>
    </row>
    <row r="2434" spans="2:6" ht="15" customHeight="1" x14ac:dyDescent="0.25">
      <c r="B2434" s="1"/>
      <c r="C2434" s="1"/>
      <c r="D2434" s="7"/>
      <c r="E2434" s="7"/>
      <c r="F2434" s="55"/>
    </row>
    <row r="2435" spans="2:6" ht="15" customHeight="1" x14ac:dyDescent="0.25">
      <c r="B2435" s="1"/>
      <c r="C2435" s="1"/>
      <c r="D2435" s="7"/>
      <c r="E2435" s="7"/>
      <c r="F2435" s="55"/>
    </row>
    <row r="2436" spans="2:6" ht="15" customHeight="1" x14ac:dyDescent="0.25">
      <c r="B2436" s="1"/>
      <c r="C2436" s="1"/>
      <c r="D2436" s="7"/>
      <c r="E2436" s="7"/>
      <c r="F2436" s="55"/>
    </row>
    <row r="2437" spans="2:6" ht="15" customHeight="1" x14ac:dyDescent="0.25">
      <c r="B2437" s="1"/>
      <c r="C2437" s="1"/>
      <c r="D2437" s="7"/>
      <c r="E2437" s="7"/>
      <c r="F2437" s="55"/>
    </row>
    <row r="2438" spans="2:6" ht="15" customHeight="1" x14ac:dyDescent="0.25">
      <c r="B2438" s="1"/>
      <c r="C2438" s="1"/>
      <c r="D2438" s="7"/>
      <c r="E2438" s="7"/>
      <c r="F2438" s="55"/>
    </row>
    <row r="2439" spans="2:6" ht="15" customHeight="1" x14ac:dyDescent="0.25">
      <c r="B2439" s="1"/>
      <c r="C2439" s="1"/>
      <c r="D2439" s="7"/>
      <c r="E2439" s="7"/>
      <c r="F2439" s="55"/>
    </row>
    <row r="2440" spans="2:6" ht="15" customHeight="1" x14ac:dyDescent="0.25">
      <c r="B2440" s="1"/>
      <c r="C2440" s="1"/>
      <c r="D2440" s="7"/>
      <c r="E2440" s="7"/>
      <c r="F2440" s="55"/>
    </row>
    <row r="2441" spans="2:6" ht="15" customHeight="1" x14ac:dyDescent="0.25">
      <c r="B2441" s="1"/>
      <c r="C2441" s="1"/>
      <c r="D2441" s="7"/>
      <c r="E2441" s="7"/>
      <c r="F2441" s="55"/>
    </row>
    <row r="2442" spans="2:6" ht="15" customHeight="1" x14ac:dyDescent="0.25">
      <c r="B2442" s="1"/>
      <c r="C2442" s="1"/>
      <c r="D2442" s="7"/>
      <c r="E2442" s="7"/>
      <c r="F2442" s="55"/>
    </row>
    <row r="2443" spans="2:6" ht="15" customHeight="1" x14ac:dyDescent="0.25">
      <c r="B2443" s="1"/>
      <c r="C2443" s="1"/>
      <c r="D2443" s="7"/>
      <c r="E2443" s="7"/>
      <c r="F2443" s="55"/>
    </row>
    <row r="2444" spans="2:6" ht="15" customHeight="1" x14ac:dyDescent="0.25">
      <c r="B2444" s="1"/>
      <c r="C2444" s="1"/>
      <c r="D2444" s="7"/>
      <c r="E2444" s="7"/>
      <c r="F2444" s="55"/>
    </row>
    <row r="2445" spans="2:6" ht="15" customHeight="1" x14ac:dyDescent="0.25">
      <c r="B2445" s="1"/>
      <c r="C2445" s="1"/>
      <c r="D2445" s="7"/>
      <c r="E2445" s="7"/>
      <c r="F2445" s="55"/>
    </row>
    <row r="2446" spans="2:6" ht="15" customHeight="1" x14ac:dyDescent="0.25">
      <c r="B2446" s="1"/>
      <c r="C2446" s="1"/>
      <c r="D2446" s="7"/>
      <c r="E2446" s="7"/>
      <c r="F2446" s="55"/>
    </row>
    <row r="2447" spans="2:6" ht="15" customHeight="1" x14ac:dyDescent="0.25">
      <c r="B2447" s="1"/>
      <c r="C2447" s="1"/>
      <c r="D2447" s="7"/>
      <c r="E2447" s="7"/>
      <c r="F2447" s="55"/>
    </row>
    <row r="2448" spans="2:6" ht="15" customHeight="1" x14ac:dyDescent="0.25">
      <c r="B2448" s="1"/>
      <c r="C2448" s="1"/>
      <c r="D2448" s="7"/>
      <c r="E2448" s="7"/>
      <c r="F2448" s="55"/>
    </row>
    <row r="2449" spans="2:6" ht="15" customHeight="1" x14ac:dyDescent="0.25">
      <c r="B2449" s="1"/>
      <c r="C2449" s="1"/>
      <c r="D2449" s="7"/>
      <c r="E2449" s="7"/>
      <c r="F2449" s="55"/>
    </row>
    <row r="2450" spans="2:6" ht="15" customHeight="1" x14ac:dyDescent="0.25">
      <c r="B2450" s="1"/>
      <c r="C2450" s="1"/>
      <c r="D2450" s="7"/>
      <c r="E2450" s="7"/>
      <c r="F2450" s="55"/>
    </row>
    <row r="2451" spans="2:6" ht="15" customHeight="1" x14ac:dyDescent="0.25">
      <c r="B2451" s="1"/>
      <c r="C2451" s="1"/>
      <c r="D2451" s="7"/>
      <c r="E2451" s="7"/>
      <c r="F2451" s="55"/>
    </row>
    <row r="2452" spans="2:6" ht="15" customHeight="1" x14ac:dyDescent="0.25">
      <c r="B2452" s="1"/>
      <c r="C2452" s="1"/>
      <c r="D2452" s="7"/>
      <c r="E2452" s="7"/>
      <c r="F2452" s="55"/>
    </row>
    <row r="2453" spans="2:6" ht="15" customHeight="1" x14ac:dyDescent="0.25">
      <c r="B2453" s="1"/>
      <c r="C2453" s="1"/>
      <c r="D2453" s="7"/>
      <c r="E2453" s="7"/>
      <c r="F2453" s="55"/>
    </row>
    <row r="2454" spans="2:6" ht="15" customHeight="1" x14ac:dyDescent="0.25">
      <c r="B2454" s="1"/>
      <c r="C2454" s="1"/>
      <c r="D2454" s="7"/>
      <c r="E2454" s="7"/>
      <c r="F2454" s="55"/>
    </row>
    <row r="2455" spans="2:6" ht="15" customHeight="1" x14ac:dyDescent="0.25">
      <c r="B2455" s="1"/>
      <c r="C2455" s="1"/>
      <c r="D2455" s="7"/>
      <c r="E2455" s="7"/>
      <c r="F2455" s="55"/>
    </row>
    <row r="2456" spans="2:6" ht="15" customHeight="1" x14ac:dyDescent="0.25">
      <c r="B2456" s="1"/>
      <c r="C2456" s="1"/>
      <c r="D2456" s="7"/>
      <c r="E2456" s="7"/>
      <c r="F2456" s="55"/>
    </row>
    <row r="2457" spans="2:6" ht="15" customHeight="1" x14ac:dyDescent="0.25">
      <c r="B2457" s="1"/>
      <c r="C2457" s="1"/>
      <c r="D2457" s="7"/>
      <c r="E2457" s="7"/>
      <c r="F2457" s="55"/>
    </row>
    <row r="2458" spans="2:6" ht="15" customHeight="1" x14ac:dyDescent="0.25">
      <c r="B2458" s="1"/>
      <c r="C2458" s="1"/>
      <c r="D2458" s="7"/>
      <c r="E2458" s="7"/>
      <c r="F2458" s="55"/>
    </row>
    <row r="2459" spans="2:6" ht="15" customHeight="1" x14ac:dyDescent="0.25">
      <c r="B2459" s="1"/>
      <c r="C2459" s="1"/>
      <c r="D2459" s="7"/>
      <c r="E2459" s="7"/>
      <c r="F2459" s="55"/>
    </row>
    <row r="2460" spans="2:6" ht="15" customHeight="1" x14ac:dyDescent="0.25">
      <c r="B2460" s="1"/>
      <c r="C2460" s="1"/>
      <c r="D2460" s="7"/>
      <c r="E2460" s="7"/>
      <c r="F2460" s="55"/>
    </row>
    <row r="2461" spans="2:6" ht="15" customHeight="1" x14ac:dyDescent="0.25">
      <c r="B2461" s="1"/>
      <c r="C2461" s="1"/>
      <c r="D2461" s="7"/>
      <c r="E2461" s="7"/>
      <c r="F2461" s="55"/>
    </row>
    <row r="2462" spans="2:6" ht="15" customHeight="1" x14ac:dyDescent="0.25">
      <c r="B2462" s="1"/>
      <c r="C2462" s="1"/>
      <c r="D2462" s="7"/>
      <c r="E2462" s="7"/>
      <c r="F2462" s="55"/>
    </row>
    <row r="2463" spans="2:6" ht="15" customHeight="1" x14ac:dyDescent="0.25">
      <c r="B2463" s="1"/>
      <c r="C2463" s="1"/>
      <c r="D2463" s="7"/>
      <c r="E2463" s="7"/>
      <c r="F2463" s="55"/>
    </row>
    <row r="2464" spans="2:6" ht="15" customHeight="1" x14ac:dyDescent="0.25">
      <c r="B2464" s="1"/>
      <c r="C2464" s="1"/>
      <c r="D2464" s="7"/>
      <c r="E2464" s="7"/>
      <c r="F2464" s="55"/>
    </row>
    <row r="2465" spans="2:6" ht="15" customHeight="1" x14ac:dyDescent="0.25">
      <c r="B2465" s="1"/>
      <c r="C2465" s="1"/>
      <c r="D2465" s="7"/>
      <c r="E2465" s="7"/>
      <c r="F2465" s="55"/>
    </row>
    <row r="2466" spans="2:6" ht="15" customHeight="1" x14ac:dyDescent="0.25">
      <c r="B2466" s="1"/>
      <c r="C2466" s="1"/>
      <c r="D2466" s="7"/>
      <c r="E2466" s="7"/>
      <c r="F2466" s="55"/>
    </row>
    <row r="2467" spans="2:6" ht="15" customHeight="1" x14ac:dyDescent="0.25">
      <c r="B2467" s="1"/>
      <c r="C2467" s="1"/>
      <c r="D2467" s="7"/>
      <c r="E2467" s="7"/>
      <c r="F2467" s="55"/>
    </row>
    <row r="2468" spans="2:6" ht="15" customHeight="1" x14ac:dyDescent="0.25">
      <c r="B2468" s="1"/>
      <c r="C2468" s="1"/>
      <c r="D2468" s="7"/>
      <c r="E2468" s="7"/>
      <c r="F2468" s="55"/>
    </row>
    <row r="2469" spans="2:6" ht="15" customHeight="1" x14ac:dyDescent="0.25">
      <c r="B2469" s="1"/>
      <c r="C2469" s="1"/>
      <c r="D2469" s="7"/>
      <c r="E2469" s="7"/>
      <c r="F2469" s="55"/>
    </row>
    <row r="2470" spans="2:6" ht="15" customHeight="1" x14ac:dyDescent="0.25">
      <c r="B2470" s="1"/>
      <c r="C2470" s="1"/>
      <c r="D2470" s="7"/>
      <c r="E2470" s="7"/>
      <c r="F2470" s="55"/>
    </row>
    <row r="2471" spans="2:6" ht="15" customHeight="1" x14ac:dyDescent="0.25">
      <c r="B2471" s="1"/>
      <c r="C2471" s="1"/>
      <c r="D2471" s="7"/>
      <c r="E2471" s="7"/>
      <c r="F2471" s="55"/>
    </row>
    <row r="2472" spans="2:6" ht="15" customHeight="1" x14ac:dyDescent="0.25">
      <c r="B2472" s="1"/>
      <c r="C2472" s="1"/>
      <c r="D2472" s="7"/>
      <c r="E2472" s="7"/>
      <c r="F2472" s="55"/>
    </row>
    <row r="2473" spans="2:6" ht="15" customHeight="1" x14ac:dyDescent="0.25">
      <c r="B2473" s="1"/>
      <c r="C2473" s="1"/>
      <c r="D2473" s="7"/>
      <c r="E2473" s="7"/>
      <c r="F2473" s="55"/>
    </row>
    <row r="2474" spans="2:6" ht="15" customHeight="1" x14ac:dyDescent="0.25">
      <c r="B2474" s="1"/>
      <c r="C2474" s="1"/>
      <c r="D2474" s="7"/>
      <c r="E2474" s="7"/>
      <c r="F2474" s="55"/>
    </row>
    <row r="2475" spans="2:6" ht="15" customHeight="1" x14ac:dyDescent="0.25">
      <c r="B2475" s="1"/>
      <c r="C2475" s="1"/>
      <c r="D2475" s="7"/>
      <c r="E2475" s="7"/>
      <c r="F2475" s="55"/>
    </row>
    <row r="2476" spans="2:6" ht="15" customHeight="1" x14ac:dyDescent="0.25">
      <c r="B2476" s="1"/>
      <c r="C2476" s="1"/>
      <c r="D2476" s="7"/>
      <c r="E2476" s="7"/>
      <c r="F2476" s="55"/>
    </row>
    <row r="2477" spans="2:6" ht="15" customHeight="1" x14ac:dyDescent="0.25">
      <c r="B2477" s="1"/>
      <c r="C2477" s="1"/>
      <c r="D2477" s="7"/>
      <c r="E2477" s="7"/>
      <c r="F2477" s="55"/>
    </row>
    <row r="2478" spans="2:6" ht="15" customHeight="1" x14ac:dyDescent="0.25">
      <c r="B2478" s="1"/>
      <c r="C2478" s="1"/>
      <c r="D2478" s="7"/>
      <c r="E2478" s="7"/>
      <c r="F2478" s="55"/>
    </row>
    <row r="2479" spans="2:6" ht="15" customHeight="1" x14ac:dyDescent="0.25">
      <c r="B2479" s="1"/>
      <c r="C2479" s="1"/>
      <c r="D2479" s="7"/>
      <c r="E2479" s="7"/>
      <c r="F2479" s="55"/>
    </row>
    <row r="2480" spans="2:6" ht="15" customHeight="1" x14ac:dyDescent="0.25">
      <c r="B2480" s="1"/>
      <c r="C2480" s="1"/>
      <c r="D2480" s="7"/>
      <c r="E2480" s="7"/>
      <c r="F2480" s="55"/>
    </row>
    <row r="2481" spans="2:6" ht="15" customHeight="1" x14ac:dyDescent="0.25">
      <c r="B2481" s="1"/>
      <c r="C2481" s="1"/>
      <c r="D2481" s="7"/>
      <c r="E2481" s="7"/>
      <c r="F2481" s="55"/>
    </row>
    <row r="2482" spans="2:6" ht="15" customHeight="1" x14ac:dyDescent="0.25">
      <c r="B2482" s="1"/>
      <c r="C2482" s="1"/>
      <c r="D2482" s="7"/>
      <c r="E2482" s="7"/>
      <c r="F2482" s="55"/>
    </row>
    <row r="2483" spans="2:6" ht="15" customHeight="1" x14ac:dyDescent="0.25">
      <c r="B2483" s="1"/>
      <c r="C2483" s="1"/>
      <c r="D2483" s="7"/>
      <c r="E2483" s="7"/>
      <c r="F2483" s="55"/>
    </row>
    <row r="2484" spans="2:6" ht="15" customHeight="1" x14ac:dyDescent="0.25">
      <c r="B2484" s="1"/>
      <c r="C2484" s="1"/>
      <c r="D2484" s="7"/>
      <c r="E2484" s="7"/>
      <c r="F2484" s="55"/>
    </row>
    <row r="2485" spans="2:6" ht="15" customHeight="1" x14ac:dyDescent="0.25">
      <c r="B2485" s="1"/>
      <c r="C2485" s="1"/>
      <c r="D2485" s="7"/>
      <c r="E2485" s="7"/>
      <c r="F2485" s="55"/>
    </row>
    <row r="2486" spans="2:6" ht="15" customHeight="1" x14ac:dyDescent="0.25">
      <c r="B2486" s="1"/>
      <c r="C2486" s="1"/>
      <c r="D2486" s="7"/>
      <c r="E2486" s="7"/>
      <c r="F2486" s="55"/>
    </row>
    <row r="2487" spans="2:6" ht="15" customHeight="1" x14ac:dyDescent="0.25">
      <c r="B2487" s="1"/>
      <c r="C2487" s="1"/>
      <c r="D2487" s="7"/>
      <c r="E2487" s="7"/>
      <c r="F2487" s="55"/>
    </row>
    <row r="2488" spans="2:6" ht="15" customHeight="1" x14ac:dyDescent="0.25">
      <c r="B2488" s="1"/>
      <c r="C2488" s="1"/>
      <c r="D2488" s="7"/>
      <c r="E2488" s="7"/>
      <c r="F2488" s="55"/>
    </row>
    <row r="2489" spans="2:6" ht="15" customHeight="1" x14ac:dyDescent="0.25">
      <c r="B2489" s="1"/>
      <c r="C2489" s="1"/>
      <c r="D2489" s="7"/>
      <c r="E2489" s="7"/>
      <c r="F2489" s="55"/>
    </row>
    <row r="2490" spans="2:6" ht="15" customHeight="1" x14ac:dyDescent="0.25">
      <c r="B2490" s="1"/>
      <c r="C2490" s="1"/>
      <c r="D2490" s="7"/>
      <c r="E2490" s="7"/>
      <c r="F2490" s="55"/>
    </row>
    <row r="2491" spans="2:6" ht="15" customHeight="1" x14ac:dyDescent="0.25">
      <c r="B2491" s="1"/>
      <c r="C2491" s="1"/>
      <c r="D2491" s="7"/>
      <c r="E2491" s="7"/>
      <c r="F2491" s="55"/>
    </row>
    <row r="2492" spans="2:6" ht="15" customHeight="1" x14ac:dyDescent="0.25">
      <c r="B2492" s="1"/>
      <c r="C2492" s="1"/>
      <c r="D2492" s="7"/>
      <c r="E2492" s="7"/>
      <c r="F2492" s="55"/>
    </row>
    <row r="2493" spans="2:6" ht="15" customHeight="1" x14ac:dyDescent="0.25">
      <c r="B2493" s="1"/>
      <c r="C2493" s="1"/>
      <c r="D2493" s="7"/>
      <c r="E2493" s="7"/>
      <c r="F2493" s="55"/>
    </row>
    <row r="2494" spans="2:6" ht="15" customHeight="1" x14ac:dyDescent="0.25">
      <c r="B2494" s="1"/>
      <c r="C2494" s="1"/>
      <c r="D2494" s="7"/>
      <c r="E2494" s="7"/>
      <c r="F2494" s="55"/>
    </row>
    <row r="2495" spans="2:6" ht="15" customHeight="1" x14ac:dyDescent="0.25">
      <c r="B2495" s="1"/>
      <c r="C2495" s="1"/>
      <c r="D2495" s="7"/>
      <c r="E2495" s="7"/>
      <c r="F2495" s="55"/>
    </row>
    <row r="2496" spans="2:6" ht="15" customHeight="1" x14ac:dyDescent="0.25">
      <c r="B2496" s="1"/>
      <c r="C2496" s="1"/>
      <c r="D2496" s="7"/>
      <c r="E2496" s="7"/>
      <c r="F2496" s="55"/>
    </row>
    <row r="2497" spans="2:6" ht="15" customHeight="1" x14ac:dyDescent="0.25">
      <c r="B2497" s="1"/>
      <c r="C2497" s="1"/>
      <c r="D2497" s="7"/>
      <c r="E2497" s="7"/>
      <c r="F2497" s="55"/>
    </row>
    <row r="2498" spans="2:6" ht="15" customHeight="1" x14ac:dyDescent="0.25">
      <c r="B2498" s="1"/>
      <c r="C2498" s="1"/>
      <c r="D2498" s="7"/>
      <c r="E2498" s="7"/>
      <c r="F2498" s="55"/>
    </row>
    <row r="2499" spans="2:6" ht="15" customHeight="1" x14ac:dyDescent="0.25">
      <c r="B2499" s="1"/>
      <c r="C2499" s="1"/>
      <c r="D2499" s="7"/>
      <c r="E2499" s="7"/>
      <c r="F2499" s="55"/>
    </row>
    <row r="2500" spans="2:6" ht="15" customHeight="1" x14ac:dyDescent="0.25">
      <c r="B2500" s="1"/>
      <c r="C2500" s="1"/>
      <c r="D2500" s="7"/>
      <c r="E2500" s="7"/>
      <c r="F2500" s="55"/>
    </row>
    <row r="2501" spans="2:6" ht="15" customHeight="1" x14ac:dyDescent="0.25">
      <c r="B2501" s="1"/>
      <c r="C2501" s="1"/>
      <c r="D2501" s="7"/>
      <c r="E2501" s="7"/>
      <c r="F2501" s="55"/>
    </row>
    <row r="2502" spans="2:6" ht="15" customHeight="1" x14ac:dyDescent="0.25">
      <c r="B2502" s="1"/>
      <c r="C2502" s="1"/>
      <c r="D2502" s="7"/>
      <c r="E2502" s="7"/>
      <c r="F2502" s="55"/>
    </row>
    <row r="2503" spans="2:6" ht="15" customHeight="1" x14ac:dyDescent="0.25">
      <c r="B2503" s="1"/>
      <c r="C2503" s="1"/>
      <c r="D2503" s="7"/>
      <c r="E2503" s="7"/>
      <c r="F2503" s="55"/>
    </row>
    <row r="2504" spans="2:6" ht="15" customHeight="1" x14ac:dyDescent="0.25">
      <c r="B2504" s="1"/>
      <c r="C2504" s="1"/>
      <c r="D2504" s="7"/>
      <c r="E2504" s="7"/>
      <c r="F2504" s="55"/>
    </row>
    <row r="2505" spans="2:6" ht="15" customHeight="1" x14ac:dyDescent="0.25">
      <c r="B2505" s="1"/>
      <c r="C2505" s="1"/>
      <c r="D2505" s="7"/>
      <c r="E2505" s="7"/>
      <c r="F2505" s="55"/>
    </row>
    <row r="2506" spans="2:6" ht="15" customHeight="1" x14ac:dyDescent="0.25">
      <c r="B2506" s="1"/>
      <c r="C2506" s="1"/>
      <c r="D2506" s="7"/>
      <c r="E2506" s="7"/>
      <c r="F2506" s="55"/>
    </row>
    <row r="2507" spans="2:6" ht="15" customHeight="1" x14ac:dyDescent="0.25">
      <c r="B2507" s="1"/>
      <c r="C2507" s="1"/>
      <c r="D2507" s="7"/>
      <c r="E2507" s="7"/>
      <c r="F2507" s="55"/>
    </row>
    <row r="2508" spans="2:6" ht="15" customHeight="1" x14ac:dyDescent="0.25">
      <c r="B2508" s="1"/>
      <c r="C2508" s="1"/>
      <c r="D2508" s="7"/>
      <c r="E2508" s="7"/>
      <c r="F2508" s="55"/>
    </row>
    <row r="2509" spans="2:6" ht="15" customHeight="1" x14ac:dyDescent="0.25">
      <c r="B2509" s="1"/>
      <c r="C2509" s="1"/>
      <c r="D2509" s="7"/>
      <c r="E2509" s="7"/>
      <c r="F2509" s="55"/>
    </row>
    <row r="2510" spans="2:6" ht="15" customHeight="1" x14ac:dyDescent="0.25">
      <c r="B2510" s="1"/>
      <c r="C2510" s="1"/>
      <c r="D2510" s="7"/>
      <c r="E2510" s="7"/>
      <c r="F2510" s="55"/>
    </row>
    <row r="2511" spans="2:6" ht="15" customHeight="1" x14ac:dyDescent="0.25">
      <c r="B2511" s="1"/>
      <c r="C2511" s="1"/>
      <c r="D2511" s="7"/>
      <c r="E2511" s="7"/>
      <c r="F2511" s="55"/>
    </row>
    <row r="2512" spans="2:6" ht="15" customHeight="1" x14ac:dyDescent="0.25">
      <c r="B2512" s="1"/>
      <c r="C2512" s="1"/>
      <c r="D2512" s="7"/>
      <c r="E2512" s="7"/>
      <c r="F2512" s="55"/>
    </row>
    <row r="2513" spans="2:6" ht="15" customHeight="1" x14ac:dyDescent="0.25">
      <c r="B2513" s="1"/>
      <c r="C2513" s="1"/>
      <c r="D2513" s="7"/>
      <c r="E2513" s="7"/>
      <c r="F2513" s="55"/>
    </row>
    <row r="2514" spans="2:6" ht="15" customHeight="1" x14ac:dyDescent="0.25">
      <c r="B2514" s="1"/>
      <c r="C2514" s="1"/>
      <c r="D2514" s="7"/>
      <c r="E2514" s="7"/>
      <c r="F2514" s="55"/>
    </row>
    <row r="2515" spans="2:6" ht="15" customHeight="1" x14ac:dyDescent="0.25">
      <c r="B2515" s="1"/>
      <c r="C2515" s="1"/>
      <c r="D2515" s="7"/>
      <c r="E2515" s="7"/>
      <c r="F2515" s="55"/>
    </row>
    <row r="2516" spans="2:6" ht="15" customHeight="1" x14ac:dyDescent="0.25">
      <c r="B2516" s="1"/>
      <c r="C2516" s="1"/>
      <c r="D2516" s="7"/>
      <c r="E2516" s="7"/>
      <c r="F2516" s="55"/>
    </row>
    <row r="2517" spans="2:6" ht="15" customHeight="1" x14ac:dyDescent="0.25">
      <c r="B2517" s="1"/>
      <c r="C2517" s="1"/>
      <c r="D2517" s="7"/>
      <c r="E2517" s="7"/>
      <c r="F2517" s="55"/>
    </row>
    <row r="2518" spans="2:6" ht="15" customHeight="1" x14ac:dyDescent="0.25">
      <c r="B2518" s="1"/>
      <c r="C2518" s="1"/>
      <c r="D2518" s="7"/>
      <c r="E2518" s="7"/>
      <c r="F2518" s="55"/>
    </row>
    <row r="2519" spans="2:6" ht="15" customHeight="1" x14ac:dyDescent="0.25">
      <c r="B2519" s="1"/>
      <c r="C2519" s="1"/>
      <c r="D2519" s="7"/>
      <c r="E2519" s="7"/>
      <c r="F2519" s="55"/>
    </row>
    <row r="2520" spans="2:6" ht="15" customHeight="1" x14ac:dyDescent="0.25">
      <c r="B2520" s="1"/>
      <c r="C2520" s="1"/>
      <c r="D2520" s="7"/>
      <c r="E2520" s="7"/>
      <c r="F2520" s="55"/>
    </row>
    <row r="2521" spans="2:6" ht="15" customHeight="1" x14ac:dyDescent="0.25">
      <c r="B2521" s="1"/>
      <c r="C2521" s="1"/>
      <c r="D2521" s="7"/>
      <c r="E2521" s="7"/>
      <c r="F2521" s="55"/>
    </row>
    <row r="2522" spans="2:6" ht="15" customHeight="1" x14ac:dyDescent="0.25">
      <c r="B2522" s="1"/>
      <c r="C2522" s="1"/>
      <c r="D2522" s="7"/>
      <c r="E2522" s="7"/>
      <c r="F2522" s="55"/>
    </row>
    <row r="2523" spans="2:6" ht="15" customHeight="1" x14ac:dyDescent="0.25">
      <c r="B2523" s="1"/>
      <c r="C2523" s="1"/>
      <c r="D2523" s="7"/>
      <c r="E2523" s="7"/>
      <c r="F2523" s="55"/>
    </row>
    <row r="2524" spans="2:6" ht="15" customHeight="1" x14ac:dyDescent="0.25">
      <c r="B2524" s="1"/>
      <c r="C2524" s="1"/>
      <c r="D2524" s="7"/>
      <c r="E2524" s="7"/>
      <c r="F2524" s="55"/>
    </row>
    <row r="2525" spans="2:6" ht="15" customHeight="1" x14ac:dyDescent="0.25">
      <c r="B2525" s="1"/>
      <c r="C2525" s="1"/>
      <c r="D2525" s="7"/>
      <c r="E2525" s="7"/>
      <c r="F2525" s="55"/>
    </row>
    <row r="2526" spans="2:6" ht="15" customHeight="1" x14ac:dyDescent="0.25">
      <c r="B2526" s="1"/>
      <c r="C2526" s="1"/>
      <c r="D2526" s="7"/>
      <c r="E2526" s="7"/>
      <c r="F2526" s="55"/>
    </row>
    <row r="2527" spans="2:6" ht="15" customHeight="1" x14ac:dyDescent="0.25">
      <c r="B2527" s="1"/>
      <c r="C2527" s="1"/>
      <c r="D2527" s="7"/>
      <c r="E2527" s="7"/>
      <c r="F2527" s="55"/>
    </row>
    <row r="2528" spans="2:6" ht="15" customHeight="1" x14ac:dyDescent="0.25">
      <c r="B2528" s="1"/>
      <c r="C2528" s="1"/>
      <c r="D2528" s="7"/>
      <c r="E2528" s="7"/>
      <c r="F2528" s="55"/>
    </row>
    <row r="2529" spans="2:6" ht="15" customHeight="1" x14ac:dyDescent="0.25">
      <c r="B2529" s="1"/>
      <c r="C2529" s="1"/>
      <c r="D2529" s="7"/>
      <c r="E2529" s="7"/>
      <c r="F2529" s="55"/>
    </row>
    <row r="2530" spans="2:6" ht="15" customHeight="1" x14ac:dyDescent="0.25">
      <c r="B2530" s="1"/>
      <c r="C2530" s="1"/>
      <c r="D2530" s="7"/>
      <c r="E2530" s="7"/>
      <c r="F2530" s="55"/>
    </row>
    <row r="2531" spans="2:6" ht="15" customHeight="1" x14ac:dyDescent="0.25">
      <c r="B2531" s="1"/>
      <c r="C2531" s="1"/>
      <c r="D2531" s="7"/>
      <c r="E2531" s="7"/>
      <c r="F2531" s="55"/>
    </row>
    <row r="2532" spans="2:6" ht="15" customHeight="1" x14ac:dyDescent="0.25">
      <c r="B2532" s="1"/>
      <c r="C2532" s="1"/>
      <c r="D2532" s="7"/>
      <c r="E2532" s="7"/>
      <c r="F2532" s="55"/>
    </row>
    <row r="2533" spans="2:6" ht="15" customHeight="1" x14ac:dyDescent="0.25">
      <c r="B2533" s="1"/>
      <c r="C2533" s="1"/>
      <c r="D2533" s="7"/>
      <c r="E2533" s="7"/>
      <c r="F2533" s="55"/>
    </row>
    <row r="2534" spans="2:6" ht="15" customHeight="1" x14ac:dyDescent="0.25">
      <c r="B2534" s="1"/>
      <c r="C2534" s="1"/>
      <c r="D2534" s="7"/>
      <c r="E2534" s="7"/>
      <c r="F2534" s="55"/>
    </row>
    <row r="2535" spans="2:6" ht="15" customHeight="1" x14ac:dyDescent="0.25">
      <c r="B2535" s="1"/>
      <c r="C2535" s="1"/>
      <c r="D2535" s="7"/>
      <c r="E2535" s="7"/>
      <c r="F2535" s="55"/>
    </row>
    <row r="2536" spans="2:6" ht="15" customHeight="1" x14ac:dyDescent="0.25">
      <c r="B2536" s="1"/>
      <c r="C2536" s="1"/>
      <c r="D2536" s="7"/>
      <c r="E2536" s="7"/>
      <c r="F2536" s="55"/>
    </row>
    <row r="2537" spans="2:6" ht="15" customHeight="1" x14ac:dyDescent="0.25">
      <c r="B2537" s="1"/>
      <c r="C2537" s="1"/>
      <c r="D2537" s="7"/>
      <c r="E2537" s="7"/>
      <c r="F2537" s="55"/>
    </row>
    <row r="2538" spans="2:6" ht="15" customHeight="1" x14ac:dyDescent="0.25">
      <c r="B2538" s="1"/>
      <c r="C2538" s="1"/>
      <c r="D2538" s="7"/>
      <c r="E2538" s="7"/>
      <c r="F2538" s="55"/>
    </row>
    <row r="2539" spans="2:6" ht="15" customHeight="1" x14ac:dyDescent="0.25">
      <c r="B2539" s="1"/>
      <c r="C2539" s="1"/>
      <c r="D2539" s="7"/>
      <c r="E2539" s="7"/>
      <c r="F2539" s="55"/>
    </row>
    <row r="2540" spans="2:6" ht="15" customHeight="1" x14ac:dyDescent="0.25">
      <c r="B2540" s="1"/>
      <c r="C2540" s="1"/>
      <c r="D2540" s="7"/>
      <c r="E2540" s="7"/>
      <c r="F2540" s="55"/>
    </row>
    <row r="2541" spans="2:6" ht="15" customHeight="1" x14ac:dyDescent="0.25">
      <c r="B2541" s="1"/>
      <c r="C2541" s="1"/>
      <c r="D2541" s="7"/>
      <c r="E2541" s="7"/>
      <c r="F2541" s="55"/>
    </row>
    <row r="2542" spans="2:6" ht="15" customHeight="1" x14ac:dyDescent="0.25">
      <c r="B2542" s="1"/>
      <c r="C2542" s="1"/>
      <c r="D2542" s="7"/>
      <c r="E2542" s="7"/>
      <c r="F2542" s="55"/>
    </row>
    <row r="2543" spans="2:6" ht="15" customHeight="1" x14ac:dyDescent="0.25">
      <c r="B2543" s="1"/>
      <c r="C2543" s="1"/>
      <c r="D2543" s="7"/>
      <c r="E2543" s="7"/>
      <c r="F2543" s="55"/>
    </row>
    <row r="2544" spans="2:6" ht="15" customHeight="1" x14ac:dyDescent="0.25">
      <c r="B2544" s="1"/>
      <c r="C2544" s="1"/>
      <c r="D2544" s="7"/>
      <c r="E2544" s="7"/>
      <c r="F2544" s="55"/>
    </row>
    <row r="2545" spans="2:6" ht="15" customHeight="1" x14ac:dyDescent="0.25">
      <c r="B2545" s="1"/>
      <c r="C2545" s="1"/>
      <c r="D2545" s="7"/>
      <c r="E2545" s="7"/>
      <c r="F2545" s="55"/>
    </row>
    <row r="2546" spans="2:6" ht="15" customHeight="1" x14ac:dyDescent="0.25">
      <c r="B2546" s="1"/>
      <c r="C2546" s="1"/>
      <c r="D2546" s="7"/>
      <c r="E2546" s="7"/>
      <c r="F2546" s="55"/>
    </row>
    <row r="2547" spans="2:6" ht="15" customHeight="1" x14ac:dyDescent="0.25">
      <c r="B2547" s="1"/>
      <c r="C2547" s="1"/>
      <c r="D2547" s="7"/>
      <c r="E2547" s="7"/>
      <c r="F2547" s="55"/>
    </row>
    <row r="2548" spans="2:6" ht="15" customHeight="1" x14ac:dyDescent="0.25">
      <c r="B2548" s="1"/>
      <c r="C2548" s="1"/>
      <c r="D2548" s="7"/>
      <c r="E2548" s="7"/>
      <c r="F2548" s="55"/>
    </row>
    <row r="2549" spans="2:6" ht="15" customHeight="1" x14ac:dyDescent="0.25">
      <c r="B2549" s="1"/>
      <c r="C2549" s="1"/>
      <c r="D2549" s="7"/>
      <c r="E2549" s="7"/>
      <c r="F2549" s="55"/>
    </row>
    <row r="2550" spans="2:6" ht="15" customHeight="1" x14ac:dyDescent="0.25">
      <c r="B2550" s="1"/>
      <c r="C2550" s="1"/>
      <c r="D2550" s="7"/>
      <c r="E2550" s="7"/>
      <c r="F2550" s="55"/>
    </row>
    <row r="2551" spans="2:6" ht="15" customHeight="1" x14ac:dyDescent="0.25">
      <c r="B2551" s="1"/>
      <c r="C2551" s="1"/>
      <c r="D2551" s="7"/>
      <c r="E2551" s="7"/>
      <c r="F2551" s="55"/>
    </row>
    <row r="2552" spans="2:6" ht="15" customHeight="1" x14ac:dyDescent="0.25">
      <c r="B2552" s="1"/>
      <c r="C2552" s="1"/>
      <c r="D2552" s="7"/>
      <c r="E2552" s="7"/>
      <c r="F2552" s="55"/>
    </row>
    <row r="2553" spans="2:6" ht="15" customHeight="1" x14ac:dyDescent="0.25">
      <c r="B2553" s="1"/>
      <c r="C2553" s="1"/>
      <c r="D2553" s="7"/>
      <c r="E2553" s="7"/>
      <c r="F2553" s="55"/>
    </row>
    <row r="2554" spans="2:6" ht="15" customHeight="1" x14ac:dyDescent="0.25">
      <c r="B2554" s="1"/>
      <c r="C2554" s="1"/>
      <c r="D2554" s="7"/>
      <c r="E2554" s="7"/>
      <c r="F2554" s="55"/>
    </row>
    <row r="2555" spans="2:6" ht="15" customHeight="1" x14ac:dyDescent="0.25">
      <c r="B2555" s="1"/>
      <c r="C2555" s="1"/>
      <c r="D2555" s="7"/>
      <c r="E2555" s="7"/>
      <c r="F2555" s="55"/>
    </row>
    <row r="2556" spans="2:6" ht="15" customHeight="1" x14ac:dyDescent="0.25">
      <c r="B2556" s="1"/>
      <c r="C2556" s="1"/>
      <c r="D2556" s="7"/>
      <c r="E2556" s="7"/>
      <c r="F2556" s="55"/>
    </row>
    <row r="2557" spans="2:6" ht="15" customHeight="1" x14ac:dyDescent="0.25">
      <c r="B2557" s="1"/>
      <c r="C2557" s="1"/>
      <c r="D2557" s="5"/>
      <c r="E2557" s="5"/>
      <c r="F2557" s="55"/>
    </row>
    <row r="2558" spans="2:6" ht="15" customHeight="1" x14ac:dyDescent="0.25">
      <c r="B2558" s="1"/>
      <c r="C2558" s="1"/>
      <c r="D2558" s="5"/>
      <c r="E2558" s="5"/>
      <c r="F2558" s="55"/>
    </row>
    <row r="2559" spans="2:6" ht="15" customHeight="1" x14ac:dyDescent="0.25">
      <c r="B2559" s="1"/>
      <c r="C2559" s="1"/>
      <c r="D2559" s="5"/>
      <c r="E2559" s="5"/>
      <c r="F2559" s="55"/>
    </row>
    <row r="2560" spans="2:6" ht="15" customHeight="1" x14ac:dyDescent="0.25">
      <c r="B2560" s="1"/>
      <c r="C2560" s="1"/>
      <c r="D2560" s="5"/>
      <c r="E2560" s="5"/>
      <c r="F2560" s="55"/>
    </row>
    <row r="2561" spans="2:6" ht="15" customHeight="1" x14ac:dyDescent="0.25">
      <c r="B2561" s="1"/>
      <c r="C2561" s="1"/>
      <c r="D2561" s="5"/>
      <c r="E2561" s="5"/>
      <c r="F2561" s="55"/>
    </row>
    <row r="2562" spans="2:6" ht="15" customHeight="1" x14ac:dyDescent="0.25">
      <c r="B2562" s="1"/>
      <c r="C2562" s="1"/>
      <c r="D2562" s="5"/>
      <c r="E2562" s="5"/>
      <c r="F2562" s="55"/>
    </row>
    <row r="2563" spans="2:6" ht="15" customHeight="1" x14ac:dyDescent="0.25">
      <c r="B2563" s="1"/>
      <c r="C2563" s="1"/>
      <c r="D2563" s="5"/>
      <c r="E2563" s="5"/>
      <c r="F2563" s="55"/>
    </row>
    <row r="2564" spans="2:6" ht="15" customHeight="1" x14ac:dyDescent="0.25">
      <c r="B2564" s="1"/>
      <c r="C2564" s="1"/>
      <c r="D2564" s="5"/>
      <c r="E2564" s="5"/>
      <c r="F2564" s="55"/>
    </row>
    <row r="2565" spans="2:6" ht="15" customHeight="1" x14ac:dyDescent="0.25">
      <c r="B2565" s="1"/>
      <c r="C2565" s="1"/>
      <c r="D2565" s="5"/>
      <c r="E2565" s="5"/>
      <c r="F2565" s="55"/>
    </row>
    <row r="2566" spans="2:6" ht="15" customHeight="1" x14ac:dyDescent="0.25">
      <c r="C2566" s="2"/>
      <c r="D2566" s="3"/>
      <c r="E2566" s="3"/>
      <c r="F2566" s="56"/>
    </row>
    <row r="2567" spans="2:6" ht="15" customHeight="1" x14ac:dyDescent="0.25">
      <c r="C2567" s="2"/>
      <c r="D2567" s="3"/>
      <c r="E2567" s="3"/>
      <c r="F2567" s="56"/>
    </row>
    <row r="2568" spans="2:6" ht="15" customHeight="1" x14ac:dyDescent="0.25">
      <c r="B2568" s="1"/>
      <c r="C2568" s="1"/>
      <c r="D2568" s="3"/>
      <c r="E2568" s="3"/>
      <c r="F2568" s="56"/>
    </row>
    <row r="2569" spans="2:6" ht="15" customHeight="1" x14ac:dyDescent="0.25">
      <c r="B2569" s="1"/>
      <c r="C2569" s="1"/>
      <c r="D2569" s="3"/>
      <c r="E2569" s="3"/>
      <c r="F2569" s="56"/>
    </row>
    <row r="2570" spans="2:6" ht="15" customHeight="1" x14ac:dyDescent="0.25">
      <c r="B2570" s="1"/>
      <c r="C2570" s="1"/>
      <c r="D2570" s="3"/>
      <c r="E2570" s="3"/>
      <c r="F2570" s="56"/>
    </row>
    <row r="2571" spans="2:6" ht="15" customHeight="1" x14ac:dyDescent="0.25">
      <c r="B2571" s="1"/>
      <c r="C2571" s="1"/>
      <c r="D2571" s="3"/>
      <c r="E2571" s="3"/>
      <c r="F2571" s="56"/>
    </row>
    <row r="2572" spans="2:6" ht="15" customHeight="1" x14ac:dyDescent="0.25">
      <c r="B2572" s="1"/>
      <c r="C2572" s="1"/>
      <c r="D2572" s="3"/>
      <c r="E2572" s="3"/>
      <c r="F2572" s="56"/>
    </row>
    <row r="2573" spans="2:6" ht="15" customHeight="1" x14ac:dyDescent="0.25">
      <c r="B2573" s="1"/>
      <c r="C2573" s="1"/>
      <c r="D2573" s="3"/>
      <c r="E2573" s="3"/>
      <c r="F2573" s="56"/>
    </row>
    <row r="2574" spans="2:6" ht="15" customHeight="1" x14ac:dyDescent="0.25">
      <c r="B2574" s="1"/>
      <c r="C2574" s="1"/>
      <c r="D2574" s="3"/>
      <c r="E2574" s="3"/>
      <c r="F2574" s="56"/>
    </row>
    <row r="2575" spans="2:6" ht="15" customHeight="1" x14ac:dyDescent="0.25">
      <c r="B2575" s="1"/>
      <c r="C2575" s="1"/>
      <c r="D2575" s="3"/>
      <c r="E2575" s="3"/>
      <c r="F2575" s="56"/>
    </row>
    <row r="2576" spans="2:6" ht="15" customHeight="1" x14ac:dyDescent="0.25">
      <c r="B2576" s="1"/>
      <c r="C2576" s="1"/>
      <c r="D2576" s="3"/>
      <c r="E2576" s="3"/>
      <c r="F2576" s="56"/>
    </row>
    <row r="2577" spans="2:6" ht="15" customHeight="1" x14ac:dyDescent="0.25">
      <c r="B2577" s="1"/>
      <c r="C2577" s="1"/>
      <c r="D2577" s="3"/>
      <c r="E2577" s="3"/>
      <c r="F2577" s="56"/>
    </row>
    <row r="2578" spans="2:6" ht="15" customHeight="1" x14ac:dyDescent="0.25">
      <c r="B2578" s="1"/>
      <c r="C2578" s="1"/>
      <c r="D2578" s="3"/>
      <c r="E2578" s="3"/>
      <c r="F2578" s="56"/>
    </row>
    <row r="2579" spans="2:6" ht="15" customHeight="1" x14ac:dyDescent="0.25">
      <c r="B2579" s="1"/>
      <c r="C2579" s="1"/>
      <c r="D2579" s="3"/>
      <c r="E2579" s="3"/>
      <c r="F2579" s="56"/>
    </row>
    <row r="2580" spans="2:6" ht="15" customHeight="1" x14ac:dyDescent="0.25">
      <c r="B2580" s="1"/>
      <c r="C2580" s="1"/>
      <c r="D2580" s="3"/>
      <c r="E2580" s="3"/>
      <c r="F2580" s="56"/>
    </row>
    <row r="2581" spans="2:6" ht="15" customHeight="1" x14ac:dyDescent="0.25">
      <c r="B2581" s="1"/>
      <c r="C2581" s="1"/>
      <c r="D2581" s="3"/>
      <c r="E2581" s="3"/>
      <c r="F2581" s="56"/>
    </row>
    <row r="2582" spans="2:6" ht="15" customHeight="1" x14ac:dyDescent="0.25">
      <c r="B2582" s="1"/>
      <c r="C2582" s="1"/>
      <c r="D2582" s="3"/>
      <c r="E2582" s="3"/>
      <c r="F2582" s="56"/>
    </row>
    <row r="2583" spans="2:6" ht="15" customHeight="1" x14ac:dyDescent="0.25">
      <c r="B2583" s="1"/>
      <c r="C2583" s="1"/>
      <c r="D2583" s="3"/>
      <c r="E2583" s="3"/>
      <c r="F2583" s="56"/>
    </row>
    <row r="2584" spans="2:6" ht="15" customHeight="1" x14ac:dyDescent="0.25">
      <c r="B2584" s="1"/>
      <c r="C2584" s="1"/>
      <c r="D2584" s="3"/>
      <c r="E2584" s="3"/>
      <c r="F2584" s="56"/>
    </row>
    <row r="2585" spans="2:6" collapsed="1" x14ac:dyDescent="0.25"/>
  </sheetData>
  <sortState xmlns:xlrd2="http://schemas.microsoft.com/office/spreadsheetml/2017/richdata2" ref="A9:M307">
    <sortCondition ref="B9:B307"/>
  </sortState>
  <pageMargins left="0.75" right="0.75" top="1" bottom="1" header="0.5" footer="0.5"/>
  <pageSetup scale="45" fitToHeight="0" orientation="landscape" horizontalDpi="300" verticalDpi="300" r:id="rId1"/>
  <headerFooter alignWithMargins="0">
    <oddHeader>&amp;C&amp;"Calibri,Bold"&amp;28&amp;A&amp;R&amp;"Calibri,Bold"&amp;28&amp;P</oddHeader>
  </headerFooter>
  <rowBreaks count="3" manualBreakCount="3">
    <brk id="72" max="12" man="1"/>
    <brk id="224" max="12" man="1"/>
    <brk id="228" max="12" man="1"/>
  </rowBreaks>
  <colBreaks count="1" manualBreakCount="1">
    <brk id="6" max="306"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14"/>
  <sheetViews>
    <sheetView zoomScaleNormal="100" workbookViewId="0">
      <pane ySplit="1" topLeftCell="A2" activePane="bottomLeft" state="frozen"/>
      <selection pane="bottomLeft" activeCell="F12" sqref="F12"/>
    </sheetView>
  </sheetViews>
  <sheetFormatPr defaultColWidth="8.77734375" defaultRowHeight="13.8" x14ac:dyDescent="0.25"/>
  <cols>
    <col min="1" max="1" width="36.44140625" style="4" bestFit="1" customWidth="1"/>
    <col min="2" max="2" width="8.77734375" style="4"/>
    <col min="3" max="3" width="42.88671875" style="4" bestFit="1" customWidth="1"/>
    <col min="4" max="16384" width="8.77734375" style="4"/>
  </cols>
  <sheetData>
    <row r="1" spans="1:3" ht="15" thickBot="1" x14ac:dyDescent="0.35">
      <c r="A1" s="87" t="s">
        <v>2943</v>
      </c>
      <c r="B1" s="88" t="s">
        <v>2</v>
      </c>
      <c r="C1" s="89" t="s">
        <v>2944</v>
      </c>
    </row>
    <row r="2" spans="1:3" ht="14.4" x14ac:dyDescent="0.3">
      <c r="A2" s="90" t="s">
        <v>2945</v>
      </c>
      <c r="B2" s="90" t="s">
        <v>924</v>
      </c>
      <c r="C2" s="90" t="s">
        <v>916</v>
      </c>
    </row>
    <row r="3" spans="1:3" ht="14.4" x14ac:dyDescent="0.3">
      <c r="A3" s="90" t="s">
        <v>2946</v>
      </c>
      <c r="B3" s="90" t="s">
        <v>69</v>
      </c>
      <c r="C3" s="90" t="s">
        <v>68</v>
      </c>
    </row>
    <row r="4" spans="1:3" ht="14.4" x14ac:dyDescent="0.3">
      <c r="A4" s="90" t="s">
        <v>2947</v>
      </c>
      <c r="B4" s="90" t="s">
        <v>1608</v>
      </c>
      <c r="C4" s="90" t="s">
        <v>1606</v>
      </c>
    </row>
    <row r="5" spans="1:3" ht="14.4" x14ac:dyDescent="0.3">
      <c r="A5" s="90" t="s">
        <v>2948</v>
      </c>
      <c r="B5" s="90" t="s">
        <v>53</v>
      </c>
      <c r="C5" s="90" t="s">
        <v>50</v>
      </c>
    </row>
    <row r="6" spans="1:3" ht="14.4" x14ac:dyDescent="0.3">
      <c r="A6" s="90" t="s">
        <v>2949</v>
      </c>
      <c r="B6" s="90" t="s">
        <v>2216</v>
      </c>
      <c r="C6" s="90" t="s">
        <v>2214</v>
      </c>
    </row>
    <row r="7" spans="1:3" ht="14.4" x14ac:dyDescent="0.3">
      <c r="A7" s="90" t="s">
        <v>2950</v>
      </c>
      <c r="B7" s="90" t="s">
        <v>2429</v>
      </c>
      <c r="C7" s="90" t="s">
        <v>2421</v>
      </c>
    </row>
    <row r="8" spans="1:3" ht="14.4" x14ac:dyDescent="0.3">
      <c r="A8" s="90" t="s">
        <v>2951</v>
      </c>
      <c r="B8" s="90" t="s">
        <v>632</v>
      </c>
      <c r="C8" s="90" t="s">
        <v>627</v>
      </c>
    </row>
    <row r="9" spans="1:3" ht="14.4" x14ac:dyDescent="0.3">
      <c r="A9" s="90" t="s">
        <v>2952</v>
      </c>
      <c r="B9" s="90" t="s">
        <v>2684</v>
      </c>
      <c r="C9" s="90" t="s">
        <v>2683</v>
      </c>
    </row>
    <row r="10" spans="1:3" ht="14.4" x14ac:dyDescent="0.3">
      <c r="A10" s="90" t="s">
        <v>2953</v>
      </c>
      <c r="B10" s="90" t="s">
        <v>860</v>
      </c>
      <c r="C10" s="90" t="s">
        <v>859</v>
      </c>
    </row>
    <row r="11" spans="1:3" ht="14.4" x14ac:dyDescent="0.3">
      <c r="A11" s="90" t="s">
        <v>2954</v>
      </c>
      <c r="B11" s="90" t="s">
        <v>2189</v>
      </c>
      <c r="C11" s="90" t="s">
        <v>2182</v>
      </c>
    </row>
    <row r="12" spans="1:3" ht="14.4" x14ac:dyDescent="0.3">
      <c r="A12" s="90" t="s">
        <v>2955</v>
      </c>
      <c r="B12" s="90" t="s">
        <v>64</v>
      </c>
      <c r="C12" s="90" t="s">
        <v>62</v>
      </c>
    </row>
    <row r="13" spans="1:3" ht="14.4" x14ac:dyDescent="0.3">
      <c r="A13" s="90" t="s">
        <v>2956</v>
      </c>
      <c r="B13" s="90" t="s">
        <v>20</v>
      </c>
      <c r="C13" s="90" t="s">
        <v>7</v>
      </c>
    </row>
    <row r="14" spans="1:3" ht="14.4" x14ac:dyDescent="0.3">
      <c r="A14" s="90" t="s">
        <v>2957</v>
      </c>
      <c r="B14" s="90" t="s">
        <v>922</v>
      </c>
      <c r="C14" s="90" t="s">
        <v>916</v>
      </c>
    </row>
    <row r="15" spans="1:3" ht="14.4" x14ac:dyDescent="0.3">
      <c r="A15" s="90" t="s">
        <v>2958</v>
      </c>
      <c r="B15" s="90" t="s">
        <v>1040</v>
      </c>
      <c r="C15" s="90" t="s">
        <v>1038</v>
      </c>
    </row>
    <row r="16" spans="1:3" ht="14.4" x14ac:dyDescent="0.3">
      <c r="A16" s="90" t="s">
        <v>2959</v>
      </c>
      <c r="B16" s="90" t="s">
        <v>1673</v>
      </c>
      <c r="C16" s="90" t="s">
        <v>1672</v>
      </c>
    </row>
    <row r="17" spans="1:3" ht="14.4" x14ac:dyDescent="0.3">
      <c r="A17" s="90" t="s">
        <v>2960</v>
      </c>
      <c r="B17" s="90" t="s">
        <v>237</v>
      </c>
      <c r="C17" s="90" t="s">
        <v>203</v>
      </c>
    </row>
    <row r="18" spans="1:3" ht="14.4" x14ac:dyDescent="0.3">
      <c r="A18" s="90" t="s">
        <v>2961</v>
      </c>
      <c r="B18" s="90" t="s">
        <v>1097</v>
      </c>
      <c r="C18" s="90" t="s">
        <v>1090</v>
      </c>
    </row>
    <row r="19" spans="1:3" ht="14.4" x14ac:dyDescent="0.3">
      <c r="A19" s="90" t="s">
        <v>2962</v>
      </c>
      <c r="B19" s="90" t="s">
        <v>734</v>
      </c>
      <c r="C19" s="90" t="s">
        <v>675</v>
      </c>
    </row>
    <row r="20" spans="1:3" ht="14.4" x14ac:dyDescent="0.3">
      <c r="A20" s="90" t="s">
        <v>2963</v>
      </c>
      <c r="B20" s="90" t="s">
        <v>153</v>
      </c>
      <c r="C20" s="90" t="s">
        <v>151</v>
      </c>
    </row>
    <row r="21" spans="1:3" ht="14.4" x14ac:dyDescent="0.3">
      <c r="A21" s="90" t="s">
        <v>2964</v>
      </c>
      <c r="B21" s="90" t="s">
        <v>676</v>
      </c>
      <c r="C21" s="90" t="s">
        <v>675</v>
      </c>
    </row>
    <row r="22" spans="1:3" ht="14.4" x14ac:dyDescent="0.3">
      <c r="A22" s="90" t="s">
        <v>2965</v>
      </c>
      <c r="B22" s="90" t="s">
        <v>1636</v>
      </c>
      <c r="C22" s="90" t="s">
        <v>1631</v>
      </c>
    </row>
    <row r="23" spans="1:3" ht="14.4" x14ac:dyDescent="0.3">
      <c r="A23" s="90" t="s">
        <v>2966</v>
      </c>
      <c r="B23" s="90" t="s">
        <v>1635</v>
      </c>
      <c r="C23" s="90" t="s">
        <v>1631</v>
      </c>
    </row>
    <row r="24" spans="1:3" ht="14.4" x14ac:dyDescent="0.3">
      <c r="A24" s="90" t="s">
        <v>2967</v>
      </c>
      <c r="B24" s="90" t="s">
        <v>235</v>
      </c>
      <c r="C24" s="90" t="s">
        <v>203</v>
      </c>
    </row>
    <row r="25" spans="1:3" ht="14.4" x14ac:dyDescent="0.3">
      <c r="A25" s="90" t="s">
        <v>2968</v>
      </c>
      <c r="B25" s="90" t="s">
        <v>748</v>
      </c>
      <c r="C25" s="90" t="s">
        <v>744</v>
      </c>
    </row>
    <row r="26" spans="1:3" ht="14.4" x14ac:dyDescent="0.3">
      <c r="A26" s="90" t="s">
        <v>2969</v>
      </c>
      <c r="B26" s="90" t="s">
        <v>450</v>
      </c>
      <c r="C26" s="90" t="s">
        <v>449</v>
      </c>
    </row>
    <row r="27" spans="1:3" ht="14.4" x14ac:dyDescent="0.3">
      <c r="A27" s="90" t="s">
        <v>2970</v>
      </c>
      <c r="B27" s="90" t="s">
        <v>241</v>
      </c>
      <c r="C27" s="90" t="s">
        <v>203</v>
      </c>
    </row>
    <row r="28" spans="1:3" ht="14.4" x14ac:dyDescent="0.3">
      <c r="A28" s="90" t="s">
        <v>2971</v>
      </c>
      <c r="B28" s="90" t="s">
        <v>2155</v>
      </c>
      <c r="C28" s="90" t="s">
        <v>2153</v>
      </c>
    </row>
    <row r="29" spans="1:3" ht="14.4" x14ac:dyDescent="0.3">
      <c r="A29" s="90" t="s">
        <v>2972</v>
      </c>
      <c r="B29" s="90" t="s">
        <v>664</v>
      </c>
      <c r="C29" s="90" t="s">
        <v>661</v>
      </c>
    </row>
    <row r="30" spans="1:3" ht="14.4" x14ac:dyDescent="0.3">
      <c r="A30" s="90" t="s">
        <v>2973</v>
      </c>
      <c r="B30" s="90" t="s">
        <v>1055</v>
      </c>
      <c r="C30" s="90" t="s">
        <v>1050</v>
      </c>
    </row>
    <row r="31" spans="1:3" ht="14.4" x14ac:dyDescent="0.3">
      <c r="A31" s="90" t="s">
        <v>2974</v>
      </c>
      <c r="B31" s="90" t="s">
        <v>1443</v>
      </c>
      <c r="C31" s="90" t="s">
        <v>1440</v>
      </c>
    </row>
    <row r="32" spans="1:3" ht="14.4" x14ac:dyDescent="0.3">
      <c r="A32" s="90" t="s">
        <v>2975</v>
      </c>
      <c r="B32" s="90" t="s">
        <v>1609</v>
      </c>
      <c r="C32" s="90" t="s">
        <v>1606</v>
      </c>
    </row>
    <row r="33" spans="1:3" ht="14.4" x14ac:dyDescent="0.3">
      <c r="A33" s="90" t="s">
        <v>2976</v>
      </c>
      <c r="B33" s="90" t="s">
        <v>476</v>
      </c>
      <c r="C33" s="90" t="s">
        <v>449</v>
      </c>
    </row>
    <row r="34" spans="1:3" ht="14.4" x14ac:dyDescent="0.3">
      <c r="A34" s="90" t="s">
        <v>2977</v>
      </c>
      <c r="B34" s="90" t="s">
        <v>802</v>
      </c>
      <c r="C34" s="90" t="s">
        <v>800</v>
      </c>
    </row>
    <row r="35" spans="1:3" ht="14.4" x14ac:dyDescent="0.3">
      <c r="A35" s="90" t="s">
        <v>2978</v>
      </c>
      <c r="B35" s="90" t="s">
        <v>2500</v>
      </c>
      <c r="C35" s="90" t="s">
        <v>2489</v>
      </c>
    </row>
    <row r="36" spans="1:3" ht="14.4" x14ac:dyDescent="0.3">
      <c r="A36" s="90" t="s">
        <v>2979</v>
      </c>
      <c r="B36" s="90" t="s">
        <v>2403</v>
      </c>
      <c r="C36" s="90" t="s">
        <v>2397</v>
      </c>
    </row>
    <row r="37" spans="1:3" ht="14.4" x14ac:dyDescent="0.3">
      <c r="A37" s="90" t="s">
        <v>1149</v>
      </c>
      <c r="B37" s="90" t="s">
        <v>1150</v>
      </c>
      <c r="C37" s="90" t="s">
        <v>1147</v>
      </c>
    </row>
    <row r="38" spans="1:3" ht="14.4" x14ac:dyDescent="0.3">
      <c r="A38" s="90" t="s">
        <v>2980</v>
      </c>
      <c r="B38" s="90" t="s">
        <v>1339</v>
      </c>
      <c r="C38" s="90" t="s">
        <v>1338</v>
      </c>
    </row>
    <row r="39" spans="1:3" ht="14.4" x14ac:dyDescent="0.3">
      <c r="A39" s="90" t="s">
        <v>2981</v>
      </c>
      <c r="B39" s="90" t="s">
        <v>234</v>
      </c>
      <c r="C39" s="90" t="s">
        <v>203</v>
      </c>
    </row>
    <row r="40" spans="1:3" ht="14.4" x14ac:dyDescent="0.3">
      <c r="A40" s="90" t="s">
        <v>2982</v>
      </c>
      <c r="B40" s="90" t="s">
        <v>478</v>
      </c>
      <c r="C40" s="90" t="s">
        <v>449</v>
      </c>
    </row>
    <row r="41" spans="1:3" ht="14.4" x14ac:dyDescent="0.3">
      <c r="A41" s="90" t="s">
        <v>2983</v>
      </c>
      <c r="B41" s="90" t="s">
        <v>2027</v>
      </c>
      <c r="C41" s="90" t="s">
        <v>2015</v>
      </c>
    </row>
    <row r="42" spans="1:3" ht="14.4" x14ac:dyDescent="0.3">
      <c r="A42" s="90" t="s">
        <v>2984</v>
      </c>
      <c r="B42" s="90" t="s">
        <v>477</v>
      </c>
      <c r="C42" s="90" t="s">
        <v>449</v>
      </c>
    </row>
    <row r="43" spans="1:3" ht="14.4" x14ac:dyDescent="0.3">
      <c r="A43" s="90" t="s">
        <v>2985</v>
      </c>
      <c r="B43" s="90" t="s">
        <v>2501</v>
      </c>
      <c r="C43" s="90" t="s">
        <v>2489</v>
      </c>
    </row>
    <row r="44" spans="1:3" ht="14.4" x14ac:dyDescent="0.3">
      <c r="A44" s="90" t="s">
        <v>2986</v>
      </c>
      <c r="B44" s="90" t="s">
        <v>681</v>
      </c>
      <c r="C44" s="90" t="s">
        <v>675</v>
      </c>
    </row>
    <row r="45" spans="1:3" ht="14.4" x14ac:dyDescent="0.3">
      <c r="A45" s="90" t="s">
        <v>2987</v>
      </c>
      <c r="B45" s="90" t="s">
        <v>1340</v>
      </c>
      <c r="C45" s="90" t="s">
        <v>1338</v>
      </c>
    </row>
    <row r="46" spans="1:3" ht="14.4" x14ac:dyDescent="0.3">
      <c r="A46" s="90" t="s">
        <v>2988</v>
      </c>
      <c r="B46" s="90" t="s">
        <v>2502</v>
      </c>
      <c r="C46" s="90" t="s">
        <v>2489</v>
      </c>
    </row>
    <row r="47" spans="1:3" ht="14.4" x14ac:dyDescent="0.3">
      <c r="A47" s="90" t="s">
        <v>2989</v>
      </c>
      <c r="B47" s="90" t="s">
        <v>2187</v>
      </c>
      <c r="C47" s="90" t="s">
        <v>2182</v>
      </c>
    </row>
    <row r="48" spans="1:3" ht="14.4" x14ac:dyDescent="0.3">
      <c r="A48" s="90" t="s">
        <v>2990</v>
      </c>
      <c r="B48" s="90" t="s">
        <v>2428</v>
      </c>
      <c r="C48" s="90" t="s">
        <v>2421</v>
      </c>
    </row>
    <row r="49" spans="1:3" ht="14.4" x14ac:dyDescent="0.3">
      <c r="A49" s="90" t="s">
        <v>2991</v>
      </c>
      <c r="B49" s="90" t="s">
        <v>1186</v>
      </c>
      <c r="C49" s="90" t="s">
        <v>1185</v>
      </c>
    </row>
    <row r="50" spans="1:3" ht="14.4" x14ac:dyDescent="0.3">
      <c r="A50" s="90" t="s">
        <v>2992</v>
      </c>
      <c r="B50" s="90" t="s">
        <v>1056</v>
      </c>
      <c r="C50" s="90" t="s">
        <v>1050</v>
      </c>
    </row>
    <row r="51" spans="1:3" ht="14.4" x14ac:dyDescent="0.3">
      <c r="A51" s="90" t="s">
        <v>2993</v>
      </c>
      <c r="B51" s="90" t="s">
        <v>169</v>
      </c>
      <c r="C51" s="90" t="s">
        <v>168</v>
      </c>
    </row>
    <row r="52" spans="1:3" ht="14.4" x14ac:dyDescent="0.3">
      <c r="A52" s="90" t="s">
        <v>2994</v>
      </c>
      <c r="B52" s="90" t="s">
        <v>684</v>
      </c>
      <c r="C52" s="90" t="s">
        <v>675</v>
      </c>
    </row>
    <row r="53" spans="1:3" ht="14.4" x14ac:dyDescent="0.3">
      <c r="A53" s="90" t="s">
        <v>2995</v>
      </c>
      <c r="B53" s="90" t="s">
        <v>479</v>
      </c>
      <c r="C53" s="90" t="s">
        <v>449</v>
      </c>
    </row>
    <row r="54" spans="1:3" ht="14.4" x14ac:dyDescent="0.3">
      <c r="A54" s="90" t="s">
        <v>2996</v>
      </c>
      <c r="B54" s="90" t="s">
        <v>876</v>
      </c>
      <c r="C54" s="90" t="s">
        <v>874</v>
      </c>
    </row>
    <row r="55" spans="1:3" ht="14.4" x14ac:dyDescent="0.3">
      <c r="A55" s="90" t="s">
        <v>2997</v>
      </c>
      <c r="B55" s="90" t="s">
        <v>2514</v>
      </c>
      <c r="C55" s="90" t="s">
        <v>2489</v>
      </c>
    </row>
    <row r="56" spans="1:3" ht="14.4" x14ac:dyDescent="0.3">
      <c r="A56" s="90" t="s">
        <v>2998</v>
      </c>
      <c r="B56" s="90" t="s">
        <v>2933</v>
      </c>
      <c r="C56" s="90" t="s">
        <v>2932</v>
      </c>
    </row>
    <row r="57" spans="1:3" ht="14.4" x14ac:dyDescent="0.3">
      <c r="A57" s="90" t="s">
        <v>2999</v>
      </c>
      <c r="B57" s="90" t="s">
        <v>803</v>
      </c>
      <c r="C57" s="90" t="s">
        <v>800</v>
      </c>
    </row>
    <row r="58" spans="1:3" ht="14.4" x14ac:dyDescent="0.3">
      <c r="A58" s="90" t="s">
        <v>3000</v>
      </c>
      <c r="B58" s="90" t="s">
        <v>1610</v>
      </c>
      <c r="C58" s="90" t="s">
        <v>1606</v>
      </c>
    </row>
    <row r="59" spans="1:3" ht="14.4" x14ac:dyDescent="0.3">
      <c r="A59" s="90" t="s">
        <v>3001</v>
      </c>
      <c r="B59" s="90" t="s">
        <v>480</v>
      </c>
      <c r="C59" s="90" t="s">
        <v>449</v>
      </c>
    </row>
    <row r="60" spans="1:3" ht="14.4" x14ac:dyDescent="0.3">
      <c r="A60" s="90" t="s">
        <v>3002</v>
      </c>
      <c r="B60" s="90" t="s">
        <v>1834</v>
      </c>
      <c r="C60" s="90" t="s">
        <v>1833</v>
      </c>
    </row>
    <row r="61" spans="1:3" ht="14.4" x14ac:dyDescent="0.3">
      <c r="A61" s="90" t="s">
        <v>3003</v>
      </c>
      <c r="B61" s="90" t="s">
        <v>2875</v>
      </c>
      <c r="C61" s="90" t="s">
        <v>2874</v>
      </c>
    </row>
    <row r="62" spans="1:3" ht="14.4" x14ac:dyDescent="0.3">
      <c r="A62" s="90" t="s">
        <v>3004</v>
      </c>
      <c r="B62" s="90" t="s">
        <v>1151</v>
      </c>
      <c r="C62" s="90" t="s">
        <v>1147</v>
      </c>
    </row>
    <row r="63" spans="1:3" ht="14.4" x14ac:dyDescent="0.3">
      <c r="A63" s="90" t="s">
        <v>3005</v>
      </c>
      <c r="B63" s="90" t="s">
        <v>1111</v>
      </c>
      <c r="C63" s="90" t="s">
        <v>1106</v>
      </c>
    </row>
    <row r="64" spans="1:3" ht="14.4" x14ac:dyDescent="0.3">
      <c r="A64" s="90" t="s">
        <v>3006</v>
      </c>
      <c r="B64" s="90" t="s">
        <v>1379</v>
      </c>
      <c r="C64" s="90" t="s">
        <v>1375</v>
      </c>
    </row>
    <row r="65" spans="1:3" ht="14.4" x14ac:dyDescent="0.3">
      <c r="A65" s="90" t="s">
        <v>3007</v>
      </c>
      <c r="B65" s="90" t="s">
        <v>96</v>
      </c>
      <c r="C65" s="90" t="s">
        <v>91</v>
      </c>
    </row>
    <row r="66" spans="1:3" ht="14.4" x14ac:dyDescent="0.3">
      <c r="A66" s="90" t="s">
        <v>3008</v>
      </c>
      <c r="B66" s="90" t="s">
        <v>2880</v>
      </c>
      <c r="C66" s="90" t="s">
        <v>2874</v>
      </c>
    </row>
    <row r="67" spans="1:3" ht="14.4" x14ac:dyDescent="0.3">
      <c r="A67" s="90" t="s">
        <v>3009</v>
      </c>
      <c r="B67" s="90" t="s">
        <v>1041</v>
      </c>
      <c r="C67" s="90" t="s">
        <v>1038</v>
      </c>
    </row>
    <row r="68" spans="1:3" ht="14.4" x14ac:dyDescent="0.3">
      <c r="A68" s="90" t="s">
        <v>3010</v>
      </c>
      <c r="B68" s="90" t="s">
        <v>2864</v>
      </c>
      <c r="C68" s="90" t="s">
        <v>2852</v>
      </c>
    </row>
    <row r="69" spans="1:3" ht="14.4" x14ac:dyDescent="0.3">
      <c r="A69" s="90" t="s">
        <v>3011</v>
      </c>
      <c r="B69" s="90" t="s">
        <v>1240</v>
      </c>
      <c r="C69" s="90" t="s">
        <v>1239</v>
      </c>
    </row>
    <row r="70" spans="1:3" ht="14.4" x14ac:dyDescent="0.3">
      <c r="A70" s="90" t="s">
        <v>3012</v>
      </c>
      <c r="B70" s="90" t="s">
        <v>2331</v>
      </c>
      <c r="C70" s="90" t="s">
        <v>2328</v>
      </c>
    </row>
    <row r="71" spans="1:3" ht="14.4" x14ac:dyDescent="0.3">
      <c r="A71" s="90" t="s">
        <v>3013</v>
      </c>
      <c r="B71" s="90" t="s">
        <v>1611</v>
      </c>
      <c r="C71" s="90" t="s">
        <v>1606</v>
      </c>
    </row>
    <row r="72" spans="1:3" ht="14.4" x14ac:dyDescent="0.3">
      <c r="A72" s="90" t="s">
        <v>3014</v>
      </c>
      <c r="B72" s="90" t="s">
        <v>1407</v>
      </c>
      <c r="C72" s="90" t="s">
        <v>1392</v>
      </c>
    </row>
    <row r="73" spans="1:3" ht="14.4" x14ac:dyDescent="0.3">
      <c r="A73" s="90" t="s">
        <v>3015</v>
      </c>
      <c r="B73" s="90" t="s">
        <v>1410</v>
      </c>
      <c r="C73" s="90" t="s">
        <v>1392</v>
      </c>
    </row>
    <row r="74" spans="1:3" ht="14.4" x14ac:dyDescent="0.3">
      <c r="A74" s="90" t="s">
        <v>3016</v>
      </c>
      <c r="B74" s="90" t="s">
        <v>634</v>
      </c>
      <c r="C74" s="90" t="s">
        <v>627</v>
      </c>
    </row>
    <row r="75" spans="1:3" ht="14.4" x14ac:dyDescent="0.3">
      <c r="A75" s="90" t="s">
        <v>3017</v>
      </c>
      <c r="B75" s="90" t="s">
        <v>1378</v>
      </c>
      <c r="C75" s="90" t="s">
        <v>1375</v>
      </c>
    </row>
    <row r="76" spans="1:3" ht="14.4" x14ac:dyDescent="0.3">
      <c r="A76" s="90" t="s">
        <v>3018</v>
      </c>
      <c r="B76" s="90" t="s">
        <v>1409</v>
      </c>
      <c r="C76" s="90" t="s">
        <v>1392</v>
      </c>
    </row>
    <row r="77" spans="1:3" ht="14.4" x14ac:dyDescent="0.3">
      <c r="A77" s="90" t="s">
        <v>3019</v>
      </c>
      <c r="B77" s="90" t="s">
        <v>1175</v>
      </c>
      <c r="C77" s="90" t="s">
        <v>1173</v>
      </c>
    </row>
    <row r="78" spans="1:3" ht="14.4" x14ac:dyDescent="0.3">
      <c r="A78" s="90" t="s">
        <v>3020</v>
      </c>
      <c r="B78" s="90" t="s">
        <v>481</v>
      </c>
      <c r="C78" s="90" t="s">
        <v>449</v>
      </c>
    </row>
    <row r="79" spans="1:3" ht="14.4" x14ac:dyDescent="0.3">
      <c r="A79" s="90" t="s">
        <v>3021</v>
      </c>
      <c r="B79" s="90" t="s">
        <v>44</v>
      </c>
      <c r="C79" s="90" t="s">
        <v>42</v>
      </c>
    </row>
    <row r="80" spans="1:3" ht="14.4" x14ac:dyDescent="0.3">
      <c r="A80" s="90" t="s">
        <v>3022</v>
      </c>
      <c r="B80" s="90" t="s">
        <v>1396</v>
      </c>
      <c r="C80" s="90" t="s">
        <v>1392</v>
      </c>
    </row>
    <row r="81" spans="1:3" ht="14.4" x14ac:dyDescent="0.3">
      <c r="A81" s="90" t="s">
        <v>3023</v>
      </c>
      <c r="B81" s="90" t="s">
        <v>451</v>
      </c>
      <c r="C81" s="90" t="s">
        <v>449</v>
      </c>
    </row>
    <row r="82" spans="1:3" ht="14.4" x14ac:dyDescent="0.3">
      <c r="A82" s="90" t="s">
        <v>3024</v>
      </c>
      <c r="B82" s="90" t="s">
        <v>884</v>
      </c>
      <c r="C82" s="90" t="s">
        <v>874</v>
      </c>
    </row>
    <row r="83" spans="1:3" ht="14.4" x14ac:dyDescent="0.3">
      <c r="A83" s="90" t="s">
        <v>3025</v>
      </c>
      <c r="B83" s="90" t="s">
        <v>1058</v>
      </c>
      <c r="C83" s="90" t="s">
        <v>1050</v>
      </c>
    </row>
    <row r="84" spans="1:3" ht="14.4" x14ac:dyDescent="0.3">
      <c r="A84" s="90" t="s">
        <v>3026</v>
      </c>
      <c r="B84" s="90" t="s">
        <v>2161</v>
      </c>
      <c r="C84" s="90" t="s">
        <v>2153</v>
      </c>
    </row>
    <row r="85" spans="1:3" ht="14.4" x14ac:dyDescent="0.3">
      <c r="A85" s="90" t="s">
        <v>3027</v>
      </c>
      <c r="B85" s="90" t="s">
        <v>1455</v>
      </c>
      <c r="C85" s="90" t="s">
        <v>1451</v>
      </c>
    </row>
    <row r="86" spans="1:3" ht="14.4" x14ac:dyDescent="0.3">
      <c r="A86" s="90" t="s">
        <v>3028</v>
      </c>
      <c r="B86" s="90" t="s">
        <v>2881</v>
      </c>
      <c r="C86" s="90" t="s">
        <v>2874</v>
      </c>
    </row>
    <row r="87" spans="1:3" ht="14.4" x14ac:dyDescent="0.3">
      <c r="A87" s="90" t="s">
        <v>3029</v>
      </c>
      <c r="B87" s="90" t="s">
        <v>1153</v>
      </c>
      <c r="C87" s="90" t="s">
        <v>1147</v>
      </c>
    </row>
    <row r="88" spans="1:3" ht="14.4" x14ac:dyDescent="0.3">
      <c r="A88" s="90" t="s">
        <v>3030</v>
      </c>
      <c r="B88" s="90" t="s">
        <v>2503</v>
      </c>
      <c r="C88" s="90" t="s">
        <v>2489</v>
      </c>
    </row>
    <row r="89" spans="1:3" ht="14.4" x14ac:dyDescent="0.3">
      <c r="A89" s="90" t="s">
        <v>3031</v>
      </c>
      <c r="B89" s="90" t="s">
        <v>2028</v>
      </c>
      <c r="C89" s="90" t="s">
        <v>2015</v>
      </c>
    </row>
    <row r="90" spans="1:3" ht="14.4" x14ac:dyDescent="0.3">
      <c r="A90" s="90" t="s">
        <v>3032</v>
      </c>
      <c r="B90" s="90" t="s">
        <v>1441</v>
      </c>
      <c r="C90" s="90" t="s">
        <v>1440</v>
      </c>
    </row>
    <row r="91" spans="1:3" ht="14.4" x14ac:dyDescent="0.3">
      <c r="A91" s="90" t="s">
        <v>3033</v>
      </c>
      <c r="B91" s="90" t="s">
        <v>2091</v>
      </c>
      <c r="C91" s="90" t="s">
        <v>2087</v>
      </c>
    </row>
    <row r="92" spans="1:3" ht="14.4" x14ac:dyDescent="0.3">
      <c r="A92" s="90" t="s">
        <v>3034</v>
      </c>
      <c r="B92" s="90" t="s">
        <v>2088</v>
      </c>
      <c r="C92" s="90" t="s">
        <v>2087</v>
      </c>
    </row>
    <row r="93" spans="1:3" ht="14.4" x14ac:dyDescent="0.3">
      <c r="A93" s="90" t="s">
        <v>3035</v>
      </c>
      <c r="B93" s="90" t="s">
        <v>2671</v>
      </c>
      <c r="C93" s="90" t="s">
        <v>2669</v>
      </c>
    </row>
    <row r="94" spans="1:3" ht="14.4" x14ac:dyDescent="0.3">
      <c r="A94" s="90" t="s">
        <v>3036</v>
      </c>
      <c r="B94" s="90" t="s">
        <v>1366</v>
      </c>
      <c r="C94" s="90" t="s">
        <v>1363</v>
      </c>
    </row>
    <row r="95" spans="1:3" ht="14.4" x14ac:dyDescent="0.3">
      <c r="A95" s="90" t="s">
        <v>3037</v>
      </c>
      <c r="B95" s="90" t="s">
        <v>979</v>
      </c>
      <c r="C95" s="90" t="s">
        <v>972</v>
      </c>
    </row>
    <row r="96" spans="1:3" ht="14.4" x14ac:dyDescent="0.3">
      <c r="A96" s="90" t="s">
        <v>3038</v>
      </c>
      <c r="B96" s="90" t="s">
        <v>482</v>
      </c>
      <c r="C96" s="90" t="s">
        <v>449</v>
      </c>
    </row>
    <row r="97" spans="1:3" ht="14.4" x14ac:dyDescent="0.3">
      <c r="A97" s="90" t="s">
        <v>3039</v>
      </c>
      <c r="B97" s="90" t="s">
        <v>2809</v>
      </c>
      <c r="C97" s="90" t="s">
        <v>2808</v>
      </c>
    </row>
    <row r="98" spans="1:3" ht="14.4" x14ac:dyDescent="0.3">
      <c r="A98" s="90" t="s">
        <v>3040</v>
      </c>
      <c r="B98" s="90" t="s">
        <v>17</v>
      </c>
      <c r="C98" s="90" t="s">
        <v>7</v>
      </c>
    </row>
    <row r="99" spans="1:3" ht="14.4" x14ac:dyDescent="0.3">
      <c r="A99" s="90" t="s">
        <v>3041</v>
      </c>
      <c r="B99" s="90" t="s">
        <v>1315</v>
      </c>
      <c r="C99" s="90" t="s">
        <v>1313</v>
      </c>
    </row>
    <row r="100" spans="1:3" ht="14.4" x14ac:dyDescent="0.3">
      <c r="A100" s="90" t="s">
        <v>3042</v>
      </c>
      <c r="B100" s="90" t="s">
        <v>2157</v>
      </c>
      <c r="C100" s="90" t="s">
        <v>2153</v>
      </c>
    </row>
    <row r="101" spans="1:3" ht="14.4" x14ac:dyDescent="0.3">
      <c r="A101" s="90" t="s">
        <v>3043</v>
      </c>
      <c r="B101" s="90" t="s">
        <v>1367</v>
      </c>
      <c r="C101" s="90" t="s">
        <v>1363</v>
      </c>
    </row>
    <row r="102" spans="1:3" ht="14.4" x14ac:dyDescent="0.3">
      <c r="A102" s="90" t="s">
        <v>3044</v>
      </c>
      <c r="B102" s="90" t="s">
        <v>1465</v>
      </c>
      <c r="C102" s="90" t="s">
        <v>1464</v>
      </c>
    </row>
    <row r="103" spans="1:3" ht="14.4" x14ac:dyDescent="0.3">
      <c r="A103" s="90" t="s">
        <v>3045</v>
      </c>
      <c r="B103" s="90" t="s">
        <v>8</v>
      </c>
      <c r="C103" s="90" t="s">
        <v>7</v>
      </c>
    </row>
    <row r="104" spans="1:3" ht="14.4" x14ac:dyDescent="0.3">
      <c r="A104" s="90" t="s">
        <v>3046</v>
      </c>
      <c r="B104" s="90" t="s">
        <v>2042</v>
      </c>
      <c r="C104" s="90" t="s">
        <v>2015</v>
      </c>
    </row>
    <row r="105" spans="1:3" ht="14.4" x14ac:dyDescent="0.3">
      <c r="A105" s="90" t="s">
        <v>3047</v>
      </c>
      <c r="B105" s="90" t="s">
        <v>2504</v>
      </c>
      <c r="C105" s="90" t="s">
        <v>2489</v>
      </c>
    </row>
    <row r="106" spans="1:3" ht="14.4" x14ac:dyDescent="0.3">
      <c r="A106" s="90" t="s">
        <v>3048</v>
      </c>
      <c r="B106" s="90" t="s">
        <v>483</v>
      </c>
      <c r="C106" s="90" t="s">
        <v>449</v>
      </c>
    </row>
    <row r="107" spans="1:3" ht="14.4" x14ac:dyDescent="0.3">
      <c r="A107" s="90" t="s">
        <v>3049</v>
      </c>
      <c r="B107" s="90" t="s">
        <v>2186</v>
      </c>
      <c r="C107" s="90" t="s">
        <v>2182</v>
      </c>
    </row>
    <row r="108" spans="1:3" ht="14.4" x14ac:dyDescent="0.3">
      <c r="A108" s="90" t="s">
        <v>3050</v>
      </c>
      <c r="B108" s="90" t="s">
        <v>1057</v>
      </c>
      <c r="C108" s="90" t="s">
        <v>1050</v>
      </c>
    </row>
    <row r="109" spans="1:3" ht="14.4" x14ac:dyDescent="0.3">
      <c r="A109" s="90" t="s">
        <v>3051</v>
      </c>
      <c r="B109" s="90" t="s">
        <v>2756</v>
      </c>
      <c r="C109" s="90" t="s">
        <v>2754</v>
      </c>
    </row>
    <row r="110" spans="1:3" ht="14.4" x14ac:dyDescent="0.3">
      <c r="A110" s="90" t="str">
        <f>CONCATENATE(B110, C110," FIRM")</f>
        <v>AKTSWaste Management FIRM</v>
      </c>
      <c r="B110" s="91" t="s">
        <v>3052</v>
      </c>
      <c r="C110" s="90" t="s">
        <v>2932</v>
      </c>
    </row>
    <row r="111" spans="1:3" ht="14.4" x14ac:dyDescent="0.3">
      <c r="A111" s="90" t="s">
        <v>3053</v>
      </c>
      <c r="B111" s="90" t="s">
        <v>2217</v>
      </c>
      <c r="C111" s="90" t="s">
        <v>2214</v>
      </c>
    </row>
    <row r="112" spans="1:3" ht="14.4" x14ac:dyDescent="0.3">
      <c r="A112" s="90" t="s">
        <v>3054</v>
      </c>
      <c r="B112" s="90" t="s">
        <v>2637</v>
      </c>
      <c r="C112" s="90" t="s">
        <v>2633</v>
      </c>
    </row>
    <row r="113" spans="1:3" ht="14.4" x14ac:dyDescent="0.3">
      <c r="A113" s="90" t="s">
        <v>3055</v>
      </c>
      <c r="B113" s="90" t="s">
        <v>1187</v>
      </c>
      <c r="C113" s="90" t="s">
        <v>1185</v>
      </c>
    </row>
    <row r="114" spans="1:3" ht="14.4" x14ac:dyDescent="0.3">
      <c r="A114" s="90" t="s">
        <v>3056</v>
      </c>
      <c r="B114" s="90" t="s">
        <v>452</v>
      </c>
      <c r="C114" s="90" t="s">
        <v>449</v>
      </c>
    </row>
    <row r="115" spans="1:3" ht="14.4" x14ac:dyDescent="0.3">
      <c r="A115" s="90" t="s">
        <v>3057</v>
      </c>
      <c r="B115" s="90" t="s">
        <v>2878</v>
      </c>
      <c r="C115" s="90" t="s">
        <v>2874</v>
      </c>
    </row>
    <row r="116" spans="1:3" ht="14.4" x14ac:dyDescent="0.3">
      <c r="A116" s="90" t="s">
        <v>3058</v>
      </c>
      <c r="B116" s="90" t="s">
        <v>1978</v>
      </c>
      <c r="C116" s="90" t="s">
        <v>1977</v>
      </c>
    </row>
    <row r="117" spans="1:3" ht="14.4" x14ac:dyDescent="0.3">
      <c r="A117" s="90" t="s">
        <v>3059</v>
      </c>
      <c r="B117" s="90" t="s">
        <v>1176</v>
      </c>
      <c r="C117" s="90" t="s">
        <v>1173</v>
      </c>
    </row>
    <row r="118" spans="1:3" ht="14.4" x14ac:dyDescent="0.3">
      <c r="A118" s="90" t="s">
        <v>3060</v>
      </c>
      <c r="B118" s="90" t="s">
        <v>1638</v>
      </c>
      <c r="C118" s="90" t="s">
        <v>1631</v>
      </c>
    </row>
    <row r="119" spans="1:3" ht="14.4" x14ac:dyDescent="0.3">
      <c r="A119" s="90" t="s">
        <v>3061</v>
      </c>
      <c r="B119" s="90" t="s">
        <v>51</v>
      </c>
      <c r="C119" s="90" t="s">
        <v>50</v>
      </c>
    </row>
    <row r="120" spans="1:3" ht="14.4" x14ac:dyDescent="0.3">
      <c r="A120" s="90" t="s">
        <v>3062</v>
      </c>
      <c r="B120" s="90" t="s">
        <v>1850</v>
      </c>
      <c r="C120" s="90" t="s">
        <v>1848</v>
      </c>
    </row>
    <row r="121" spans="1:3" ht="14.4" x14ac:dyDescent="0.3">
      <c r="A121" s="90" t="s">
        <v>3063</v>
      </c>
      <c r="B121" s="90" t="s">
        <v>52</v>
      </c>
      <c r="C121" s="90" t="s">
        <v>50</v>
      </c>
    </row>
    <row r="122" spans="1:3" ht="14.4" x14ac:dyDescent="0.3">
      <c r="A122" s="90" t="s">
        <v>3064</v>
      </c>
      <c r="B122" s="90" t="s">
        <v>486</v>
      </c>
      <c r="C122" s="90" t="s">
        <v>449</v>
      </c>
    </row>
    <row r="123" spans="1:3" ht="14.4" x14ac:dyDescent="0.3">
      <c r="A123" s="90" t="s">
        <v>3065</v>
      </c>
      <c r="B123" s="90" t="s">
        <v>1406</v>
      </c>
      <c r="C123" s="90" t="s">
        <v>1392</v>
      </c>
    </row>
    <row r="124" spans="1:3" ht="14.4" x14ac:dyDescent="0.3">
      <c r="A124" s="90" t="s">
        <v>3066</v>
      </c>
      <c r="B124" s="90" t="s">
        <v>2390</v>
      </c>
      <c r="C124" s="90" t="s">
        <v>2388</v>
      </c>
    </row>
    <row r="125" spans="1:3" ht="14.4" x14ac:dyDescent="0.3">
      <c r="A125" s="90" t="s">
        <v>3067</v>
      </c>
      <c r="B125" s="90" t="s">
        <v>2670</v>
      </c>
      <c r="C125" s="90" t="s">
        <v>2669</v>
      </c>
    </row>
    <row r="126" spans="1:3" ht="14.4" x14ac:dyDescent="0.3">
      <c r="A126" s="90" t="s">
        <v>3068</v>
      </c>
      <c r="B126" s="90" t="s">
        <v>487</v>
      </c>
      <c r="C126" s="90" t="s">
        <v>449</v>
      </c>
    </row>
    <row r="127" spans="1:3" ht="14.4" x14ac:dyDescent="0.3">
      <c r="A127" s="90" t="s">
        <v>3069</v>
      </c>
      <c r="B127" s="90" t="s">
        <v>917</v>
      </c>
      <c r="C127" s="90" t="s">
        <v>916</v>
      </c>
    </row>
    <row r="128" spans="1:3" ht="14.4" x14ac:dyDescent="0.3">
      <c r="A128" s="90" t="s">
        <v>3070</v>
      </c>
      <c r="B128" s="90" t="s">
        <v>925</v>
      </c>
      <c r="C128" s="90" t="s">
        <v>916</v>
      </c>
    </row>
    <row r="129" spans="1:3" ht="14.4" x14ac:dyDescent="0.3">
      <c r="A129" s="90" t="s">
        <v>3071</v>
      </c>
      <c r="B129" s="90" t="s">
        <v>2505</v>
      </c>
      <c r="C129" s="90" t="s">
        <v>2489</v>
      </c>
    </row>
    <row r="130" spans="1:3" ht="14.4" x14ac:dyDescent="0.3">
      <c r="A130" s="90" t="s">
        <v>3072</v>
      </c>
      <c r="B130" s="90" t="s">
        <v>177</v>
      </c>
      <c r="C130" s="90" t="s">
        <v>168</v>
      </c>
    </row>
    <row r="131" spans="1:3" ht="14.4" x14ac:dyDescent="0.3">
      <c r="A131" s="90" t="s">
        <v>3073</v>
      </c>
      <c r="B131" s="90" t="s">
        <v>2188</v>
      </c>
      <c r="C131" s="90" t="s">
        <v>2182</v>
      </c>
    </row>
    <row r="132" spans="1:3" ht="14.4" x14ac:dyDescent="0.3">
      <c r="A132" s="90" t="s">
        <v>3074</v>
      </c>
      <c r="B132" s="90" t="s">
        <v>485</v>
      </c>
      <c r="C132" s="90" t="s">
        <v>449</v>
      </c>
    </row>
    <row r="133" spans="1:3" ht="14.4" x14ac:dyDescent="0.3">
      <c r="A133" s="90" t="s">
        <v>3075</v>
      </c>
      <c r="B133" s="90" t="s">
        <v>488</v>
      </c>
      <c r="C133" s="90" t="s">
        <v>449</v>
      </c>
    </row>
    <row r="134" spans="1:3" ht="14.4" x14ac:dyDescent="0.3">
      <c r="A134" s="90" t="s">
        <v>3076</v>
      </c>
      <c r="B134" s="90" t="s">
        <v>2402</v>
      </c>
      <c r="C134" s="90" t="s">
        <v>2397</v>
      </c>
    </row>
    <row r="135" spans="1:3" ht="14.4" x14ac:dyDescent="0.3">
      <c r="A135" s="90" t="s">
        <v>3077</v>
      </c>
      <c r="B135" s="90" t="s">
        <v>2398</v>
      </c>
      <c r="C135" s="90" t="s">
        <v>2397</v>
      </c>
    </row>
    <row r="136" spans="1:3" ht="14.4" x14ac:dyDescent="0.3">
      <c r="A136" s="90" t="s">
        <v>3078</v>
      </c>
      <c r="B136" s="90" t="s">
        <v>1452</v>
      </c>
      <c r="C136" s="90" t="s">
        <v>1451</v>
      </c>
    </row>
    <row r="137" spans="1:3" ht="14.4" x14ac:dyDescent="0.3">
      <c r="A137" s="90" t="s">
        <v>3079</v>
      </c>
      <c r="B137" s="90" t="s">
        <v>2507</v>
      </c>
      <c r="C137" s="90" t="s">
        <v>2489</v>
      </c>
    </row>
    <row r="138" spans="1:3" ht="14.4" x14ac:dyDescent="0.3">
      <c r="A138" s="90" t="s">
        <v>3080</v>
      </c>
      <c r="B138" s="90" t="s">
        <v>1585</v>
      </c>
      <c r="C138" s="90" t="s">
        <v>1580</v>
      </c>
    </row>
    <row r="139" spans="1:3" ht="14.4" x14ac:dyDescent="0.3">
      <c r="A139" s="90" t="s">
        <v>3081</v>
      </c>
      <c r="B139" s="90" t="s">
        <v>1586</v>
      </c>
      <c r="C139" s="90" t="s">
        <v>1580</v>
      </c>
    </row>
    <row r="140" spans="1:3" ht="14.4" x14ac:dyDescent="0.3">
      <c r="A140" s="90" t="s">
        <v>3082</v>
      </c>
      <c r="B140" s="90" t="s">
        <v>2425</v>
      </c>
      <c r="C140" s="90" t="s">
        <v>2421</v>
      </c>
    </row>
    <row r="141" spans="1:3" ht="14.4" x14ac:dyDescent="0.3">
      <c r="A141" s="90" t="s">
        <v>3083</v>
      </c>
      <c r="B141" s="90" t="s">
        <v>980</v>
      </c>
      <c r="C141" s="90" t="s">
        <v>972</v>
      </c>
    </row>
    <row r="142" spans="1:3" ht="14.4" x14ac:dyDescent="0.3">
      <c r="A142" s="90" t="s">
        <v>3084</v>
      </c>
      <c r="B142" s="90" t="s">
        <v>1612</v>
      </c>
      <c r="C142" s="90" t="s">
        <v>1606</v>
      </c>
    </row>
    <row r="143" spans="1:3" ht="14.4" x14ac:dyDescent="0.3">
      <c r="A143" s="90" t="s">
        <v>3085</v>
      </c>
      <c r="B143" s="90" t="s">
        <v>122</v>
      </c>
      <c r="C143" s="90" t="s">
        <v>116</v>
      </c>
    </row>
    <row r="144" spans="1:3" ht="14.4" x14ac:dyDescent="0.3">
      <c r="A144" s="90" t="s">
        <v>3086</v>
      </c>
      <c r="B144" s="90" t="s">
        <v>489</v>
      </c>
      <c r="C144" s="90" t="s">
        <v>449</v>
      </c>
    </row>
    <row r="145" spans="1:3" ht="14.4" x14ac:dyDescent="0.3">
      <c r="A145" s="90" t="s">
        <v>3087</v>
      </c>
      <c r="B145" s="90" t="s">
        <v>2156</v>
      </c>
      <c r="C145" s="90" t="s">
        <v>2153</v>
      </c>
    </row>
    <row r="146" spans="1:3" ht="14.4" x14ac:dyDescent="0.3">
      <c r="A146" s="90" t="s">
        <v>3088</v>
      </c>
      <c r="B146" s="90" t="s">
        <v>2427</v>
      </c>
      <c r="C146" s="90" t="s">
        <v>2421</v>
      </c>
    </row>
    <row r="147" spans="1:3" ht="14.4" x14ac:dyDescent="0.3">
      <c r="A147" s="90" t="s">
        <v>3089</v>
      </c>
      <c r="B147" s="90" t="s">
        <v>1613</v>
      </c>
      <c r="C147" s="90" t="s">
        <v>1606</v>
      </c>
    </row>
    <row r="148" spans="1:3" ht="14.4" x14ac:dyDescent="0.3">
      <c r="A148" s="90" t="s">
        <v>3090</v>
      </c>
      <c r="B148" s="90" t="s">
        <v>236</v>
      </c>
      <c r="C148" s="90" t="s">
        <v>203</v>
      </c>
    </row>
    <row r="149" spans="1:3" ht="14.4" x14ac:dyDescent="0.3">
      <c r="A149" s="90" t="s">
        <v>3091</v>
      </c>
      <c r="B149" s="90" t="s">
        <v>1112</v>
      </c>
      <c r="C149" s="90" t="s">
        <v>1106</v>
      </c>
    </row>
    <row r="150" spans="1:3" ht="14.4" x14ac:dyDescent="0.3">
      <c r="A150" s="90" t="s">
        <v>3092</v>
      </c>
      <c r="B150" s="90" t="s">
        <v>117</v>
      </c>
      <c r="C150" s="90" t="s">
        <v>116</v>
      </c>
    </row>
    <row r="151" spans="1:3" ht="14.4" x14ac:dyDescent="0.3">
      <c r="A151" s="90" t="s">
        <v>3093</v>
      </c>
      <c r="B151" s="90" t="s">
        <v>1059</v>
      </c>
      <c r="C151" s="90" t="s">
        <v>1050</v>
      </c>
    </row>
    <row r="152" spans="1:3" ht="14.4" x14ac:dyDescent="0.3">
      <c r="A152" s="90" t="s">
        <v>3094</v>
      </c>
      <c r="B152" s="90" t="s">
        <v>1152</v>
      </c>
      <c r="C152" s="90" t="s">
        <v>1147</v>
      </c>
    </row>
    <row r="153" spans="1:3" ht="14.4" x14ac:dyDescent="0.3">
      <c r="A153" s="90" t="s">
        <v>3095</v>
      </c>
      <c r="B153" s="90" t="s">
        <v>484</v>
      </c>
      <c r="C153" s="90" t="s">
        <v>449</v>
      </c>
    </row>
    <row r="154" spans="1:3" ht="14.4" x14ac:dyDescent="0.3">
      <c r="A154" s="90" t="s">
        <v>3096</v>
      </c>
      <c r="B154" s="90" t="s">
        <v>1408</v>
      </c>
      <c r="C154" s="90" t="s">
        <v>1392</v>
      </c>
    </row>
    <row r="155" spans="1:3" ht="14.4" x14ac:dyDescent="0.3">
      <c r="A155" s="90" t="s">
        <v>3097</v>
      </c>
      <c r="B155" s="90" t="s">
        <v>2508</v>
      </c>
      <c r="C155" s="90" t="s">
        <v>2489</v>
      </c>
    </row>
    <row r="156" spans="1:3" ht="14.4" x14ac:dyDescent="0.3">
      <c r="A156" s="90" t="s">
        <v>3098</v>
      </c>
      <c r="B156" s="90" t="s">
        <v>2770</v>
      </c>
      <c r="C156" s="90" t="s">
        <v>2767</v>
      </c>
    </row>
    <row r="157" spans="1:3" ht="14.4" x14ac:dyDescent="0.3">
      <c r="A157" s="90" t="s">
        <v>3099</v>
      </c>
      <c r="B157" s="90" t="s">
        <v>774</v>
      </c>
      <c r="C157" s="90" t="s">
        <v>744</v>
      </c>
    </row>
    <row r="158" spans="1:3" ht="14.4" x14ac:dyDescent="0.3">
      <c r="A158" s="90" t="s">
        <v>3100</v>
      </c>
      <c r="B158" s="90" t="s">
        <v>1274</v>
      </c>
      <c r="C158" s="90" t="s">
        <v>1268</v>
      </c>
    </row>
    <row r="159" spans="1:3" ht="14.4" x14ac:dyDescent="0.3">
      <c r="A159" s="90" t="s">
        <v>3101</v>
      </c>
      <c r="B159" s="90" t="s">
        <v>2695</v>
      </c>
      <c r="C159" s="90" t="s">
        <v>2683</v>
      </c>
    </row>
    <row r="160" spans="1:3" ht="14.4" x14ac:dyDescent="0.3">
      <c r="A160" s="90" t="s">
        <v>3102</v>
      </c>
      <c r="B160" s="90" t="s">
        <v>154</v>
      </c>
      <c r="C160" s="90" t="s">
        <v>151</v>
      </c>
    </row>
    <row r="161" spans="1:3" ht="14.4" x14ac:dyDescent="0.3">
      <c r="A161" s="90" t="s">
        <v>3103</v>
      </c>
      <c r="B161" s="90" t="s">
        <v>491</v>
      </c>
      <c r="C161" s="90" t="s">
        <v>449</v>
      </c>
    </row>
    <row r="162" spans="1:3" ht="14.4" x14ac:dyDescent="0.3">
      <c r="A162" s="90" t="s">
        <v>3104</v>
      </c>
      <c r="B162" s="90" t="s">
        <v>1395</v>
      </c>
      <c r="C162" s="90" t="s">
        <v>1392</v>
      </c>
    </row>
    <row r="163" spans="1:3" ht="14.4" x14ac:dyDescent="0.3">
      <c r="A163" s="90" t="s">
        <v>3105</v>
      </c>
      <c r="B163" s="90" t="s">
        <v>233</v>
      </c>
      <c r="C163" s="90" t="s">
        <v>203</v>
      </c>
    </row>
    <row r="164" spans="1:3" ht="14.4" x14ac:dyDescent="0.3">
      <c r="A164" s="90" t="s">
        <v>3106</v>
      </c>
      <c r="B164" s="90" t="s">
        <v>1201</v>
      </c>
      <c r="C164" s="90" t="s">
        <v>1199</v>
      </c>
    </row>
    <row r="165" spans="1:3" ht="14.4" x14ac:dyDescent="0.3">
      <c r="A165" s="90" t="s">
        <v>3107</v>
      </c>
      <c r="B165" s="90" t="s">
        <v>843</v>
      </c>
      <c r="C165" s="90" t="s">
        <v>841</v>
      </c>
    </row>
    <row r="166" spans="1:3" ht="14.4" x14ac:dyDescent="0.3">
      <c r="A166" s="90" t="s">
        <v>3108</v>
      </c>
      <c r="B166" s="90" t="s">
        <v>95</v>
      </c>
      <c r="C166" s="90" t="s">
        <v>91</v>
      </c>
    </row>
    <row r="167" spans="1:3" ht="14.4" x14ac:dyDescent="0.3">
      <c r="A167" s="90" t="s">
        <v>3109</v>
      </c>
      <c r="B167" s="90" t="s">
        <v>1488</v>
      </c>
      <c r="C167" s="90" t="s">
        <v>1485</v>
      </c>
    </row>
    <row r="168" spans="1:3" ht="14.4" x14ac:dyDescent="0.3">
      <c r="A168" s="90" t="s">
        <v>3110</v>
      </c>
      <c r="B168" s="90" t="s">
        <v>1686</v>
      </c>
      <c r="C168" s="90" t="s">
        <v>1681</v>
      </c>
    </row>
    <row r="169" spans="1:3" ht="14.4" x14ac:dyDescent="0.3">
      <c r="A169" s="90" t="s">
        <v>3111</v>
      </c>
      <c r="B169" s="90" t="s">
        <v>2025</v>
      </c>
      <c r="C169" s="90" t="s">
        <v>2015</v>
      </c>
    </row>
    <row r="170" spans="1:3" ht="14.4" x14ac:dyDescent="0.3">
      <c r="A170" s="90" t="s">
        <v>3112</v>
      </c>
      <c r="B170" s="90" t="s">
        <v>494</v>
      </c>
      <c r="C170" s="90" t="s">
        <v>449</v>
      </c>
    </row>
    <row r="171" spans="1:3" ht="14.4" x14ac:dyDescent="0.3">
      <c r="A171" s="90" t="s">
        <v>3113</v>
      </c>
      <c r="B171" s="90" t="s">
        <v>493</v>
      </c>
      <c r="C171" s="90" t="s">
        <v>449</v>
      </c>
    </row>
    <row r="172" spans="1:3" ht="14.4" x14ac:dyDescent="0.3">
      <c r="A172" s="90" t="s">
        <v>3114</v>
      </c>
      <c r="B172" s="90" t="s">
        <v>2509</v>
      </c>
      <c r="C172" s="90" t="s">
        <v>2489</v>
      </c>
    </row>
    <row r="173" spans="1:3" ht="14.4" x14ac:dyDescent="0.3">
      <c r="A173" s="90" t="s">
        <v>3115</v>
      </c>
      <c r="B173" s="90" t="s">
        <v>1241</v>
      </c>
      <c r="C173" s="90" t="s">
        <v>1239</v>
      </c>
    </row>
    <row r="174" spans="1:3" ht="14.4" x14ac:dyDescent="0.3">
      <c r="A174" s="90" t="s">
        <v>3116</v>
      </c>
      <c r="B174" s="90" t="s">
        <v>19</v>
      </c>
      <c r="C174" s="90" t="s">
        <v>7</v>
      </c>
    </row>
    <row r="175" spans="1:3" ht="14.4" x14ac:dyDescent="0.3">
      <c r="A175" s="90" t="s">
        <v>3117</v>
      </c>
      <c r="B175" s="90" t="s">
        <v>1467</v>
      </c>
      <c r="C175" s="90" t="s">
        <v>1464</v>
      </c>
    </row>
    <row r="176" spans="1:3" ht="14.4" x14ac:dyDescent="0.3">
      <c r="A176" s="90" t="s">
        <v>3118</v>
      </c>
      <c r="B176" s="90" t="s">
        <v>977</v>
      </c>
      <c r="C176" s="90" t="s">
        <v>972</v>
      </c>
    </row>
    <row r="177" spans="1:3" ht="14.4" x14ac:dyDescent="0.3">
      <c r="A177" s="90" t="s">
        <v>3119</v>
      </c>
      <c r="B177" s="90" t="s">
        <v>2426</v>
      </c>
      <c r="C177" s="90" t="s">
        <v>2421</v>
      </c>
    </row>
    <row r="178" spans="1:3" ht="14.4" x14ac:dyDescent="0.3">
      <c r="A178" s="90" t="s">
        <v>3120</v>
      </c>
      <c r="B178" s="90" t="s">
        <v>981</v>
      </c>
      <c r="C178" s="90" t="s">
        <v>972</v>
      </c>
    </row>
    <row r="179" spans="1:3" ht="14.4" x14ac:dyDescent="0.3">
      <c r="A179" s="90" t="s">
        <v>3121</v>
      </c>
      <c r="B179" s="90" t="s">
        <v>1758</v>
      </c>
      <c r="C179" s="90" t="s">
        <v>1741</v>
      </c>
    </row>
    <row r="180" spans="1:3" ht="14.4" x14ac:dyDescent="0.3">
      <c r="A180" s="90" t="s">
        <v>3122</v>
      </c>
      <c r="B180" s="90" t="s">
        <v>123</v>
      </c>
      <c r="C180" s="90" t="s">
        <v>116</v>
      </c>
    </row>
    <row r="181" spans="1:3" ht="14.4" x14ac:dyDescent="0.3">
      <c r="A181" s="90" t="s">
        <v>3123</v>
      </c>
      <c r="B181" s="90" t="s">
        <v>1742</v>
      </c>
      <c r="C181" s="90" t="s">
        <v>1741</v>
      </c>
    </row>
    <row r="182" spans="1:3" ht="14.4" x14ac:dyDescent="0.3">
      <c r="A182" s="90" t="s">
        <v>3124</v>
      </c>
      <c r="B182" s="90" t="s">
        <v>782</v>
      </c>
      <c r="C182" s="90" t="s">
        <v>776</v>
      </c>
    </row>
    <row r="183" spans="1:3" ht="14.4" x14ac:dyDescent="0.3">
      <c r="A183" s="90" t="s">
        <v>3125</v>
      </c>
      <c r="B183" s="90" t="s">
        <v>1095</v>
      </c>
      <c r="C183" s="90" t="s">
        <v>1090</v>
      </c>
    </row>
    <row r="184" spans="1:3" ht="14.4" x14ac:dyDescent="0.3">
      <c r="A184" s="90" t="s">
        <v>3126</v>
      </c>
      <c r="B184" s="90" t="s">
        <v>1113</v>
      </c>
      <c r="C184" s="90" t="s">
        <v>1106</v>
      </c>
    </row>
    <row r="185" spans="1:3" ht="14.4" x14ac:dyDescent="0.3">
      <c r="A185" s="90" t="s">
        <v>3127</v>
      </c>
      <c r="B185" s="90" t="s">
        <v>2090</v>
      </c>
      <c r="C185" s="90" t="s">
        <v>2087</v>
      </c>
    </row>
    <row r="186" spans="1:3" ht="14.4" x14ac:dyDescent="0.3">
      <c r="A186" s="90" t="s">
        <v>3128</v>
      </c>
      <c r="B186" s="90" t="s">
        <v>633</v>
      </c>
      <c r="C186" s="90" t="s">
        <v>627</v>
      </c>
    </row>
    <row r="187" spans="1:3" ht="14.4" x14ac:dyDescent="0.3">
      <c r="A187" s="90" t="s">
        <v>3129</v>
      </c>
      <c r="B187" s="90" t="s">
        <v>2510</v>
      </c>
      <c r="C187" s="90" t="s">
        <v>2489</v>
      </c>
    </row>
    <row r="188" spans="1:3" ht="14.4" x14ac:dyDescent="0.3">
      <c r="A188" s="90" t="s">
        <v>3130</v>
      </c>
      <c r="B188" s="90" t="s">
        <v>2511</v>
      </c>
      <c r="C188" s="90" t="s">
        <v>2489</v>
      </c>
    </row>
    <row r="189" spans="1:3" ht="14.4" x14ac:dyDescent="0.3">
      <c r="A189" s="90" t="s">
        <v>3131</v>
      </c>
      <c r="B189" s="90" t="s">
        <v>2177</v>
      </c>
      <c r="C189" s="90" t="s">
        <v>2153</v>
      </c>
    </row>
    <row r="190" spans="1:3" ht="14.4" x14ac:dyDescent="0.3">
      <c r="A190" s="90" t="s">
        <v>3132</v>
      </c>
      <c r="B190" s="90" t="s">
        <v>2934</v>
      </c>
      <c r="C190" s="90" t="s">
        <v>2932</v>
      </c>
    </row>
    <row r="191" spans="1:3" ht="14.4" x14ac:dyDescent="0.3">
      <c r="A191" s="90" t="s">
        <v>3133</v>
      </c>
      <c r="B191" s="90" t="s">
        <v>1757</v>
      </c>
      <c r="C191" s="90" t="s">
        <v>1741</v>
      </c>
    </row>
    <row r="192" spans="1:3" ht="14.4" x14ac:dyDescent="0.3">
      <c r="A192" s="90" t="s">
        <v>3134</v>
      </c>
      <c r="B192" s="90" t="s">
        <v>926</v>
      </c>
      <c r="C192" s="90" t="s">
        <v>916</v>
      </c>
    </row>
    <row r="193" spans="1:3" ht="14.4" x14ac:dyDescent="0.3">
      <c r="A193" s="90" t="s">
        <v>3135</v>
      </c>
      <c r="B193" s="90" t="s">
        <v>1637</v>
      </c>
      <c r="C193" s="90" t="s">
        <v>1631</v>
      </c>
    </row>
    <row r="194" spans="1:3" ht="14.4" x14ac:dyDescent="0.3">
      <c r="A194" s="90" t="s">
        <v>3136</v>
      </c>
      <c r="B194" s="90" t="s">
        <v>683</v>
      </c>
      <c r="C194" s="90" t="s">
        <v>675</v>
      </c>
    </row>
    <row r="195" spans="1:3" ht="14.4" x14ac:dyDescent="0.3">
      <c r="A195" s="90" t="s">
        <v>3137</v>
      </c>
      <c r="B195" s="90" t="s">
        <v>2841</v>
      </c>
      <c r="C195" s="90" t="s">
        <v>2839</v>
      </c>
    </row>
    <row r="196" spans="1:3" ht="14.4" x14ac:dyDescent="0.3">
      <c r="A196" s="90" t="str">
        <f>CONCATENATE(B196, C196," FIRM")</f>
        <v>ARCHWaste Management FIRM</v>
      </c>
      <c r="B196" s="91" t="s">
        <v>3138</v>
      </c>
      <c r="C196" s="90" t="s">
        <v>2932</v>
      </c>
    </row>
    <row r="197" spans="1:3" ht="14.4" x14ac:dyDescent="0.3">
      <c r="A197" s="90" t="s">
        <v>3139</v>
      </c>
      <c r="B197" s="90" t="s">
        <v>496</v>
      </c>
      <c r="C197" s="90" t="s">
        <v>449</v>
      </c>
    </row>
    <row r="198" spans="1:3" ht="14.4" x14ac:dyDescent="0.3">
      <c r="A198" s="90" t="s">
        <v>3140</v>
      </c>
      <c r="B198" s="90" t="s">
        <v>2125</v>
      </c>
      <c r="C198" s="90" t="s">
        <v>2124</v>
      </c>
    </row>
    <row r="199" spans="1:3" ht="14.4" x14ac:dyDescent="0.3">
      <c r="A199" s="90" t="s">
        <v>3141</v>
      </c>
      <c r="B199" s="90" t="s">
        <v>2026</v>
      </c>
      <c r="C199" s="90" t="s">
        <v>2015</v>
      </c>
    </row>
    <row r="200" spans="1:3" ht="14.4" x14ac:dyDescent="0.3">
      <c r="A200" s="90" t="s">
        <v>3142</v>
      </c>
      <c r="B200" s="90" t="s">
        <v>1968</v>
      </c>
      <c r="C200" s="90" t="s">
        <v>1966</v>
      </c>
    </row>
    <row r="201" spans="1:3" ht="14.4" x14ac:dyDescent="0.3">
      <c r="A201" s="90" t="s">
        <v>3143</v>
      </c>
      <c r="B201" s="90" t="s">
        <v>2288</v>
      </c>
      <c r="C201" s="90" t="s">
        <v>2275</v>
      </c>
    </row>
    <row r="202" spans="1:3" ht="14.4" x14ac:dyDescent="0.3">
      <c r="A202" s="90" t="s">
        <v>3144</v>
      </c>
      <c r="B202" s="90" t="s">
        <v>497</v>
      </c>
      <c r="C202" s="90" t="s">
        <v>449</v>
      </c>
    </row>
    <row r="203" spans="1:3" ht="14.4" x14ac:dyDescent="0.3">
      <c r="A203" s="90" t="s">
        <v>3145</v>
      </c>
      <c r="B203" s="90" t="s">
        <v>982</v>
      </c>
      <c r="C203" s="90" t="s">
        <v>972</v>
      </c>
    </row>
    <row r="204" spans="1:3" ht="14.4" x14ac:dyDescent="0.3">
      <c r="A204" s="90" t="s">
        <v>3146</v>
      </c>
      <c r="B204" s="90" t="s">
        <v>1805</v>
      </c>
      <c r="C204" s="90" t="s">
        <v>1800</v>
      </c>
    </row>
    <row r="205" spans="1:3" ht="14.4" x14ac:dyDescent="0.3">
      <c r="A205" s="90" t="s">
        <v>3147</v>
      </c>
      <c r="B205" s="90" t="s">
        <v>239</v>
      </c>
      <c r="C205" s="90" t="s">
        <v>203</v>
      </c>
    </row>
    <row r="206" spans="1:3" ht="14.4" x14ac:dyDescent="0.3">
      <c r="A206" s="90" t="s">
        <v>3148</v>
      </c>
      <c r="B206" s="90" t="s">
        <v>2162</v>
      </c>
      <c r="C206" s="90" t="s">
        <v>2153</v>
      </c>
    </row>
    <row r="207" spans="1:3" ht="14.4" x14ac:dyDescent="0.3">
      <c r="A207" s="90" t="s">
        <v>3149</v>
      </c>
      <c r="B207" s="90" t="s">
        <v>805</v>
      </c>
      <c r="C207" s="90" t="s">
        <v>800</v>
      </c>
    </row>
    <row r="208" spans="1:3" ht="14.4" x14ac:dyDescent="0.3">
      <c r="A208" s="90" t="s">
        <v>3150</v>
      </c>
      <c r="B208" s="90" t="s">
        <v>453</v>
      </c>
      <c r="C208" s="90" t="s">
        <v>449</v>
      </c>
    </row>
    <row r="209" spans="1:3" ht="14.4" x14ac:dyDescent="0.3">
      <c r="A209" s="90" t="s">
        <v>3151</v>
      </c>
      <c r="B209" s="90" t="s">
        <v>2924</v>
      </c>
      <c r="C209" s="90" t="s">
        <v>2919</v>
      </c>
    </row>
    <row r="210" spans="1:3" ht="14.4" x14ac:dyDescent="0.3">
      <c r="A210" s="90" t="s">
        <v>3152</v>
      </c>
      <c r="B210" s="90" t="s">
        <v>1143</v>
      </c>
      <c r="C210" s="90" t="s">
        <v>1142</v>
      </c>
    </row>
    <row r="211" spans="1:3" ht="14.4" x14ac:dyDescent="0.3">
      <c r="A211" s="90" t="s">
        <v>3153</v>
      </c>
      <c r="B211" s="90" t="s">
        <v>240</v>
      </c>
      <c r="C211" s="90" t="s">
        <v>203</v>
      </c>
    </row>
    <row r="212" spans="1:3" ht="14.4" x14ac:dyDescent="0.3">
      <c r="A212" s="90" t="s">
        <v>3154</v>
      </c>
      <c r="B212" s="90" t="s">
        <v>2470</v>
      </c>
      <c r="C212" s="90" t="s">
        <v>2468</v>
      </c>
    </row>
    <row r="213" spans="1:3" ht="14.4" x14ac:dyDescent="0.3">
      <c r="A213" s="90" t="s">
        <v>3155</v>
      </c>
      <c r="B213" s="90" t="s">
        <v>2391</v>
      </c>
      <c r="C213" s="90" t="s">
        <v>2388</v>
      </c>
    </row>
    <row r="214" spans="1:3" ht="14.4" x14ac:dyDescent="0.3">
      <c r="A214" s="90" t="s">
        <v>3156</v>
      </c>
      <c r="B214" s="90" t="s">
        <v>2750</v>
      </c>
      <c r="C214" s="90" t="s">
        <v>2740</v>
      </c>
    </row>
    <row r="215" spans="1:3" ht="14.4" x14ac:dyDescent="0.3">
      <c r="A215" s="90" t="s">
        <v>3157</v>
      </c>
      <c r="B215" s="90" t="s">
        <v>783</v>
      </c>
      <c r="C215" s="90" t="s">
        <v>776</v>
      </c>
    </row>
    <row r="216" spans="1:3" ht="14.4" x14ac:dyDescent="0.3">
      <c r="A216" s="90" t="s">
        <v>3158</v>
      </c>
      <c r="B216" s="90" t="s">
        <v>781</v>
      </c>
      <c r="C216" s="90" t="s">
        <v>776</v>
      </c>
    </row>
    <row r="217" spans="1:3" ht="14.4" x14ac:dyDescent="0.3">
      <c r="A217" s="90" t="s">
        <v>3159</v>
      </c>
      <c r="B217" s="90" t="s">
        <v>97</v>
      </c>
      <c r="C217" s="90" t="s">
        <v>91</v>
      </c>
    </row>
    <row r="218" spans="1:3" ht="14.4" x14ac:dyDescent="0.3">
      <c r="A218" s="90" t="s">
        <v>3160</v>
      </c>
      <c r="B218" s="90" t="s">
        <v>682</v>
      </c>
      <c r="C218" s="90" t="s">
        <v>675</v>
      </c>
    </row>
    <row r="219" spans="1:3" ht="14.4" x14ac:dyDescent="0.3">
      <c r="A219" s="90" t="s">
        <v>3161</v>
      </c>
      <c r="B219" s="90" t="s">
        <v>498</v>
      </c>
      <c r="C219" s="90" t="s">
        <v>449</v>
      </c>
    </row>
    <row r="220" spans="1:3" ht="14.4" x14ac:dyDescent="0.3">
      <c r="A220" s="90" t="s">
        <v>3162</v>
      </c>
      <c r="B220" s="90" t="s">
        <v>1174</v>
      </c>
      <c r="C220" s="90" t="s">
        <v>1173</v>
      </c>
    </row>
    <row r="221" spans="1:3" ht="14.4" x14ac:dyDescent="0.3">
      <c r="A221" s="90" t="s">
        <v>3163</v>
      </c>
      <c r="B221" s="90" t="s">
        <v>2594</v>
      </c>
      <c r="C221" s="90" t="s">
        <v>2589</v>
      </c>
    </row>
    <row r="222" spans="1:3" ht="14.4" x14ac:dyDescent="0.3">
      <c r="A222" s="90" t="s">
        <v>3164</v>
      </c>
      <c r="B222" s="90" t="s">
        <v>1094</v>
      </c>
      <c r="C222" s="90" t="s">
        <v>1090</v>
      </c>
    </row>
    <row r="223" spans="1:3" ht="14.4" x14ac:dyDescent="0.3">
      <c r="A223" s="90" t="s">
        <v>3165</v>
      </c>
      <c r="B223" s="90" t="s">
        <v>1368</v>
      </c>
      <c r="C223" s="90" t="s">
        <v>1363</v>
      </c>
    </row>
    <row r="224" spans="1:3" ht="14.4" x14ac:dyDescent="0.3">
      <c r="A224" s="90" t="s">
        <v>3166</v>
      </c>
      <c r="B224" s="90" t="s">
        <v>1252</v>
      </c>
      <c r="C224" s="90" t="s">
        <v>1251</v>
      </c>
    </row>
    <row r="225" spans="1:3" ht="14.4" x14ac:dyDescent="0.3">
      <c r="A225" s="90" t="s">
        <v>3167</v>
      </c>
      <c r="B225" s="90" t="s">
        <v>455</v>
      </c>
      <c r="C225" s="90" t="s">
        <v>449</v>
      </c>
    </row>
    <row r="226" spans="1:3" ht="14.4" x14ac:dyDescent="0.3">
      <c r="A226" s="90" t="s">
        <v>3168</v>
      </c>
      <c r="B226" s="90" t="s">
        <v>1716</v>
      </c>
      <c r="C226" s="90" t="s">
        <v>1715</v>
      </c>
    </row>
    <row r="227" spans="1:3" ht="14.4" x14ac:dyDescent="0.3">
      <c r="A227" s="90" t="s">
        <v>3169</v>
      </c>
      <c r="B227" s="90" t="s">
        <v>983</v>
      </c>
      <c r="C227" s="90" t="s">
        <v>972</v>
      </c>
    </row>
    <row r="228" spans="1:3" ht="14.4" x14ac:dyDescent="0.3">
      <c r="A228" s="90" t="s">
        <v>3170</v>
      </c>
      <c r="B228" s="90" t="s">
        <v>238</v>
      </c>
      <c r="C228" s="90" t="s">
        <v>203</v>
      </c>
    </row>
    <row r="229" spans="1:3" ht="14.4" x14ac:dyDescent="0.3">
      <c r="A229" s="90" t="s">
        <v>3171</v>
      </c>
      <c r="B229" s="90" t="s">
        <v>2772</v>
      </c>
      <c r="C229" s="90" t="s">
        <v>2767</v>
      </c>
    </row>
    <row r="230" spans="1:3" ht="14.4" x14ac:dyDescent="0.3">
      <c r="A230" s="90" t="s">
        <v>3172</v>
      </c>
      <c r="B230" s="90" t="s">
        <v>2907</v>
      </c>
      <c r="C230" s="90" t="s">
        <v>2904</v>
      </c>
    </row>
    <row r="231" spans="1:3" ht="14.4" x14ac:dyDescent="0.3">
      <c r="A231" s="90" t="s">
        <v>3173</v>
      </c>
      <c r="B231" s="90" t="s">
        <v>1907</v>
      </c>
      <c r="C231" s="90" t="s">
        <v>1901</v>
      </c>
    </row>
    <row r="232" spans="1:3" ht="14.4" x14ac:dyDescent="0.3">
      <c r="A232" s="90" t="s">
        <v>3174</v>
      </c>
      <c r="B232" s="90" t="s">
        <v>454</v>
      </c>
      <c r="C232" s="90" t="s">
        <v>449</v>
      </c>
    </row>
    <row r="233" spans="1:3" ht="14.4" x14ac:dyDescent="0.3">
      <c r="A233" s="90" t="s">
        <v>3175</v>
      </c>
      <c r="B233" s="90" t="s">
        <v>1687</v>
      </c>
      <c r="C233" s="90" t="s">
        <v>1681</v>
      </c>
    </row>
    <row r="234" spans="1:3" ht="14.4" x14ac:dyDescent="0.3">
      <c r="A234" s="90" t="s">
        <v>3176</v>
      </c>
      <c r="B234" s="90" t="s">
        <v>1688</v>
      </c>
      <c r="C234" s="90" t="s">
        <v>1681</v>
      </c>
    </row>
    <row r="235" spans="1:3" ht="14.4" x14ac:dyDescent="0.3">
      <c r="A235" s="90" t="s">
        <v>3177</v>
      </c>
      <c r="B235" s="90" t="s">
        <v>9</v>
      </c>
      <c r="C235" s="90" t="s">
        <v>7</v>
      </c>
    </row>
    <row r="236" spans="1:3" ht="14.4" x14ac:dyDescent="0.3">
      <c r="A236" s="90" t="s">
        <v>3178</v>
      </c>
      <c r="B236" s="90" t="s">
        <v>63</v>
      </c>
      <c r="C236" s="90" t="s">
        <v>62</v>
      </c>
    </row>
    <row r="237" spans="1:3" ht="14.4" x14ac:dyDescent="0.3">
      <c r="A237" s="90" t="s">
        <v>3179</v>
      </c>
      <c r="B237" s="90" t="s">
        <v>978</v>
      </c>
      <c r="C237" s="90" t="s">
        <v>972</v>
      </c>
    </row>
    <row r="238" spans="1:3" ht="14.4" x14ac:dyDescent="0.3">
      <c r="A238" s="90" t="s">
        <v>3180</v>
      </c>
      <c r="B238" s="90" t="s">
        <v>1135</v>
      </c>
      <c r="C238" s="90" t="s">
        <v>1134</v>
      </c>
    </row>
    <row r="239" spans="1:3" ht="14.4" x14ac:dyDescent="0.3">
      <c r="A239" s="90" t="s">
        <v>3181</v>
      </c>
      <c r="B239" s="90" t="s">
        <v>1731</v>
      </c>
      <c r="C239" s="90" t="s">
        <v>1727</v>
      </c>
    </row>
    <row r="240" spans="1:3" ht="14.4" x14ac:dyDescent="0.3">
      <c r="A240" s="90" t="s">
        <v>3182</v>
      </c>
      <c r="B240" s="90" t="s">
        <v>2854</v>
      </c>
      <c r="C240" s="90" t="s">
        <v>2852</v>
      </c>
    </row>
    <row r="241" spans="1:3" ht="14.4" x14ac:dyDescent="0.3">
      <c r="A241" s="90" t="s">
        <v>3183</v>
      </c>
      <c r="B241" s="90" t="s">
        <v>18</v>
      </c>
      <c r="C241" s="90" t="s">
        <v>7</v>
      </c>
    </row>
    <row r="242" spans="1:3" ht="14.4" x14ac:dyDescent="0.3">
      <c r="A242" s="90" t="s">
        <v>3184</v>
      </c>
      <c r="B242" s="90" t="s">
        <v>2163</v>
      </c>
      <c r="C242" s="90" t="s">
        <v>2153</v>
      </c>
    </row>
    <row r="243" spans="1:3" ht="14.4" x14ac:dyDescent="0.3">
      <c r="A243" s="90" t="s">
        <v>3185</v>
      </c>
      <c r="B243" s="90" t="s">
        <v>45</v>
      </c>
      <c r="C243" s="90" t="s">
        <v>42</v>
      </c>
    </row>
    <row r="244" spans="1:3" ht="14.4" x14ac:dyDescent="0.3">
      <c r="A244" s="90" t="s">
        <v>3186</v>
      </c>
      <c r="B244" s="90" t="s">
        <v>2430</v>
      </c>
      <c r="C244" s="90" t="s">
        <v>2421</v>
      </c>
    </row>
    <row r="245" spans="1:3" ht="14.4" x14ac:dyDescent="0.3">
      <c r="A245" s="90" t="s">
        <v>3187</v>
      </c>
      <c r="B245" s="90" t="s">
        <v>2238</v>
      </c>
      <c r="C245" s="90" t="s">
        <v>2234</v>
      </c>
    </row>
    <row r="246" spans="1:3" ht="14.4" x14ac:dyDescent="0.3">
      <c r="A246" s="90" t="s">
        <v>3188</v>
      </c>
      <c r="B246" s="90" t="s">
        <v>1136</v>
      </c>
      <c r="C246" s="90" t="s">
        <v>1134</v>
      </c>
    </row>
    <row r="247" spans="1:3" ht="14.4" x14ac:dyDescent="0.3">
      <c r="A247" s="90" t="s">
        <v>3189</v>
      </c>
      <c r="B247" s="90" t="s">
        <v>1144</v>
      </c>
      <c r="C247" s="90" t="s">
        <v>1142</v>
      </c>
    </row>
    <row r="248" spans="1:3" ht="14.4" x14ac:dyDescent="0.3">
      <c r="A248" s="90" t="s">
        <v>3190</v>
      </c>
      <c r="B248" s="90" t="s">
        <v>1114</v>
      </c>
      <c r="C248" s="90" t="s">
        <v>1106</v>
      </c>
    </row>
    <row r="249" spans="1:3" ht="14.4" x14ac:dyDescent="0.3">
      <c r="A249" s="90" t="s">
        <v>3191</v>
      </c>
      <c r="B249" s="90" t="s">
        <v>492</v>
      </c>
      <c r="C249" s="90" t="s">
        <v>449</v>
      </c>
    </row>
    <row r="250" spans="1:3" ht="14.4" x14ac:dyDescent="0.3">
      <c r="A250" s="90" t="s">
        <v>3192</v>
      </c>
      <c r="B250" s="90" t="s">
        <v>500</v>
      </c>
      <c r="C250" s="90" t="s">
        <v>449</v>
      </c>
    </row>
    <row r="251" spans="1:3" ht="14.4" x14ac:dyDescent="0.3">
      <c r="A251" s="90" t="s">
        <v>3193</v>
      </c>
      <c r="B251" s="90" t="s">
        <v>665</v>
      </c>
      <c r="C251" s="90" t="s">
        <v>661</v>
      </c>
    </row>
    <row r="252" spans="1:3" ht="14.4" x14ac:dyDescent="0.3">
      <c r="A252" s="90" t="s">
        <v>3194</v>
      </c>
      <c r="B252" s="90" t="s">
        <v>1394</v>
      </c>
      <c r="C252" s="90" t="s">
        <v>1392</v>
      </c>
    </row>
    <row r="253" spans="1:3" ht="14.4" x14ac:dyDescent="0.3">
      <c r="A253" s="90" t="s">
        <v>3195</v>
      </c>
      <c r="B253" s="90" t="s">
        <v>635</v>
      </c>
      <c r="C253" s="90" t="s">
        <v>627</v>
      </c>
    </row>
    <row r="254" spans="1:3" ht="14.4" x14ac:dyDescent="0.3">
      <c r="A254" s="90" t="s">
        <v>3196</v>
      </c>
      <c r="B254" s="90" t="s">
        <v>2921</v>
      </c>
      <c r="C254" s="90" t="s">
        <v>2919</v>
      </c>
    </row>
    <row r="255" spans="1:3" ht="14.4" x14ac:dyDescent="0.3">
      <c r="A255" s="90" t="s">
        <v>3197</v>
      </c>
      <c r="B255" s="90" t="s">
        <v>2920</v>
      </c>
      <c r="C255" s="90" t="s">
        <v>2919</v>
      </c>
    </row>
    <row r="256" spans="1:3" ht="14.4" x14ac:dyDescent="0.3">
      <c r="A256" s="90" t="s">
        <v>3198</v>
      </c>
      <c r="B256" s="90" t="s">
        <v>1756</v>
      </c>
      <c r="C256" s="90" t="s">
        <v>1741</v>
      </c>
    </row>
    <row r="257" spans="1:3" ht="14.4" x14ac:dyDescent="0.3">
      <c r="A257" s="90" t="s">
        <v>3199</v>
      </c>
      <c r="B257" s="90" t="s">
        <v>923</v>
      </c>
      <c r="C257" s="90" t="s">
        <v>916</v>
      </c>
    </row>
    <row r="258" spans="1:3" ht="14.4" x14ac:dyDescent="0.3">
      <c r="A258" s="90" t="s">
        <v>3200</v>
      </c>
      <c r="B258" s="90" t="s">
        <v>1314</v>
      </c>
      <c r="C258" s="90" t="s">
        <v>1313</v>
      </c>
    </row>
    <row r="259" spans="1:3" ht="14.4" x14ac:dyDescent="0.3">
      <c r="A259" s="90" t="s">
        <v>3201</v>
      </c>
      <c r="B259" s="90" t="s">
        <v>1639</v>
      </c>
      <c r="C259" s="90" t="s">
        <v>1631</v>
      </c>
    </row>
    <row r="260" spans="1:3" ht="14.4" x14ac:dyDescent="0.3">
      <c r="A260" s="90" t="s">
        <v>3202</v>
      </c>
      <c r="B260" s="90" t="s">
        <v>178</v>
      </c>
      <c r="C260" s="90" t="s">
        <v>168</v>
      </c>
    </row>
    <row r="261" spans="1:3" ht="14.4" x14ac:dyDescent="0.3">
      <c r="A261" s="90" t="s">
        <v>3203</v>
      </c>
      <c r="B261" s="90" t="s">
        <v>501</v>
      </c>
      <c r="C261" s="90" t="s">
        <v>449</v>
      </c>
    </row>
    <row r="262" spans="1:3" ht="14.4" x14ac:dyDescent="0.3">
      <c r="A262" s="90" t="s">
        <v>3204</v>
      </c>
      <c r="B262" s="90" t="s">
        <v>877</v>
      </c>
      <c r="C262" s="90" t="s">
        <v>874</v>
      </c>
    </row>
    <row r="263" spans="1:3" ht="14.4" x14ac:dyDescent="0.3">
      <c r="A263" s="90" t="s">
        <v>3205</v>
      </c>
      <c r="B263" s="90" t="s">
        <v>1397</v>
      </c>
      <c r="C263" s="90" t="s">
        <v>1392</v>
      </c>
    </row>
    <row r="264" spans="1:3" ht="14.4" x14ac:dyDescent="0.3">
      <c r="A264" s="90" t="s">
        <v>3206</v>
      </c>
      <c r="B264" s="90" t="s">
        <v>2638</v>
      </c>
      <c r="C264" s="90" t="s">
        <v>2633</v>
      </c>
    </row>
    <row r="265" spans="1:3" ht="14.4" x14ac:dyDescent="0.3">
      <c r="A265" s="90" t="str">
        <f>CONCATENATE(B265, C265," FIRM")</f>
        <v>AXTIWaste Management FIRM</v>
      </c>
      <c r="B265" s="91" t="s">
        <v>3207</v>
      </c>
      <c r="C265" s="90" t="s">
        <v>2932</v>
      </c>
    </row>
    <row r="266" spans="1:3" ht="14.4" x14ac:dyDescent="0.3">
      <c r="A266" s="90" t="s">
        <v>3208</v>
      </c>
      <c r="B266" s="90" t="s">
        <v>1110</v>
      </c>
      <c r="C266" s="90" t="s">
        <v>1106</v>
      </c>
    </row>
    <row r="267" spans="1:3" ht="14.4" x14ac:dyDescent="0.3">
      <c r="A267" s="90" t="s">
        <v>3209</v>
      </c>
      <c r="B267" s="90" t="s">
        <v>2218</v>
      </c>
      <c r="C267" s="90" t="s">
        <v>2214</v>
      </c>
    </row>
    <row r="268" spans="1:3" ht="14.4" x14ac:dyDescent="0.3">
      <c r="A268" s="90" t="str">
        <f>CONCATENATE(B268, C268," FIRM")</f>
        <v>AYXWaste Management FIRM</v>
      </c>
      <c r="B268" s="91" t="s">
        <v>3210</v>
      </c>
      <c r="C268" s="90" t="s">
        <v>2932</v>
      </c>
    </row>
    <row r="269" spans="1:3" ht="14.4" x14ac:dyDescent="0.3">
      <c r="A269" s="90" t="s">
        <v>3211</v>
      </c>
      <c r="B269" s="90" t="s">
        <v>2685</v>
      </c>
      <c r="C269" s="90" t="s">
        <v>2683</v>
      </c>
    </row>
    <row r="270" spans="1:3" ht="14.4" x14ac:dyDescent="0.3">
      <c r="A270" s="90" t="s">
        <v>3212</v>
      </c>
      <c r="B270" s="90" t="s">
        <v>2512</v>
      </c>
      <c r="C270" s="90" t="s">
        <v>2489</v>
      </c>
    </row>
    <row r="271" spans="1:3" ht="14.4" x14ac:dyDescent="0.3">
      <c r="A271" s="90" t="s">
        <v>3213</v>
      </c>
      <c r="B271" s="90" t="s">
        <v>984</v>
      </c>
      <c r="C271" s="90" t="s">
        <v>972</v>
      </c>
    </row>
    <row r="272" spans="1:3" ht="14.4" x14ac:dyDescent="0.3">
      <c r="A272" s="90" t="s">
        <v>3214</v>
      </c>
      <c r="B272" s="90" t="s">
        <v>985</v>
      </c>
      <c r="C272" s="90" t="s">
        <v>972</v>
      </c>
    </row>
    <row r="273" spans="1:3" ht="14.4" x14ac:dyDescent="0.3">
      <c r="A273" s="90" t="s">
        <v>3215</v>
      </c>
      <c r="B273" s="90" t="s">
        <v>21</v>
      </c>
      <c r="C273" s="90" t="s">
        <v>7</v>
      </c>
    </row>
    <row r="274" spans="1:3" ht="14.4" x14ac:dyDescent="0.3">
      <c r="A274" s="90" t="s">
        <v>3216</v>
      </c>
      <c r="B274" s="90" t="s">
        <v>1659</v>
      </c>
      <c r="C274" s="90" t="s">
        <v>1631</v>
      </c>
    </row>
    <row r="275" spans="1:3" ht="14.4" x14ac:dyDescent="0.3">
      <c r="A275" s="90" t="s">
        <v>3217</v>
      </c>
      <c r="B275" s="90" t="s">
        <v>197</v>
      </c>
      <c r="C275" s="90" t="s">
        <v>195</v>
      </c>
    </row>
    <row r="276" spans="1:3" ht="14.4" x14ac:dyDescent="0.3">
      <c r="A276" s="90" t="s">
        <v>3218</v>
      </c>
      <c r="B276" s="90" t="s">
        <v>685</v>
      </c>
      <c r="C276" s="90" t="s">
        <v>675</v>
      </c>
    </row>
    <row r="277" spans="1:3" ht="14.4" x14ac:dyDescent="0.3">
      <c r="A277" s="90" t="s">
        <v>3219</v>
      </c>
      <c r="B277" s="90" t="s">
        <v>242</v>
      </c>
      <c r="C277" s="90" t="s">
        <v>203</v>
      </c>
    </row>
    <row r="278" spans="1:3" ht="14.4" x14ac:dyDescent="0.3">
      <c r="A278" s="90" t="s">
        <v>3220</v>
      </c>
      <c r="B278" s="90" t="s">
        <v>243</v>
      </c>
      <c r="C278" s="90" t="s">
        <v>203</v>
      </c>
    </row>
    <row r="279" spans="1:3" ht="14.4" x14ac:dyDescent="0.3">
      <c r="A279" s="90" t="s">
        <v>3221</v>
      </c>
      <c r="B279" s="90" t="s">
        <v>249</v>
      </c>
      <c r="C279" s="90" t="s">
        <v>203</v>
      </c>
    </row>
    <row r="280" spans="1:3" ht="14.4" x14ac:dyDescent="0.3">
      <c r="A280" s="90" t="s">
        <v>3222</v>
      </c>
      <c r="B280" s="90" t="s">
        <v>1529</v>
      </c>
      <c r="C280" s="90" t="s">
        <v>1513</v>
      </c>
    </row>
    <row r="281" spans="1:3" ht="14.4" x14ac:dyDescent="0.3">
      <c r="A281" s="90" t="s">
        <v>3223</v>
      </c>
      <c r="B281" s="90" t="s">
        <v>1530</v>
      </c>
      <c r="C281" s="90" t="s">
        <v>1513</v>
      </c>
    </row>
    <row r="282" spans="1:3" ht="14.4" x14ac:dyDescent="0.3">
      <c r="A282" s="90" t="s">
        <v>3224</v>
      </c>
      <c r="B282" s="90" t="s">
        <v>1689</v>
      </c>
      <c r="C282" s="90" t="s">
        <v>1681</v>
      </c>
    </row>
    <row r="283" spans="1:3" ht="14.4" x14ac:dyDescent="0.3">
      <c r="A283" s="90" t="s">
        <v>3225</v>
      </c>
      <c r="B283" s="90" t="s">
        <v>2686</v>
      </c>
      <c r="C283" s="90" t="s">
        <v>2683</v>
      </c>
    </row>
    <row r="284" spans="1:3" ht="14.4" x14ac:dyDescent="0.3">
      <c r="A284" s="90" t="s">
        <v>3226</v>
      </c>
      <c r="B284" s="90" t="s">
        <v>1743</v>
      </c>
      <c r="C284" s="90" t="s">
        <v>1741</v>
      </c>
    </row>
    <row r="285" spans="1:3" ht="14.4" x14ac:dyDescent="0.3">
      <c r="A285" s="90" t="s">
        <v>3227</v>
      </c>
      <c r="B285" s="90" t="s">
        <v>2742</v>
      </c>
      <c r="C285" s="90" t="s">
        <v>2740</v>
      </c>
    </row>
    <row r="286" spans="1:3" ht="14.4" x14ac:dyDescent="0.3">
      <c r="A286" s="90" t="s">
        <v>3228</v>
      </c>
      <c r="B286" s="90" t="s">
        <v>251</v>
      </c>
      <c r="C286" s="90" t="s">
        <v>203</v>
      </c>
    </row>
    <row r="287" spans="1:3" ht="14.4" x14ac:dyDescent="0.3">
      <c r="A287" s="90" t="s">
        <v>3229</v>
      </c>
      <c r="B287" s="90" t="s">
        <v>2700</v>
      </c>
      <c r="C287" s="90" t="s">
        <v>2683</v>
      </c>
    </row>
    <row r="288" spans="1:3" ht="14.4" x14ac:dyDescent="0.3">
      <c r="A288" s="90" t="s">
        <v>3230</v>
      </c>
      <c r="B288" s="90" t="s">
        <v>2699</v>
      </c>
      <c r="C288" s="90" t="s">
        <v>2683</v>
      </c>
    </row>
    <row r="289" spans="1:3" ht="14.4" x14ac:dyDescent="0.3">
      <c r="A289" s="90" t="s">
        <v>3231</v>
      </c>
      <c r="B289" s="90" t="s">
        <v>1520</v>
      </c>
      <c r="C289" s="90" t="s">
        <v>1513</v>
      </c>
    </row>
    <row r="290" spans="1:3" ht="14.4" x14ac:dyDescent="0.3">
      <c r="A290" s="90" t="s">
        <v>3232</v>
      </c>
      <c r="B290" s="90" t="s">
        <v>1564</v>
      </c>
      <c r="C290" s="90" t="s">
        <v>1562</v>
      </c>
    </row>
    <row r="291" spans="1:3" ht="14.4" x14ac:dyDescent="0.3">
      <c r="A291" s="90" t="s">
        <v>3233</v>
      </c>
      <c r="B291" s="90" t="s">
        <v>2396</v>
      </c>
      <c r="C291" s="90" t="s">
        <v>2388</v>
      </c>
    </row>
    <row r="292" spans="1:3" ht="14.4" x14ac:dyDescent="0.3">
      <c r="A292" s="90" t="s">
        <v>3234</v>
      </c>
      <c r="B292" s="90" t="s">
        <v>1490</v>
      </c>
      <c r="C292" s="90" t="s">
        <v>1485</v>
      </c>
    </row>
    <row r="293" spans="1:3" ht="14.4" x14ac:dyDescent="0.3">
      <c r="A293" s="90" t="s">
        <v>3235</v>
      </c>
      <c r="B293" s="90" t="s">
        <v>2519</v>
      </c>
      <c r="C293" s="90" t="s">
        <v>2489</v>
      </c>
    </row>
    <row r="294" spans="1:3" ht="14.4" x14ac:dyDescent="0.3">
      <c r="A294" s="90" t="s">
        <v>3236</v>
      </c>
      <c r="B294" s="90" t="s">
        <v>777</v>
      </c>
      <c r="C294" s="90" t="s">
        <v>776</v>
      </c>
    </row>
    <row r="295" spans="1:3" ht="14.4" x14ac:dyDescent="0.3">
      <c r="A295" s="90" t="s">
        <v>3237</v>
      </c>
      <c r="B295" s="90" t="s">
        <v>1691</v>
      </c>
      <c r="C295" s="90" t="s">
        <v>1681</v>
      </c>
    </row>
    <row r="296" spans="1:3" ht="14.4" x14ac:dyDescent="0.3">
      <c r="A296" s="90" t="s">
        <v>3238</v>
      </c>
      <c r="B296" s="90" t="s">
        <v>1444</v>
      </c>
      <c r="C296" s="90" t="s">
        <v>1440</v>
      </c>
    </row>
    <row r="297" spans="1:3" ht="14.4" x14ac:dyDescent="0.3">
      <c r="A297" s="90" t="s">
        <v>3239</v>
      </c>
      <c r="B297" s="90" t="s">
        <v>456</v>
      </c>
      <c r="C297" s="90" t="s">
        <v>449</v>
      </c>
    </row>
    <row r="298" spans="1:3" ht="14.4" x14ac:dyDescent="0.3">
      <c r="A298" s="90" t="s">
        <v>3240</v>
      </c>
      <c r="B298" s="90" t="s">
        <v>1117</v>
      </c>
      <c r="C298" s="90" t="s">
        <v>1106</v>
      </c>
    </row>
    <row r="299" spans="1:3" ht="14.4" x14ac:dyDescent="0.3">
      <c r="A299" s="90" t="s">
        <v>3241</v>
      </c>
      <c r="B299" s="90" t="s">
        <v>256</v>
      </c>
      <c r="C299" s="90" t="s">
        <v>203</v>
      </c>
    </row>
    <row r="300" spans="1:3" ht="14.4" x14ac:dyDescent="0.3">
      <c r="A300" s="90" t="s">
        <v>3242</v>
      </c>
      <c r="B300" s="90" t="s">
        <v>2127</v>
      </c>
      <c r="C300" s="90" t="s">
        <v>2124</v>
      </c>
    </row>
    <row r="301" spans="1:3" ht="14.4" x14ac:dyDescent="0.3">
      <c r="A301" s="90" t="s">
        <v>3243</v>
      </c>
      <c r="B301" s="90" t="s">
        <v>1690</v>
      </c>
      <c r="C301" s="90" t="s">
        <v>1681</v>
      </c>
    </row>
    <row r="302" spans="1:3" ht="14.4" x14ac:dyDescent="0.3">
      <c r="A302" s="90" t="s">
        <v>3244</v>
      </c>
      <c r="B302" s="90" t="s">
        <v>928</v>
      </c>
      <c r="C302" s="90" t="s">
        <v>916</v>
      </c>
    </row>
    <row r="303" spans="1:3" ht="14.4" x14ac:dyDescent="0.3">
      <c r="A303" s="90" t="s">
        <v>3245</v>
      </c>
      <c r="B303" s="90" t="s">
        <v>628</v>
      </c>
      <c r="C303" s="90" t="s">
        <v>627</v>
      </c>
    </row>
    <row r="304" spans="1:3" ht="14.4" x14ac:dyDescent="0.3">
      <c r="A304" s="90" t="s">
        <v>3246</v>
      </c>
      <c r="B304" s="90" t="s">
        <v>1545</v>
      </c>
      <c r="C304" s="90" t="s">
        <v>1544</v>
      </c>
    </row>
    <row r="305" spans="1:3" ht="14.4" x14ac:dyDescent="0.3">
      <c r="A305" s="90" t="s">
        <v>3247</v>
      </c>
      <c r="B305" s="90" t="s">
        <v>1116</v>
      </c>
      <c r="C305" s="90" t="s">
        <v>1106</v>
      </c>
    </row>
    <row r="306" spans="1:3" ht="14.4" x14ac:dyDescent="0.3">
      <c r="A306" s="90" t="s">
        <v>3248</v>
      </c>
      <c r="B306" s="90" t="s">
        <v>131</v>
      </c>
      <c r="C306" s="90" t="s">
        <v>116</v>
      </c>
    </row>
    <row r="307" spans="1:3" ht="14.4" x14ac:dyDescent="0.3">
      <c r="A307" s="90" t="s">
        <v>3249</v>
      </c>
      <c r="B307" s="90" t="s">
        <v>1909</v>
      </c>
      <c r="C307" s="90" t="s">
        <v>1901</v>
      </c>
    </row>
    <row r="308" spans="1:3" ht="14.4" x14ac:dyDescent="0.3">
      <c r="A308" s="90" t="s">
        <v>3250</v>
      </c>
      <c r="B308" s="90" t="s">
        <v>1865</v>
      </c>
      <c r="C308" s="90" t="s">
        <v>1863</v>
      </c>
    </row>
    <row r="309" spans="1:3" ht="14.4" x14ac:dyDescent="0.3">
      <c r="A309" s="90" t="s">
        <v>3251</v>
      </c>
      <c r="B309" s="90" t="s">
        <v>446</v>
      </c>
      <c r="C309" s="90" t="s">
        <v>445</v>
      </c>
    </row>
    <row r="310" spans="1:3" ht="14.4" x14ac:dyDescent="0.3">
      <c r="A310" s="90" t="s">
        <v>3252</v>
      </c>
      <c r="B310" s="90" t="s">
        <v>447</v>
      </c>
      <c r="C310" s="90" t="s">
        <v>445</v>
      </c>
    </row>
    <row r="311" spans="1:3" ht="14.4" x14ac:dyDescent="0.3">
      <c r="A311" s="90" t="s">
        <v>3253</v>
      </c>
      <c r="B311" s="90" t="s">
        <v>1939</v>
      </c>
      <c r="C311" s="90" t="s">
        <v>1933</v>
      </c>
    </row>
    <row r="312" spans="1:3" ht="14.4" x14ac:dyDescent="0.3">
      <c r="A312" s="90" t="s">
        <v>3254</v>
      </c>
      <c r="B312" s="90" t="s">
        <v>247</v>
      </c>
      <c r="C312" s="90" t="s">
        <v>203</v>
      </c>
    </row>
    <row r="313" spans="1:3" ht="14.4" x14ac:dyDescent="0.3">
      <c r="A313" s="90" t="s">
        <v>3255</v>
      </c>
      <c r="B313" s="90" t="s">
        <v>2206</v>
      </c>
      <c r="C313" s="90" t="s">
        <v>2182</v>
      </c>
    </row>
    <row r="314" spans="1:3" ht="14.4" x14ac:dyDescent="0.3">
      <c r="A314" s="90" t="s">
        <v>3256</v>
      </c>
      <c r="B314" s="90" t="s">
        <v>1188</v>
      </c>
      <c r="C314" s="90" t="s">
        <v>1185</v>
      </c>
    </row>
    <row r="315" spans="1:3" ht="14.4" x14ac:dyDescent="0.3">
      <c r="A315" s="90" t="s">
        <v>3257</v>
      </c>
      <c r="B315" s="90" t="s">
        <v>1319</v>
      </c>
      <c r="C315" s="90" t="s">
        <v>1313</v>
      </c>
    </row>
    <row r="316" spans="1:3" ht="14.4" x14ac:dyDescent="0.3">
      <c r="A316" s="90" t="s">
        <v>3258</v>
      </c>
      <c r="B316" s="90" t="s">
        <v>749</v>
      </c>
      <c r="C316" s="90" t="s">
        <v>744</v>
      </c>
    </row>
    <row r="317" spans="1:3" ht="14.4" x14ac:dyDescent="0.3">
      <c r="A317" s="90" t="s">
        <v>3259</v>
      </c>
      <c r="B317" s="90" t="s">
        <v>2687</v>
      </c>
      <c r="C317" s="90" t="s">
        <v>2683</v>
      </c>
    </row>
    <row r="318" spans="1:3" ht="14.4" x14ac:dyDescent="0.3">
      <c r="A318" s="90" t="s">
        <v>3260</v>
      </c>
      <c r="B318" s="90" t="s">
        <v>986</v>
      </c>
      <c r="C318" s="90" t="s">
        <v>972</v>
      </c>
    </row>
    <row r="319" spans="1:3" ht="14.4" x14ac:dyDescent="0.3">
      <c r="A319" s="90" t="s">
        <v>3261</v>
      </c>
      <c r="B319" s="90" t="s">
        <v>1866</v>
      </c>
      <c r="C319" s="90" t="s">
        <v>1863</v>
      </c>
    </row>
    <row r="320" spans="1:3" ht="14.4" x14ac:dyDescent="0.3">
      <c r="A320" s="90" t="s">
        <v>3262</v>
      </c>
      <c r="B320" s="90" t="s">
        <v>2289</v>
      </c>
      <c r="C320" s="90" t="s">
        <v>2275</v>
      </c>
    </row>
    <row r="321" spans="1:3" ht="14.4" x14ac:dyDescent="0.3">
      <c r="A321" s="90" t="s">
        <v>3263</v>
      </c>
      <c r="B321" s="90" t="s">
        <v>250</v>
      </c>
      <c r="C321" s="90" t="s">
        <v>203</v>
      </c>
    </row>
    <row r="322" spans="1:3" ht="14.4" x14ac:dyDescent="0.3">
      <c r="A322" s="90" t="s">
        <v>3264</v>
      </c>
      <c r="B322" s="90" t="s">
        <v>254</v>
      </c>
      <c r="C322" s="90" t="s">
        <v>203</v>
      </c>
    </row>
    <row r="323" spans="1:3" ht="14.4" x14ac:dyDescent="0.3">
      <c r="A323" s="90" t="s">
        <v>3265</v>
      </c>
      <c r="B323" s="90" t="s">
        <v>867</v>
      </c>
      <c r="C323" s="90" t="s">
        <v>866</v>
      </c>
    </row>
    <row r="324" spans="1:3" ht="14.4" x14ac:dyDescent="0.3">
      <c r="A324" s="90" t="s">
        <v>3266</v>
      </c>
      <c r="B324" s="90" t="s">
        <v>1806</v>
      </c>
      <c r="C324" s="90" t="s">
        <v>1800</v>
      </c>
    </row>
    <row r="325" spans="1:3" ht="14.4" x14ac:dyDescent="0.3">
      <c r="A325" s="90" t="s">
        <v>3267</v>
      </c>
      <c r="B325" s="90" t="s">
        <v>253</v>
      </c>
      <c r="C325" s="90" t="s">
        <v>203</v>
      </c>
    </row>
    <row r="326" spans="1:3" ht="14.4" x14ac:dyDescent="0.3">
      <c r="A326" s="90" t="str">
        <f>CONCATENATE(B326, C326," FIRM")</f>
        <v>BHVNWaste Management FIRM</v>
      </c>
      <c r="B326" s="91" t="s">
        <v>3268</v>
      </c>
      <c r="C326" s="90" t="s">
        <v>2932</v>
      </c>
    </row>
    <row r="327" spans="1:3" ht="14.4" x14ac:dyDescent="0.3">
      <c r="A327" s="90" t="s">
        <v>3269</v>
      </c>
      <c r="B327" s="90" t="s">
        <v>2726</v>
      </c>
      <c r="C327" s="90" t="s">
        <v>2683</v>
      </c>
    </row>
    <row r="328" spans="1:3" ht="14.4" x14ac:dyDescent="0.3">
      <c r="A328" s="90" t="s">
        <v>3270</v>
      </c>
      <c r="B328" s="90" t="s">
        <v>962</v>
      </c>
      <c r="C328" s="90" t="s">
        <v>961</v>
      </c>
    </row>
    <row r="329" spans="1:3" ht="14.4" x14ac:dyDescent="0.3">
      <c r="A329" s="90" t="s">
        <v>3271</v>
      </c>
      <c r="B329" s="90" t="s">
        <v>457</v>
      </c>
      <c r="C329" s="90" t="s">
        <v>449</v>
      </c>
    </row>
    <row r="330" spans="1:3" ht="14.4" x14ac:dyDescent="0.3">
      <c r="A330" s="90" t="s">
        <v>3272</v>
      </c>
      <c r="B330" s="90" t="s">
        <v>927</v>
      </c>
      <c r="C330" s="90" t="s">
        <v>916</v>
      </c>
    </row>
    <row r="331" spans="1:3" ht="14.4" x14ac:dyDescent="0.3">
      <c r="A331" s="90" t="s">
        <v>3273</v>
      </c>
      <c r="B331" s="90" t="s">
        <v>1614</v>
      </c>
      <c r="C331" s="90" t="s">
        <v>1606</v>
      </c>
    </row>
    <row r="332" spans="1:3" ht="14.4" x14ac:dyDescent="0.3">
      <c r="A332" s="90" t="s">
        <v>3274</v>
      </c>
      <c r="B332" s="90" t="s">
        <v>506</v>
      </c>
      <c r="C332" s="90" t="s">
        <v>449</v>
      </c>
    </row>
    <row r="333" spans="1:3" ht="14.4" x14ac:dyDescent="0.3">
      <c r="A333" s="90" t="s">
        <v>3275</v>
      </c>
      <c r="B333" s="90" t="s">
        <v>2290</v>
      </c>
      <c r="C333" s="90" t="s">
        <v>2275</v>
      </c>
    </row>
    <row r="334" spans="1:3" ht="14.4" x14ac:dyDescent="0.3">
      <c r="A334" s="90" t="s">
        <v>3276</v>
      </c>
      <c r="B334" s="90" t="s">
        <v>125</v>
      </c>
      <c r="C334" s="90" t="s">
        <v>116</v>
      </c>
    </row>
    <row r="335" spans="1:3" ht="14.4" x14ac:dyDescent="0.3">
      <c r="A335" s="90" t="s">
        <v>3277</v>
      </c>
      <c r="B335" s="90" t="s">
        <v>1557</v>
      </c>
      <c r="C335" s="90" t="s">
        <v>1554</v>
      </c>
    </row>
    <row r="336" spans="1:3" ht="14.4" x14ac:dyDescent="0.3">
      <c r="A336" s="90" t="s">
        <v>3278</v>
      </c>
      <c r="B336" s="90" t="s">
        <v>99</v>
      </c>
      <c r="C336" s="90" t="s">
        <v>91</v>
      </c>
    </row>
    <row r="337" spans="1:3" ht="14.4" x14ac:dyDescent="0.3">
      <c r="A337" s="90" t="s">
        <v>3279</v>
      </c>
      <c r="B337" s="90" t="s">
        <v>2597</v>
      </c>
      <c r="C337" s="90" t="s">
        <v>2589</v>
      </c>
    </row>
    <row r="338" spans="1:3" ht="14.4" x14ac:dyDescent="0.3">
      <c r="A338" s="90" t="s">
        <v>3280</v>
      </c>
      <c r="B338" s="90" t="s">
        <v>2855</v>
      </c>
      <c r="C338" s="90" t="s">
        <v>2852</v>
      </c>
    </row>
    <row r="339" spans="1:3" ht="14.4" x14ac:dyDescent="0.3">
      <c r="A339" s="90" t="s">
        <v>3281</v>
      </c>
      <c r="B339" s="90" t="s">
        <v>2332</v>
      </c>
      <c r="C339" s="90" t="s">
        <v>2328</v>
      </c>
    </row>
    <row r="340" spans="1:3" ht="14.4" x14ac:dyDescent="0.3">
      <c r="A340" s="90" t="s">
        <v>3282</v>
      </c>
      <c r="B340" s="90" t="s">
        <v>2698</v>
      </c>
      <c r="C340" s="90" t="s">
        <v>2683</v>
      </c>
    </row>
    <row r="341" spans="1:3" ht="14.4" x14ac:dyDescent="0.3">
      <c r="A341" s="90" t="s">
        <v>3283</v>
      </c>
      <c r="B341" s="90" t="s">
        <v>205</v>
      </c>
      <c r="C341" s="90" t="s">
        <v>203</v>
      </c>
    </row>
    <row r="342" spans="1:3" ht="14.4" x14ac:dyDescent="0.3">
      <c r="A342" s="90" t="s">
        <v>3284</v>
      </c>
      <c r="B342" s="90" t="s">
        <v>2598</v>
      </c>
      <c r="C342" s="90" t="s">
        <v>2589</v>
      </c>
    </row>
    <row r="343" spans="1:3" ht="14.4" x14ac:dyDescent="0.3">
      <c r="A343" s="90" t="s">
        <v>3285</v>
      </c>
      <c r="B343" s="90" t="s">
        <v>165</v>
      </c>
      <c r="C343" s="90" t="s">
        <v>163</v>
      </c>
    </row>
    <row r="344" spans="1:3" ht="14.4" x14ac:dyDescent="0.3">
      <c r="A344" s="90" t="s">
        <v>3286</v>
      </c>
      <c r="B344" s="90" t="s">
        <v>502</v>
      </c>
      <c r="C344" s="90" t="s">
        <v>449</v>
      </c>
    </row>
    <row r="345" spans="1:3" ht="14.4" x14ac:dyDescent="0.3">
      <c r="A345" s="90" t="s">
        <v>3287</v>
      </c>
      <c r="B345" s="90" t="s">
        <v>656</v>
      </c>
      <c r="C345" s="90" t="s">
        <v>627</v>
      </c>
    </row>
    <row r="346" spans="1:3" ht="14.4" x14ac:dyDescent="0.3">
      <c r="A346" s="90" t="s">
        <v>3288</v>
      </c>
      <c r="B346" s="90" t="s">
        <v>637</v>
      </c>
      <c r="C346" s="90" t="s">
        <v>627</v>
      </c>
    </row>
    <row r="347" spans="1:3" ht="14.4" x14ac:dyDescent="0.3">
      <c r="A347" s="90" t="s">
        <v>3289</v>
      </c>
      <c r="B347" s="90" t="s">
        <v>126</v>
      </c>
      <c r="C347" s="90" t="s">
        <v>116</v>
      </c>
    </row>
    <row r="348" spans="1:3" ht="14.4" x14ac:dyDescent="0.3">
      <c r="A348" s="90" t="s">
        <v>3290</v>
      </c>
      <c r="B348" s="90" t="s">
        <v>2517</v>
      </c>
      <c r="C348" s="90" t="s">
        <v>2489</v>
      </c>
    </row>
    <row r="349" spans="1:3" ht="14.4" x14ac:dyDescent="0.3">
      <c r="A349" s="90" t="s">
        <v>3291</v>
      </c>
      <c r="B349" s="90" t="s">
        <v>1908</v>
      </c>
      <c r="C349" s="90" t="s">
        <v>1901</v>
      </c>
    </row>
    <row r="350" spans="1:3" ht="14.4" x14ac:dyDescent="0.3">
      <c r="A350" s="90" t="s">
        <v>3292</v>
      </c>
      <c r="B350" s="90" t="s">
        <v>2291</v>
      </c>
      <c r="C350" s="90" t="s">
        <v>2275</v>
      </c>
    </row>
    <row r="351" spans="1:3" ht="14.4" x14ac:dyDescent="0.3">
      <c r="A351" s="90" t="s">
        <v>3293</v>
      </c>
      <c r="B351" s="90" t="s">
        <v>258</v>
      </c>
      <c r="C351" s="90" t="s">
        <v>203</v>
      </c>
    </row>
    <row r="352" spans="1:3" ht="14.4" x14ac:dyDescent="0.3">
      <c r="A352" s="90" t="s">
        <v>3294</v>
      </c>
      <c r="B352" s="90" t="s">
        <v>507</v>
      </c>
      <c r="C352" s="90" t="s">
        <v>449</v>
      </c>
    </row>
    <row r="353" spans="1:3" ht="14.4" x14ac:dyDescent="0.3">
      <c r="A353" s="90" t="s">
        <v>3295</v>
      </c>
      <c r="B353" s="90" t="s">
        <v>202</v>
      </c>
      <c r="C353" s="90" t="s">
        <v>201</v>
      </c>
    </row>
    <row r="354" spans="1:3" ht="14.4" x14ac:dyDescent="0.3">
      <c r="A354" s="90" t="s">
        <v>3296</v>
      </c>
      <c r="B354" s="90" t="s">
        <v>636</v>
      </c>
      <c r="C354" s="90" t="s">
        <v>627</v>
      </c>
    </row>
    <row r="355" spans="1:3" ht="14.4" x14ac:dyDescent="0.3">
      <c r="A355" s="90" t="s">
        <v>3297</v>
      </c>
      <c r="B355" s="90" t="s">
        <v>2366</v>
      </c>
      <c r="C355" s="90" t="s">
        <v>2365</v>
      </c>
    </row>
    <row r="356" spans="1:3" ht="14.4" x14ac:dyDescent="0.3">
      <c r="A356" s="90" t="s">
        <v>3298</v>
      </c>
      <c r="B356" s="90" t="s">
        <v>204</v>
      </c>
      <c r="C356" s="90" t="s">
        <v>203</v>
      </c>
    </row>
    <row r="357" spans="1:3" ht="14.4" x14ac:dyDescent="0.3">
      <c r="A357" s="90" t="s">
        <v>3299</v>
      </c>
      <c r="B357" s="90" t="s">
        <v>504</v>
      </c>
      <c r="C357" s="90" t="s">
        <v>449</v>
      </c>
    </row>
    <row r="358" spans="1:3" ht="14.4" x14ac:dyDescent="0.3">
      <c r="A358" s="90" t="s">
        <v>3300</v>
      </c>
      <c r="B358" s="90" t="s">
        <v>1902</v>
      </c>
      <c r="C358" s="90" t="s">
        <v>1901</v>
      </c>
    </row>
    <row r="359" spans="1:3" ht="14.4" x14ac:dyDescent="0.3">
      <c r="A359" s="90" t="s">
        <v>3301</v>
      </c>
      <c r="B359" s="90" t="s">
        <v>257</v>
      </c>
      <c r="C359" s="90" t="s">
        <v>203</v>
      </c>
    </row>
    <row r="360" spans="1:3" ht="14.4" x14ac:dyDescent="0.3">
      <c r="A360" s="90" t="s">
        <v>3302</v>
      </c>
      <c r="B360" s="90" t="s">
        <v>1042</v>
      </c>
      <c r="C360" s="90" t="s">
        <v>1038</v>
      </c>
    </row>
    <row r="361" spans="1:3" ht="14.4" x14ac:dyDescent="0.3">
      <c r="A361" s="90" t="s">
        <v>3303</v>
      </c>
      <c r="B361" s="90" t="s">
        <v>252</v>
      </c>
      <c r="C361" s="90" t="s">
        <v>203</v>
      </c>
    </row>
    <row r="362" spans="1:3" ht="14.4" x14ac:dyDescent="0.3">
      <c r="A362" s="90" t="s">
        <v>3304</v>
      </c>
      <c r="B362" s="90" t="s">
        <v>2697</v>
      </c>
      <c r="C362" s="90" t="s">
        <v>2683</v>
      </c>
    </row>
    <row r="363" spans="1:3" ht="14.4" x14ac:dyDescent="0.3">
      <c r="A363" s="90" t="s">
        <v>3305</v>
      </c>
      <c r="B363" s="90" t="s">
        <v>2516</v>
      </c>
      <c r="C363" s="90" t="s">
        <v>2489</v>
      </c>
    </row>
    <row r="364" spans="1:3" ht="14.4" x14ac:dyDescent="0.3">
      <c r="A364" s="90" t="s">
        <v>3306</v>
      </c>
      <c r="B364" s="90" t="s">
        <v>1868</v>
      </c>
      <c r="C364" s="90" t="s">
        <v>1863</v>
      </c>
    </row>
    <row r="365" spans="1:3" ht="14.4" x14ac:dyDescent="0.3">
      <c r="A365" s="90" t="s">
        <v>3307</v>
      </c>
      <c r="B365" s="90" t="s">
        <v>2334</v>
      </c>
      <c r="C365" s="90" t="s">
        <v>2328</v>
      </c>
    </row>
    <row r="366" spans="1:3" ht="14.4" x14ac:dyDescent="0.3">
      <c r="A366" s="90" t="s">
        <v>3308</v>
      </c>
      <c r="B366" s="90" t="s">
        <v>245</v>
      </c>
      <c r="C366" s="90" t="s">
        <v>203</v>
      </c>
    </row>
    <row r="367" spans="1:3" ht="14.4" x14ac:dyDescent="0.3">
      <c r="A367" s="90" t="s">
        <v>3309</v>
      </c>
      <c r="B367" s="90" t="s">
        <v>2292</v>
      </c>
      <c r="C367" s="90" t="s">
        <v>2275</v>
      </c>
    </row>
    <row r="368" spans="1:3" ht="14.4" x14ac:dyDescent="0.3">
      <c r="A368" s="90" t="s">
        <v>3310</v>
      </c>
      <c r="B368" s="90" t="s">
        <v>255</v>
      </c>
      <c r="C368" s="90" t="s">
        <v>203</v>
      </c>
    </row>
    <row r="369" spans="1:3" ht="14.4" x14ac:dyDescent="0.3">
      <c r="A369" s="90" t="s">
        <v>3311</v>
      </c>
      <c r="B369" s="90" t="s">
        <v>499</v>
      </c>
      <c r="C369" s="90" t="s">
        <v>449</v>
      </c>
    </row>
    <row r="370" spans="1:3" ht="14.4" x14ac:dyDescent="0.3">
      <c r="A370" s="90" t="s">
        <v>3312</v>
      </c>
      <c r="B370" s="90" t="s">
        <v>1719</v>
      </c>
      <c r="C370" s="90" t="s">
        <v>1715</v>
      </c>
    </row>
    <row r="371" spans="1:3" ht="14.4" x14ac:dyDescent="0.3">
      <c r="A371" s="90" t="s">
        <v>3313</v>
      </c>
      <c r="B371" s="90" t="s">
        <v>98</v>
      </c>
      <c r="C371" s="90" t="s">
        <v>91</v>
      </c>
    </row>
    <row r="372" spans="1:3" ht="14.4" x14ac:dyDescent="0.3">
      <c r="A372" s="90" t="s">
        <v>3314</v>
      </c>
      <c r="B372" s="90" t="s">
        <v>2599</v>
      </c>
      <c r="C372" s="90" t="s">
        <v>2589</v>
      </c>
    </row>
    <row r="373" spans="1:3" ht="14.4" x14ac:dyDescent="0.3">
      <c r="A373" s="90" t="s">
        <v>3315</v>
      </c>
      <c r="B373" s="90" t="s">
        <v>206</v>
      </c>
      <c r="C373" s="90" t="s">
        <v>203</v>
      </c>
    </row>
    <row r="374" spans="1:3" ht="14.4" x14ac:dyDescent="0.3">
      <c r="A374" s="90" t="s">
        <v>3316</v>
      </c>
      <c r="B374" s="90" t="s">
        <v>1096</v>
      </c>
      <c r="C374" s="90" t="s">
        <v>1090</v>
      </c>
    </row>
    <row r="375" spans="1:3" ht="14.4" x14ac:dyDescent="0.3">
      <c r="A375" s="90" t="s">
        <v>3317</v>
      </c>
      <c r="B375" s="90" t="s">
        <v>508</v>
      </c>
      <c r="C375" s="90" t="s">
        <v>449</v>
      </c>
    </row>
    <row r="376" spans="1:3" ht="14.4" x14ac:dyDescent="0.3">
      <c r="A376" s="90" t="s">
        <v>3318</v>
      </c>
      <c r="B376" s="90" t="s">
        <v>378</v>
      </c>
      <c r="C376" s="90" t="s">
        <v>203</v>
      </c>
    </row>
    <row r="377" spans="1:3" ht="14.4" x14ac:dyDescent="0.3">
      <c r="A377" s="90" t="s">
        <v>3319</v>
      </c>
      <c r="B377" s="90" t="s">
        <v>686</v>
      </c>
      <c r="C377" s="90" t="s">
        <v>675</v>
      </c>
    </row>
    <row r="378" spans="1:3" ht="14.4" x14ac:dyDescent="0.3">
      <c r="A378" s="90" t="s">
        <v>3320</v>
      </c>
      <c r="B378" s="90" t="s">
        <v>2389</v>
      </c>
      <c r="C378" s="90" t="s">
        <v>2388</v>
      </c>
    </row>
    <row r="379" spans="1:3" ht="14.4" x14ac:dyDescent="0.3">
      <c r="A379" s="90" t="s">
        <v>3321</v>
      </c>
      <c r="B379" s="90" t="s">
        <v>904</v>
      </c>
      <c r="C379" s="90" t="s">
        <v>903</v>
      </c>
    </row>
    <row r="380" spans="1:3" ht="14.4" x14ac:dyDescent="0.3">
      <c r="A380" s="90" t="s">
        <v>3322</v>
      </c>
      <c r="B380" s="90" t="s">
        <v>435</v>
      </c>
      <c r="C380" s="90" t="s">
        <v>433</v>
      </c>
    </row>
    <row r="381" spans="1:3" ht="14.4" x14ac:dyDescent="0.3">
      <c r="A381" s="90" t="s">
        <v>3323</v>
      </c>
      <c r="B381" s="90" t="s">
        <v>2164</v>
      </c>
      <c r="C381" s="90" t="s">
        <v>2153</v>
      </c>
    </row>
    <row r="382" spans="1:3" ht="14.4" x14ac:dyDescent="0.3">
      <c r="A382" s="90" t="s">
        <v>3324</v>
      </c>
      <c r="B382" s="90" t="s">
        <v>1369</v>
      </c>
      <c r="C382" s="90" t="s">
        <v>1363</v>
      </c>
    </row>
    <row r="383" spans="1:3" ht="14.4" x14ac:dyDescent="0.3">
      <c r="A383" s="90" t="s">
        <v>3325</v>
      </c>
      <c r="B383" s="90" t="s">
        <v>207</v>
      </c>
      <c r="C383" s="90" t="s">
        <v>203</v>
      </c>
    </row>
    <row r="384" spans="1:3" ht="14.4" x14ac:dyDescent="0.3">
      <c r="A384" s="90" t="s">
        <v>3326</v>
      </c>
      <c r="B384" s="90" t="s">
        <v>929</v>
      </c>
      <c r="C384" s="90" t="s">
        <v>916</v>
      </c>
    </row>
    <row r="385" spans="1:3" ht="14.4" x14ac:dyDescent="0.3">
      <c r="A385" s="90" t="s">
        <v>3327</v>
      </c>
      <c r="B385" s="90" t="s">
        <v>2404</v>
      </c>
      <c r="C385" s="90" t="s">
        <v>2397</v>
      </c>
    </row>
    <row r="386" spans="1:3" ht="14.4" x14ac:dyDescent="0.3">
      <c r="A386" s="90" t="s">
        <v>3328</v>
      </c>
      <c r="B386" s="90" t="s">
        <v>1468</v>
      </c>
      <c r="C386" s="90" t="s">
        <v>1464</v>
      </c>
    </row>
    <row r="387" spans="1:3" ht="14.4" x14ac:dyDescent="0.3">
      <c r="A387" s="90" t="s">
        <v>3329</v>
      </c>
      <c r="B387" s="90" t="s">
        <v>1807</v>
      </c>
      <c r="C387" s="90" t="s">
        <v>1800</v>
      </c>
    </row>
    <row r="388" spans="1:3" ht="14.4" x14ac:dyDescent="0.3">
      <c r="A388" s="90" t="s">
        <v>3330</v>
      </c>
      <c r="B388" s="90" t="s">
        <v>1720</v>
      </c>
      <c r="C388" s="90" t="s">
        <v>1715</v>
      </c>
    </row>
    <row r="389" spans="1:3" ht="14.4" x14ac:dyDescent="0.3">
      <c r="A389" s="90" t="s">
        <v>3331</v>
      </c>
      <c r="B389" s="90" t="s">
        <v>2183</v>
      </c>
      <c r="C389" s="90" t="s">
        <v>2182</v>
      </c>
    </row>
    <row r="390" spans="1:3" ht="14.4" x14ac:dyDescent="0.3">
      <c r="A390" s="90" t="s">
        <v>3332</v>
      </c>
      <c r="B390" s="90" t="s">
        <v>1275</v>
      </c>
      <c r="C390" s="90" t="s">
        <v>1268</v>
      </c>
    </row>
    <row r="391" spans="1:3" ht="14.4" x14ac:dyDescent="0.3">
      <c r="A391" s="90" t="s">
        <v>3333</v>
      </c>
      <c r="B391" s="90" t="s">
        <v>2333</v>
      </c>
      <c r="C391" s="90" t="s">
        <v>2328</v>
      </c>
    </row>
    <row r="392" spans="1:3" ht="14.4" x14ac:dyDescent="0.3">
      <c r="A392" s="90" t="s">
        <v>3334</v>
      </c>
      <c r="B392" s="90" t="s">
        <v>2520</v>
      </c>
      <c r="C392" s="90" t="s">
        <v>2489</v>
      </c>
    </row>
    <row r="393" spans="1:3" ht="14.4" x14ac:dyDescent="0.3">
      <c r="A393" s="90" t="s">
        <v>3335</v>
      </c>
      <c r="B393" s="90" t="s">
        <v>224</v>
      </c>
      <c r="C393" s="90" t="s">
        <v>203</v>
      </c>
    </row>
    <row r="394" spans="1:3" ht="14.4" x14ac:dyDescent="0.3">
      <c r="A394" s="90" t="s">
        <v>3336</v>
      </c>
      <c r="B394" s="90" t="s">
        <v>505</v>
      </c>
      <c r="C394" s="90" t="s">
        <v>449</v>
      </c>
    </row>
    <row r="395" spans="1:3" ht="14.4" x14ac:dyDescent="0.3">
      <c r="A395" s="90" t="s">
        <v>3337</v>
      </c>
      <c r="B395" s="90" t="s">
        <v>1640</v>
      </c>
      <c r="C395" s="90" t="s">
        <v>1631</v>
      </c>
    </row>
    <row r="396" spans="1:3" ht="14.4" x14ac:dyDescent="0.3">
      <c r="A396" s="90" t="str">
        <f>CONCATENATE(B396, C396," FIRM")</f>
        <v>BTUWaste Management FIRM</v>
      </c>
      <c r="B396" s="91" t="s">
        <v>3338</v>
      </c>
      <c r="C396" s="90" t="s">
        <v>2932</v>
      </c>
    </row>
    <row r="397" spans="1:3" ht="14.4" x14ac:dyDescent="0.3">
      <c r="A397" s="90" t="s">
        <v>3339</v>
      </c>
      <c r="B397" s="90" t="s">
        <v>458</v>
      </c>
      <c r="C397" s="90" t="s">
        <v>449</v>
      </c>
    </row>
    <row r="398" spans="1:3" ht="14.4" x14ac:dyDescent="0.3">
      <c r="A398" s="90" t="s">
        <v>3340</v>
      </c>
      <c r="B398" s="90" t="s">
        <v>1867</v>
      </c>
      <c r="C398" s="90" t="s">
        <v>1863</v>
      </c>
    </row>
    <row r="399" spans="1:3" ht="14.4" x14ac:dyDescent="0.3">
      <c r="A399" s="90" t="s">
        <v>3341</v>
      </c>
      <c r="B399" s="90" t="s">
        <v>963</v>
      </c>
      <c r="C399" s="90" t="s">
        <v>961</v>
      </c>
    </row>
    <row r="400" spans="1:3" ht="14.4" x14ac:dyDescent="0.3">
      <c r="A400" s="90" t="s">
        <v>3342</v>
      </c>
      <c r="B400" s="90" t="s">
        <v>300</v>
      </c>
      <c r="C400" s="90" t="s">
        <v>203</v>
      </c>
    </row>
    <row r="401" spans="1:3" ht="14.4" x14ac:dyDescent="0.3">
      <c r="A401" s="90" t="s">
        <v>3343</v>
      </c>
      <c r="B401" s="90" t="s">
        <v>2515</v>
      </c>
      <c r="C401" s="90" t="s">
        <v>2489</v>
      </c>
    </row>
    <row r="402" spans="1:3" ht="14.4" x14ac:dyDescent="0.3">
      <c r="A402" s="90" t="s">
        <v>3344</v>
      </c>
      <c r="B402" s="90" t="s">
        <v>1115</v>
      </c>
      <c r="C402" s="90" t="s">
        <v>1106</v>
      </c>
    </row>
    <row r="403" spans="1:3" ht="14.4" x14ac:dyDescent="0.3">
      <c r="A403" s="90" t="s">
        <v>3345</v>
      </c>
      <c r="B403" s="90" t="s">
        <v>170</v>
      </c>
      <c r="C403" s="90" t="s">
        <v>168</v>
      </c>
    </row>
    <row r="404" spans="1:3" ht="14.4" x14ac:dyDescent="0.3">
      <c r="A404" s="90" t="s">
        <v>3346</v>
      </c>
      <c r="B404" s="90" t="s">
        <v>248</v>
      </c>
      <c r="C404" s="90" t="s">
        <v>203</v>
      </c>
    </row>
    <row r="405" spans="1:3" ht="14.4" x14ac:dyDescent="0.3">
      <c r="A405" s="90" t="s">
        <v>3347</v>
      </c>
      <c r="B405" s="90" t="s">
        <v>1411</v>
      </c>
      <c r="C405" s="90" t="s">
        <v>1392</v>
      </c>
    </row>
    <row r="406" spans="1:3" ht="14.4" x14ac:dyDescent="0.3">
      <c r="A406" s="90" t="s">
        <v>3348</v>
      </c>
      <c r="B406" s="90" t="s">
        <v>2277</v>
      </c>
      <c r="C406" s="90" t="s">
        <v>2275</v>
      </c>
    </row>
    <row r="407" spans="1:3" ht="14.4" x14ac:dyDescent="0.3">
      <c r="A407" s="90" t="s">
        <v>3349</v>
      </c>
      <c r="B407" s="90" t="s">
        <v>10</v>
      </c>
      <c r="C407" s="90" t="s">
        <v>7</v>
      </c>
    </row>
    <row r="408" spans="1:3" ht="14.4" x14ac:dyDescent="0.3">
      <c r="A408" s="90" t="s">
        <v>3350</v>
      </c>
      <c r="B408" s="90" t="s">
        <v>2126</v>
      </c>
      <c r="C408" s="90" t="s">
        <v>2124</v>
      </c>
    </row>
    <row r="409" spans="1:3" ht="14.4" x14ac:dyDescent="0.3">
      <c r="A409" s="90" t="s">
        <v>3351</v>
      </c>
      <c r="B409" s="90" t="s">
        <v>244</v>
      </c>
      <c r="C409" s="90" t="s">
        <v>203</v>
      </c>
    </row>
    <row r="410" spans="1:3" ht="14.4" x14ac:dyDescent="0.3">
      <c r="A410" s="90" t="s">
        <v>3352</v>
      </c>
      <c r="B410" s="90" t="s">
        <v>2262</v>
      </c>
      <c r="C410" s="90" t="s">
        <v>2257</v>
      </c>
    </row>
    <row r="411" spans="1:3" ht="14.4" x14ac:dyDescent="0.3">
      <c r="A411" s="90" t="s">
        <v>3353</v>
      </c>
      <c r="B411" s="90" t="s">
        <v>2239</v>
      </c>
      <c r="C411" s="90" t="s">
        <v>2234</v>
      </c>
    </row>
    <row r="412" spans="1:3" ht="14.4" x14ac:dyDescent="0.3">
      <c r="A412" s="90" t="s">
        <v>3354</v>
      </c>
      <c r="B412" s="90" t="s">
        <v>198</v>
      </c>
      <c r="C412" s="90" t="s">
        <v>195</v>
      </c>
    </row>
    <row r="413" spans="1:3" ht="14.4" x14ac:dyDescent="0.3">
      <c r="A413" s="90" t="s">
        <v>3355</v>
      </c>
      <c r="B413" s="90" t="s">
        <v>2600</v>
      </c>
      <c r="C413" s="90" t="s">
        <v>2589</v>
      </c>
    </row>
    <row r="414" spans="1:3" ht="14.4" x14ac:dyDescent="0.3">
      <c r="A414" s="90" t="s">
        <v>3356</v>
      </c>
      <c r="B414" s="90" t="s">
        <v>2235</v>
      </c>
      <c r="C414" s="90" t="s">
        <v>2234</v>
      </c>
    </row>
    <row r="415" spans="1:3" ht="14.4" x14ac:dyDescent="0.3">
      <c r="A415" s="90" t="s">
        <v>3357</v>
      </c>
      <c r="B415" s="90" t="s">
        <v>2701</v>
      </c>
      <c r="C415" s="90" t="s">
        <v>2683</v>
      </c>
    </row>
    <row r="416" spans="1:3" ht="14.4" x14ac:dyDescent="0.3">
      <c r="A416" s="90" t="s">
        <v>3358</v>
      </c>
      <c r="B416" s="90" t="s">
        <v>2774</v>
      </c>
      <c r="C416" s="90" t="s">
        <v>2767</v>
      </c>
    </row>
    <row r="417" spans="1:3" ht="14.4" x14ac:dyDescent="0.3">
      <c r="A417" s="90" t="s">
        <v>3359</v>
      </c>
      <c r="B417" s="90" t="s">
        <v>261</v>
      </c>
      <c r="C417" s="90" t="s">
        <v>203</v>
      </c>
    </row>
    <row r="418" spans="1:3" ht="14.4" x14ac:dyDescent="0.3">
      <c r="A418" s="90" t="s">
        <v>3360</v>
      </c>
      <c r="B418" s="90" t="s">
        <v>880</v>
      </c>
      <c r="C418" s="90" t="s">
        <v>874</v>
      </c>
    </row>
    <row r="419" spans="1:3" ht="14.4" x14ac:dyDescent="0.3">
      <c r="A419" s="90" t="s">
        <v>3361</v>
      </c>
      <c r="B419" s="90" t="s">
        <v>1341</v>
      </c>
      <c r="C419" s="90" t="s">
        <v>1338</v>
      </c>
    </row>
    <row r="420" spans="1:3" ht="14.4" x14ac:dyDescent="0.3">
      <c r="A420" s="90" t="s">
        <v>3362</v>
      </c>
      <c r="B420" s="90" t="s">
        <v>2263</v>
      </c>
      <c r="C420" s="90" t="s">
        <v>2257</v>
      </c>
    </row>
    <row r="421" spans="1:3" ht="14.4" x14ac:dyDescent="0.3">
      <c r="A421" s="90" t="str">
        <f>CONCATENATE(B421, C421," FIRM")</f>
        <v>CADEWaste Management FIRM</v>
      </c>
      <c r="B421" s="91" t="s">
        <v>3363</v>
      </c>
      <c r="C421" s="90" t="s">
        <v>2932</v>
      </c>
    </row>
    <row r="422" spans="1:3" ht="14.4" x14ac:dyDescent="0.3">
      <c r="A422" s="90" t="s">
        <v>3364</v>
      </c>
      <c r="B422" s="90" t="s">
        <v>1864</v>
      </c>
      <c r="C422" s="90" t="s">
        <v>1863</v>
      </c>
    </row>
    <row r="423" spans="1:3" ht="14.4" x14ac:dyDescent="0.3">
      <c r="A423" s="90" t="s">
        <v>3365</v>
      </c>
      <c r="B423" s="90" t="s">
        <v>1674</v>
      </c>
      <c r="C423" s="90" t="s">
        <v>1672</v>
      </c>
    </row>
    <row r="424" spans="1:3" ht="14.4" x14ac:dyDescent="0.3">
      <c r="A424" s="90" t="s">
        <v>3366</v>
      </c>
      <c r="B424" s="90" t="s">
        <v>2221</v>
      </c>
      <c r="C424" s="90" t="s">
        <v>2214</v>
      </c>
    </row>
    <row r="425" spans="1:3" ht="14.4" x14ac:dyDescent="0.3">
      <c r="A425" s="90" t="s">
        <v>3367</v>
      </c>
      <c r="B425" s="90" t="s">
        <v>2278</v>
      </c>
      <c r="C425" s="90" t="s">
        <v>2275</v>
      </c>
    </row>
    <row r="426" spans="1:3" ht="14.4" x14ac:dyDescent="0.3">
      <c r="A426" s="90" t="s">
        <v>3368</v>
      </c>
      <c r="B426" s="90" t="s">
        <v>1210</v>
      </c>
      <c r="C426" s="90" t="s">
        <v>1208</v>
      </c>
    </row>
    <row r="427" spans="1:3" ht="14.4" x14ac:dyDescent="0.3">
      <c r="A427" s="90" t="s">
        <v>3369</v>
      </c>
      <c r="B427" s="90" t="s">
        <v>2522</v>
      </c>
      <c r="C427" s="90" t="s">
        <v>2489</v>
      </c>
    </row>
    <row r="428" spans="1:3" ht="14.4" x14ac:dyDescent="0.3">
      <c r="A428" s="90" t="s">
        <v>3370</v>
      </c>
      <c r="B428" s="90" t="s">
        <v>1869</v>
      </c>
      <c r="C428" s="90" t="s">
        <v>1863</v>
      </c>
    </row>
    <row r="429" spans="1:3" ht="14.4" x14ac:dyDescent="0.3">
      <c r="A429" s="90" t="s">
        <v>3371</v>
      </c>
      <c r="B429" s="90" t="s">
        <v>807</v>
      </c>
      <c r="C429" s="90" t="s">
        <v>800</v>
      </c>
    </row>
    <row r="430" spans="1:3" ht="14.4" x14ac:dyDescent="0.3">
      <c r="A430" s="90" t="s">
        <v>3372</v>
      </c>
      <c r="B430" s="90" t="s">
        <v>806</v>
      </c>
      <c r="C430" s="90" t="s">
        <v>800</v>
      </c>
    </row>
    <row r="431" spans="1:3" ht="14.4" x14ac:dyDescent="0.3">
      <c r="A431" s="90" t="s">
        <v>3373</v>
      </c>
      <c r="B431" s="90" t="s">
        <v>2220</v>
      </c>
      <c r="C431" s="90" t="s">
        <v>2214</v>
      </c>
    </row>
    <row r="432" spans="1:3" ht="14.4" x14ac:dyDescent="0.3">
      <c r="A432" s="90" t="s">
        <v>3374</v>
      </c>
      <c r="B432" s="90" t="s">
        <v>510</v>
      </c>
      <c r="C432" s="90" t="s">
        <v>449</v>
      </c>
    </row>
    <row r="433" spans="1:3" ht="14.4" x14ac:dyDescent="0.3">
      <c r="A433" s="90" t="s">
        <v>3375</v>
      </c>
      <c r="B433" s="90" t="s">
        <v>2601</v>
      </c>
      <c r="C433" s="90" t="s">
        <v>2589</v>
      </c>
    </row>
    <row r="434" spans="1:3" ht="14.4" x14ac:dyDescent="0.3">
      <c r="A434" s="90" t="s">
        <v>3376</v>
      </c>
      <c r="B434" s="90" t="s">
        <v>264</v>
      </c>
      <c r="C434" s="90" t="s">
        <v>203</v>
      </c>
    </row>
    <row r="435" spans="1:3" ht="14.4" x14ac:dyDescent="0.3">
      <c r="A435" s="90" t="str">
        <f>CONCATENATE(B435, C435," FIRM")</f>
        <v>CARSWaste Management FIRM</v>
      </c>
      <c r="B435" s="91" t="s">
        <v>3377</v>
      </c>
      <c r="C435" s="90" t="s">
        <v>2932</v>
      </c>
    </row>
    <row r="436" spans="1:3" ht="14.4" x14ac:dyDescent="0.3">
      <c r="A436" s="90" t="s">
        <v>3378</v>
      </c>
      <c r="B436" s="90" t="s">
        <v>2353</v>
      </c>
      <c r="C436" s="90" t="s">
        <v>2328</v>
      </c>
    </row>
    <row r="437" spans="1:3" ht="14.4" x14ac:dyDescent="0.3">
      <c r="A437" s="90" t="s">
        <v>3379</v>
      </c>
      <c r="B437" s="90" t="s">
        <v>687</v>
      </c>
      <c r="C437" s="90" t="s">
        <v>675</v>
      </c>
    </row>
    <row r="438" spans="1:3" ht="14.4" x14ac:dyDescent="0.3">
      <c r="A438" s="90" t="s">
        <v>3380</v>
      </c>
      <c r="B438" s="90" t="s">
        <v>1230</v>
      </c>
      <c r="C438" s="90" t="s">
        <v>1229</v>
      </c>
    </row>
    <row r="439" spans="1:3" ht="14.4" x14ac:dyDescent="0.3">
      <c r="A439" s="90" t="s">
        <v>3381</v>
      </c>
      <c r="B439" s="90" t="s">
        <v>1177</v>
      </c>
      <c r="C439" s="90" t="s">
        <v>1173</v>
      </c>
    </row>
    <row r="440" spans="1:3" ht="14.4" x14ac:dyDescent="0.3">
      <c r="A440" s="90" t="s">
        <v>3382</v>
      </c>
      <c r="B440" s="90" t="s">
        <v>677</v>
      </c>
      <c r="C440" s="90" t="s">
        <v>675</v>
      </c>
    </row>
    <row r="441" spans="1:3" ht="14.4" x14ac:dyDescent="0.3">
      <c r="A441" s="90" t="s">
        <v>3383</v>
      </c>
      <c r="B441" s="90" t="s">
        <v>100</v>
      </c>
      <c r="C441" s="90" t="s">
        <v>91</v>
      </c>
    </row>
    <row r="442" spans="1:3" ht="14.4" x14ac:dyDescent="0.3">
      <c r="A442" s="90" t="s">
        <v>3384</v>
      </c>
      <c r="B442" s="90" t="s">
        <v>265</v>
      </c>
      <c r="C442" s="90" t="s">
        <v>203</v>
      </c>
    </row>
    <row r="443" spans="1:3" ht="14.4" x14ac:dyDescent="0.3">
      <c r="A443" s="90" t="s">
        <v>3385</v>
      </c>
      <c r="B443" s="90" t="s">
        <v>2422</v>
      </c>
      <c r="C443" s="90" t="s">
        <v>2421</v>
      </c>
    </row>
    <row r="444" spans="1:3" ht="14.4" x14ac:dyDescent="0.3">
      <c r="A444" s="90" t="s">
        <v>3386</v>
      </c>
      <c r="B444" s="90" t="s">
        <v>1412</v>
      </c>
      <c r="C444" s="90" t="s">
        <v>1392</v>
      </c>
    </row>
    <row r="445" spans="1:3" ht="14.4" x14ac:dyDescent="0.3">
      <c r="A445" s="90" t="s">
        <v>3387</v>
      </c>
      <c r="B445" s="90" t="s">
        <v>2776</v>
      </c>
      <c r="C445" s="90" t="s">
        <v>2767</v>
      </c>
    </row>
    <row r="446" spans="1:3" ht="14.4" x14ac:dyDescent="0.3">
      <c r="A446" s="90" t="s">
        <v>3388</v>
      </c>
      <c r="B446" s="90" t="s">
        <v>208</v>
      </c>
      <c r="C446" s="90" t="s">
        <v>203</v>
      </c>
    </row>
    <row r="447" spans="1:3" ht="14.4" x14ac:dyDescent="0.3">
      <c r="A447" s="90" t="s">
        <v>3389</v>
      </c>
      <c r="B447" s="90" t="s">
        <v>1989</v>
      </c>
      <c r="C447" s="90" t="s">
        <v>1988</v>
      </c>
    </row>
    <row r="448" spans="1:3" ht="14.4" x14ac:dyDescent="0.3">
      <c r="A448" s="90" t="s">
        <v>3390</v>
      </c>
      <c r="B448" s="90" t="s">
        <v>1154</v>
      </c>
      <c r="C448" s="90" t="s">
        <v>1147</v>
      </c>
    </row>
    <row r="449" spans="1:3" ht="14.4" x14ac:dyDescent="0.3">
      <c r="A449" s="90" t="s">
        <v>3391</v>
      </c>
      <c r="B449" s="90" t="s">
        <v>2190</v>
      </c>
      <c r="C449" s="90" t="s">
        <v>2182</v>
      </c>
    </row>
    <row r="450" spans="1:3" ht="14.4" x14ac:dyDescent="0.3">
      <c r="A450" s="90" t="s">
        <v>3392</v>
      </c>
      <c r="B450" s="90" t="s">
        <v>509</v>
      </c>
      <c r="C450" s="90" t="s">
        <v>449</v>
      </c>
    </row>
    <row r="451" spans="1:3" ht="14.4" x14ac:dyDescent="0.3">
      <c r="A451" s="90" t="s">
        <v>3393</v>
      </c>
      <c r="B451" s="90" t="s">
        <v>1196</v>
      </c>
      <c r="C451" s="90" t="s">
        <v>1194</v>
      </c>
    </row>
    <row r="452" spans="1:3" ht="14.4" x14ac:dyDescent="0.3">
      <c r="A452" s="90" t="s">
        <v>3394</v>
      </c>
      <c r="B452" s="90" t="s">
        <v>639</v>
      </c>
      <c r="C452" s="90" t="s">
        <v>627</v>
      </c>
    </row>
    <row r="453" spans="1:3" ht="14.4" x14ac:dyDescent="0.3">
      <c r="A453" s="90" t="s">
        <v>3395</v>
      </c>
      <c r="B453" s="90" t="s">
        <v>2295</v>
      </c>
      <c r="C453" s="90" t="s">
        <v>2275</v>
      </c>
    </row>
    <row r="454" spans="1:3" ht="14.4" x14ac:dyDescent="0.3">
      <c r="A454" s="90" t="s">
        <v>3396</v>
      </c>
      <c r="B454" s="90" t="s">
        <v>1587</v>
      </c>
      <c r="C454" s="90" t="s">
        <v>1580</v>
      </c>
    </row>
    <row r="455" spans="1:3" ht="14.4" x14ac:dyDescent="0.3">
      <c r="A455" s="90" t="s">
        <v>3397</v>
      </c>
      <c r="B455" s="90" t="s">
        <v>281</v>
      </c>
      <c r="C455" s="90" t="s">
        <v>203</v>
      </c>
    </row>
    <row r="456" spans="1:3" ht="14.4" x14ac:dyDescent="0.3">
      <c r="A456" s="90" t="s">
        <v>3398</v>
      </c>
      <c r="B456" s="90" t="s">
        <v>2639</v>
      </c>
      <c r="C456" s="90" t="s">
        <v>2633</v>
      </c>
    </row>
    <row r="457" spans="1:3" ht="14.4" x14ac:dyDescent="0.3">
      <c r="A457" s="90" t="s">
        <v>3399</v>
      </c>
      <c r="B457" s="90" t="s">
        <v>282</v>
      </c>
      <c r="C457" s="90" t="s">
        <v>203</v>
      </c>
    </row>
    <row r="458" spans="1:3" ht="14.4" x14ac:dyDescent="0.3">
      <c r="A458" s="90" t="s">
        <v>3400</v>
      </c>
      <c r="B458" s="90" t="s">
        <v>688</v>
      </c>
      <c r="C458" s="90" t="s">
        <v>675</v>
      </c>
    </row>
    <row r="459" spans="1:3" ht="14.4" x14ac:dyDescent="0.3">
      <c r="A459" s="90" t="s">
        <v>3401</v>
      </c>
      <c r="B459" s="90" t="s">
        <v>2665</v>
      </c>
      <c r="C459" s="90" t="s">
        <v>2633</v>
      </c>
    </row>
    <row r="460" spans="1:3" ht="14.4" x14ac:dyDescent="0.3">
      <c r="A460" s="90" t="s">
        <v>3402</v>
      </c>
      <c r="B460" s="90" t="s">
        <v>262</v>
      </c>
      <c r="C460" s="90" t="s">
        <v>203</v>
      </c>
    </row>
    <row r="461" spans="1:3" ht="14.4" x14ac:dyDescent="0.3">
      <c r="A461" s="90" t="s">
        <v>3403</v>
      </c>
      <c r="B461" s="90" t="s">
        <v>1950</v>
      </c>
      <c r="C461" s="90" t="s">
        <v>1949</v>
      </c>
    </row>
    <row r="462" spans="1:3" ht="14.4" x14ac:dyDescent="0.3">
      <c r="A462" s="90" t="s">
        <v>3404</v>
      </c>
      <c r="B462" s="90" t="s">
        <v>987</v>
      </c>
      <c r="C462" s="90" t="s">
        <v>972</v>
      </c>
    </row>
    <row r="463" spans="1:3" ht="14.4" x14ac:dyDescent="0.3">
      <c r="A463" s="90" t="s">
        <v>3405</v>
      </c>
      <c r="B463" s="90" t="s">
        <v>2779</v>
      </c>
      <c r="C463" s="90" t="s">
        <v>2767</v>
      </c>
    </row>
    <row r="464" spans="1:3" ht="14.4" x14ac:dyDescent="0.3">
      <c r="A464" s="90" t="s">
        <v>3406</v>
      </c>
      <c r="B464" s="90" t="s">
        <v>1910</v>
      </c>
      <c r="C464" s="90" t="s">
        <v>1901</v>
      </c>
    </row>
    <row r="465" spans="1:3" ht="14.4" x14ac:dyDescent="0.3">
      <c r="A465" s="90" t="s">
        <v>3407</v>
      </c>
      <c r="B465" s="90" t="s">
        <v>1522</v>
      </c>
      <c r="C465" s="90" t="s">
        <v>1513</v>
      </c>
    </row>
    <row r="466" spans="1:3" ht="14.4" x14ac:dyDescent="0.3">
      <c r="A466" s="90" t="s">
        <v>3408</v>
      </c>
      <c r="B466" s="90" t="s">
        <v>2431</v>
      </c>
      <c r="C466" s="90" t="s">
        <v>2421</v>
      </c>
    </row>
    <row r="467" spans="1:3" ht="14.4" x14ac:dyDescent="0.3">
      <c r="A467" s="90" t="s">
        <v>3409</v>
      </c>
      <c r="B467" s="90" t="s">
        <v>276</v>
      </c>
      <c r="C467" s="90" t="s">
        <v>203</v>
      </c>
    </row>
    <row r="468" spans="1:3" ht="14.4" x14ac:dyDescent="0.3">
      <c r="A468" s="90" t="s">
        <v>3410</v>
      </c>
      <c r="B468" s="90" t="s">
        <v>1576</v>
      </c>
      <c r="C468" s="90" t="s">
        <v>1573</v>
      </c>
    </row>
    <row r="469" spans="1:3" ht="14.4" x14ac:dyDescent="0.3">
      <c r="A469" s="90" t="s">
        <v>3411</v>
      </c>
      <c r="B469" s="90" t="s">
        <v>2777</v>
      </c>
      <c r="C469" s="90" t="s">
        <v>2767</v>
      </c>
    </row>
    <row r="470" spans="1:3" ht="14.4" x14ac:dyDescent="0.3">
      <c r="A470" s="90" t="s">
        <v>3412</v>
      </c>
      <c r="B470" s="90" t="s">
        <v>2068</v>
      </c>
      <c r="C470" s="90" t="s">
        <v>2066</v>
      </c>
    </row>
    <row r="471" spans="1:3" ht="14.4" x14ac:dyDescent="0.3">
      <c r="A471" s="90" t="s">
        <v>3413</v>
      </c>
      <c r="B471" s="90" t="s">
        <v>2743</v>
      </c>
      <c r="C471" s="90" t="s">
        <v>2740</v>
      </c>
    </row>
    <row r="472" spans="1:3" ht="14.4" x14ac:dyDescent="0.3">
      <c r="A472" s="90" t="s">
        <v>3414</v>
      </c>
      <c r="B472" s="90" t="s">
        <v>2241</v>
      </c>
      <c r="C472" s="90" t="s">
        <v>2234</v>
      </c>
    </row>
    <row r="473" spans="1:3" ht="14.4" x14ac:dyDescent="0.3">
      <c r="A473" s="90" t="s">
        <v>3415</v>
      </c>
      <c r="B473" s="90" t="s">
        <v>513</v>
      </c>
      <c r="C473" s="90" t="s">
        <v>449</v>
      </c>
    </row>
    <row r="474" spans="1:3" ht="14.4" x14ac:dyDescent="0.3">
      <c r="A474" s="90" t="s">
        <v>3416</v>
      </c>
      <c r="B474" s="90" t="s">
        <v>2488</v>
      </c>
      <c r="C474" s="90" t="s">
        <v>2486</v>
      </c>
    </row>
    <row r="475" spans="1:3" ht="14.4" x14ac:dyDescent="0.3">
      <c r="A475" s="90" t="s">
        <v>3417</v>
      </c>
      <c r="B475" s="90" t="s">
        <v>2524</v>
      </c>
      <c r="C475" s="90" t="s">
        <v>2489</v>
      </c>
    </row>
    <row r="476" spans="1:3" ht="14.4" x14ac:dyDescent="0.3">
      <c r="A476" s="90" t="s">
        <v>3418</v>
      </c>
      <c r="B476" s="90" t="s">
        <v>2521</v>
      </c>
      <c r="C476" s="90" t="s">
        <v>2489</v>
      </c>
    </row>
    <row r="477" spans="1:3" ht="14.4" x14ac:dyDescent="0.3">
      <c r="A477" s="90" t="s">
        <v>3419</v>
      </c>
      <c r="B477" s="90" t="s">
        <v>2191</v>
      </c>
      <c r="C477" s="90" t="s">
        <v>2182</v>
      </c>
    </row>
    <row r="478" spans="1:3" ht="14.4" x14ac:dyDescent="0.3">
      <c r="A478" s="90" t="s">
        <v>3420</v>
      </c>
      <c r="B478" s="90" t="s">
        <v>1342</v>
      </c>
      <c r="C478" s="90" t="s">
        <v>1338</v>
      </c>
    </row>
    <row r="479" spans="1:3" ht="14.4" x14ac:dyDescent="0.3">
      <c r="A479" s="90" t="s">
        <v>3421</v>
      </c>
      <c r="B479" s="90" t="s">
        <v>517</v>
      </c>
      <c r="C479" s="90" t="s">
        <v>449</v>
      </c>
    </row>
    <row r="480" spans="1:3" ht="14.4" x14ac:dyDescent="0.3">
      <c r="A480" s="90" t="s">
        <v>3422</v>
      </c>
      <c r="B480" s="90" t="s">
        <v>784</v>
      </c>
      <c r="C480" s="90" t="s">
        <v>776</v>
      </c>
    </row>
    <row r="481" spans="1:3" ht="14.4" x14ac:dyDescent="0.3">
      <c r="A481" s="90" t="s">
        <v>3423</v>
      </c>
      <c r="B481" s="90" t="s">
        <v>1951</v>
      </c>
      <c r="C481" s="90" t="s">
        <v>1949</v>
      </c>
    </row>
    <row r="482" spans="1:3" ht="14.4" x14ac:dyDescent="0.3">
      <c r="A482" s="90" t="s">
        <v>3424</v>
      </c>
      <c r="B482" s="90" t="s">
        <v>1099</v>
      </c>
      <c r="C482" s="90" t="s">
        <v>1090</v>
      </c>
    </row>
    <row r="483" spans="1:3" ht="14.4" x14ac:dyDescent="0.3">
      <c r="A483" s="90" t="s">
        <v>3425</v>
      </c>
      <c r="B483" s="90" t="s">
        <v>511</v>
      </c>
      <c r="C483" s="90" t="s">
        <v>449</v>
      </c>
    </row>
    <row r="484" spans="1:3" ht="14.4" x14ac:dyDescent="0.3">
      <c r="A484" s="90" t="s">
        <v>3426</v>
      </c>
      <c r="B484" s="90" t="s">
        <v>512</v>
      </c>
      <c r="C484" s="90" t="s">
        <v>449</v>
      </c>
    </row>
    <row r="485" spans="1:3" ht="14.4" x14ac:dyDescent="0.3">
      <c r="A485" s="90" t="s">
        <v>3427</v>
      </c>
      <c r="B485" s="90" t="s">
        <v>1871</v>
      </c>
      <c r="C485" s="90" t="s">
        <v>1863</v>
      </c>
    </row>
    <row r="486" spans="1:3" ht="14.4" x14ac:dyDescent="0.3">
      <c r="A486" s="90" t="s">
        <v>3428</v>
      </c>
      <c r="B486" s="90" t="s">
        <v>1872</v>
      </c>
      <c r="C486" s="90" t="s">
        <v>1863</v>
      </c>
    </row>
    <row r="487" spans="1:3" ht="14.4" x14ac:dyDescent="0.3">
      <c r="A487" s="90" t="s">
        <v>3429</v>
      </c>
      <c r="B487" s="90" t="s">
        <v>70</v>
      </c>
      <c r="C487" s="90" t="s">
        <v>68</v>
      </c>
    </row>
    <row r="488" spans="1:3" ht="14.4" x14ac:dyDescent="0.3">
      <c r="A488" s="90" t="s">
        <v>3430</v>
      </c>
      <c r="B488" s="90" t="s">
        <v>1253</v>
      </c>
      <c r="C488" s="90" t="s">
        <v>1251</v>
      </c>
    </row>
    <row r="489" spans="1:3" ht="14.4" x14ac:dyDescent="0.3">
      <c r="A489" s="90" t="s">
        <v>3431</v>
      </c>
      <c r="B489" s="90" t="s">
        <v>460</v>
      </c>
      <c r="C489" s="90" t="s">
        <v>449</v>
      </c>
    </row>
    <row r="490" spans="1:3" ht="14.4" x14ac:dyDescent="0.3">
      <c r="A490" s="90" t="s">
        <v>3432</v>
      </c>
      <c r="B490" s="90" t="s">
        <v>615</v>
      </c>
      <c r="C490" s="90" t="s">
        <v>613</v>
      </c>
    </row>
    <row r="491" spans="1:3" ht="14.4" x14ac:dyDescent="0.3">
      <c r="A491" s="90" t="s">
        <v>3433</v>
      </c>
      <c r="B491" s="90" t="s">
        <v>2432</v>
      </c>
      <c r="C491" s="90" t="s">
        <v>2421</v>
      </c>
    </row>
    <row r="492" spans="1:3" ht="14.4" x14ac:dyDescent="0.3">
      <c r="A492" s="90" t="s">
        <v>3434</v>
      </c>
      <c r="B492" s="90" t="s">
        <v>46</v>
      </c>
      <c r="C492" s="90" t="s">
        <v>42</v>
      </c>
    </row>
    <row r="493" spans="1:3" ht="14.4" x14ac:dyDescent="0.3">
      <c r="A493" s="90" t="s">
        <v>3435</v>
      </c>
      <c r="B493" s="90" t="s">
        <v>259</v>
      </c>
      <c r="C493" s="90" t="s">
        <v>203</v>
      </c>
    </row>
    <row r="494" spans="1:3" ht="14.4" x14ac:dyDescent="0.3">
      <c r="A494" s="90" t="s">
        <v>3436</v>
      </c>
      <c r="B494" s="90" t="s">
        <v>2335</v>
      </c>
      <c r="C494" s="90" t="s">
        <v>2328</v>
      </c>
    </row>
    <row r="495" spans="1:3" ht="14.4" x14ac:dyDescent="0.3">
      <c r="A495" s="90" t="s">
        <v>3437</v>
      </c>
      <c r="B495" s="90" t="s">
        <v>274</v>
      </c>
      <c r="C495" s="90" t="s">
        <v>203</v>
      </c>
    </row>
    <row r="496" spans="1:3" ht="14.4" x14ac:dyDescent="0.3">
      <c r="A496" s="90" t="s">
        <v>3438</v>
      </c>
      <c r="B496" s="90" t="s">
        <v>1693</v>
      </c>
      <c r="C496" s="90" t="s">
        <v>1681</v>
      </c>
    </row>
    <row r="497" spans="1:3" ht="14.4" x14ac:dyDescent="0.3">
      <c r="A497" s="90" t="s">
        <v>3439</v>
      </c>
      <c r="B497" s="90" t="s">
        <v>260</v>
      </c>
      <c r="C497" s="90" t="s">
        <v>203</v>
      </c>
    </row>
    <row r="498" spans="1:3" ht="14.4" x14ac:dyDescent="0.3">
      <c r="A498" s="90" t="s">
        <v>3440</v>
      </c>
      <c r="B498" s="90" t="s">
        <v>285</v>
      </c>
      <c r="C498" s="90" t="s">
        <v>203</v>
      </c>
    </row>
    <row r="499" spans="1:3" ht="14.4" x14ac:dyDescent="0.3">
      <c r="A499" s="90" t="s">
        <v>3441</v>
      </c>
      <c r="B499" s="90" t="s">
        <v>989</v>
      </c>
      <c r="C499" s="90" t="s">
        <v>972</v>
      </c>
    </row>
    <row r="500" spans="1:3" ht="14.4" x14ac:dyDescent="0.3">
      <c r="A500" s="90" t="s">
        <v>3442</v>
      </c>
      <c r="B500" s="90" t="s">
        <v>2367</v>
      </c>
      <c r="C500" s="90" t="s">
        <v>2365</v>
      </c>
    </row>
    <row r="501" spans="1:3" ht="14.4" x14ac:dyDescent="0.3">
      <c r="A501" s="90" t="s">
        <v>3443</v>
      </c>
      <c r="B501" s="90" t="s">
        <v>275</v>
      </c>
      <c r="C501" s="90" t="s">
        <v>203</v>
      </c>
    </row>
    <row r="502" spans="1:3" ht="14.4" x14ac:dyDescent="0.3">
      <c r="A502" s="90" t="s">
        <v>3444</v>
      </c>
      <c r="B502" s="90" t="s">
        <v>2070</v>
      </c>
      <c r="C502" s="90" t="s">
        <v>2066</v>
      </c>
    </row>
    <row r="503" spans="1:3" ht="14.4" x14ac:dyDescent="0.3">
      <c r="A503" s="90" t="s">
        <v>3445</v>
      </c>
      <c r="B503" s="90" t="s">
        <v>1294</v>
      </c>
      <c r="C503" s="90" t="s">
        <v>1292</v>
      </c>
    </row>
    <row r="504" spans="1:3" ht="14.4" x14ac:dyDescent="0.3">
      <c r="A504" s="90" t="s">
        <v>3446</v>
      </c>
      <c r="B504" s="90" t="s">
        <v>1222</v>
      </c>
      <c r="C504" s="90" t="s">
        <v>1220</v>
      </c>
    </row>
    <row r="505" spans="1:3" ht="14.4" x14ac:dyDescent="0.3">
      <c r="A505" s="90" t="s">
        <v>3447</v>
      </c>
      <c r="B505" s="90" t="s">
        <v>1615</v>
      </c>
      <c r="C505" s="90" t="s">
        <v>1606</v>
      </c>
    </row>
    <row r="506" spans="1:3" ht="14.4" x14ac:dyDescent="0.3">
      <c r="A506" s="90" t="s">
        <v>3448</v>
      </c>
      <c r="B506" s="90" t="s">
        <v>1206</v>
      </c>
      <c r="C506" s="90" t="s">
        <v>1199</v>
      </c>
    </row>
    <row r="507" spans="1:3" ht="14.4" x14ac:dyDescent="0.3">
      <c r="A507" s="90" t="s">
        <v>3449</v>
      </c>
      <c r="B507" s="90" t="s">
        <v>270</v>
      </c>
      <c r="C507" s="90" t="s">
        <v>203</v>
      </c>
    </row>
    <row r="508" spans="1:3" ht="14.4" x14ac:dyDescent="0.3">
      <c r="A508" s="90" t="s">
        <v>3450</v>
      </c>
      <c r="B508" s="90" t="s">
        <v>269</v>
      </c>
      <c r="C508" s="90" t="s">
        <v>203</v>
      </c>
    </row>
    <row r="509" spans="1:3" ht="14.4" x14ac:dyDescent="0.3">
      <c r="A509" s="90" t="s">
        <v>3451</v>
      </c>
      <c r="B509" s="90" t="s">
        <v>1100</v>
      </c>
      <c r="C509" s="90" t="s">
        <v>1090</v>
      </c>
    </row>
    <row r="510" spans="1:3" ht="14.4" x14ac:dyDescent="0.3">
      <c r="A510" s="90" t="s">
        <v>3452</v>
      </c>
      <c r="B510" s="90" t="s">
        <v>1546</v>
      </c>
      <c r="C510" s="90" t="s">
        <v>1544</v>
      </c>
    </row>
    <row r="511" spans="1:3" ht="14.4" x14ac:dyDescent="0.3">
      <c r="A511" s="90" t="s">
        <v>3453</v>
      </c>
      <c r="B511" s="90" t="s">
        <v>1761</v>
      </c>
      <c r="C511" s="90" t="s">
        <v>1741</v>
      </c>
    </row>
    <row r="512" spans="1:3" ht="14.4" x14ac:dyDescent="0.3">
      <c r="A512" s="90" t="s">
        <v>3454</v>
      </c>
      <c r="B512" s="90" t="s">
        <v>271</v>
      </c>
      <c r="C512" s="90" t="s">
        <v>203</v>
      </c>
    </row>
    <row r="513" spans="1:3" ht="14.4" x14ac:dyDescent="0.3">
      <c r="A513" s="90" t="s">
        <v>3455</v>
      </c>
      <c r="B513" s="90" t="s">
        <v>518</v>
      </c>
      <c r="C513" s="90" t="s">
        <v>449</v>
      </c>
    </row>
    <row r="514" spans="1:3" ht="14.4" x14ac:dyDescent="0.3">
      <c r="A514" s="90" t="s">
        <v>3456</v>
      </c>
      <c r="B514" s="90" t="s">
        <v>1473</v>
      </c>
      <c r="C514" s="90" t="s">
        <v>1472</v>
      </c>
    </row>
    <row r="515" spans="1:3" ht="14.4" x14ac:dyDescent="0.3">
      <c r="A515" s="90" t="s">
        <v>3457</v>
      </c>
      <c r="B515" s="90" t="s">
        <v>101</v>
      </c>
      <c r="C515" s="90" t="s">
        <v>91</v>
      </c>
    </row>
    <row r="516" spans="1:3" ht="14.4" x14ac:dyDescent="0.3">
      <c r="A516" s="90" t="s">
        <v>3458</v>
      </c>
      <c r="B516" s="90" t="s">
        <v>2093</v>
      </c>
      <c r="C516" s="90" t="s">
        <v>2087</v>
      </c>
    </row>
    <row r="517" spans="1:3" ht="14.4" x14ac:dyDescent="0.3">
      <c r="A517" s="90" t="s">
        <v>3459</v>
      </c>
      <c r="B517" s="90" t="s">
        <v>1927</v>
      </c>
      <c r="C517" s="90" t="s">
        <v>1926</v>
      </c>
    </row>
    <row r="518" spans="1:3" ht="14.4" x14ac:dyDescent="0.3">
      <c r="A518" s="90" t="s">
        <v>3460</v>
      </c>
      <c r="B518" s="90" t="s">
        <v>2526</v>
      </c>
      <c r="C518" s="90" t="s">
        <v>2489</v>
      </c>
    </row>
    <row r="519" spans="1:3" ht="14.4" x14ac:dyDescent="0.3">
      <c r="A519" s="90" t="s">
        <v>3461</v>
      </c>
      <c r="B519" s="90" t="s">
        <v>2527</v>
      </c>
      <c r="C519" s="90" t="s">
        <v>2489</v>
      </c>
    </row>
    <row r="520" spans="1:3" ht="14.4" x14ac:dyDescent="0.3">
      <c r="A520" s="90" t="s">
        <v>3462</v>
      </c>
      <c r="B520" s="90" t="s">
        <v>2279</v>
      </c>
      <c r="C520" s="90" t="s">
        <v>2275</v>
      </c>
    </row>
    <row r="521" spans="1:3" ht="14.4" x14ac:dyDescent="0.3">
      <c r="A521" s="90" t="s">
        <v>3463</v>
      </c>
      <c r="B521" s="90" t="s">
        <v>1243</v>
      </c>
      <c r="C521" s="90" t="s">
        <v>1239</v>
      </c>
    </row>
    <row r="522" spans="1:3" ht="14.4" x14ac:dyDescent="0.3">
      <c r="A522" s="90" t="s">
        <v>3464</v>
      </c>
      <c r="B522" s="90" t="s">
        <v>1380</v>
      </c>
      <c r="C522" s="90" t="s">
        <v>1375</v>
      </c>
    </row>
    <row r="523" spans="1:3" ht="14.4" x14ac:dyDescent="0.3">
      <c r="A523" s="90" t="s">
        <v>3465</v>
      </c>
      <c r="B523" s="90" t="s">
        <v>808</v>
      </c>
      <c r="C523" s="90" t="s">
        <v>800</v>
      </c>
    </row>
    <row r="524" spans="1:3" ht="14.4" x14ac:dyDescent="0.3">
      <c r="A524" s="90" t="s">
        <v>3466</v>
      </c>
      <c r="B524" s="90" t="s">
        <v>2030</v>
      </c>
      <c r="C524" s="90" t="s">
        <v>2015</v>
      </c>
    </row>
    <row r="525" spans="1:3" ht="14.4" x14ac:dyDescent="0.3">
      <c r="A525" s="90" t="s">
        <v>3467</v>
      </c>
      <c r="B525" s="90" t="s">
        <v>1413</v>
      </c>
      <c r="C525" s="90" t="s">
        <v>1392</v>
      </c>
    </row>
    <row r="526" spans="1:3" ht="14.4" x14ac:dyDescent="0.3">
      <c r="A526" s="90" t="s">
        <v>3468</v>
      </c>
      <c r="B526" s="90" t="s">
        <v>2128</v>
      </c>
      <c r="C526" s="90" t="s">
        <v>2124</v>
      </c>
    </row>
    <row r="527" spans="1:3" ht="14.4" x14ac:dyDescent="0.3">
      <c r="A527" s="90" t="s">
        <v>3469</v>
      </c>
      <c r="B527" s="90" t="s">
        <v>988</v>
      </c>
      <c r="C527" s="90" t="s">
        <v>972</v>
      </c>
    </row>
    <row r="528" spans="1:3" ht="14.4" x14ac:dyDescent="0.3">
      <c r="A528" s="90" t="s">
        <v>3470</v>
      </c>
      <c r="B528" s="90" t="s">
        <v>272</v>
      </c>
      <c r="C528" s="90" t="s">
        <v>203</v>
      </c>
    </row>
    <row r="529" spans="1:3" ht="14.4" x14ac:dyDescent="0.3">
      <c r="A529" s="90" t="str">
        <f>CONCATENATE(B529, C529," FIRM")</f>
        <v>CIVBWaste Management FIRM</v>
      </c>
      <c r="B529" s="91" t="s">
        <v>3471</v>
      </c>
      <c r="C529" s="90" t="s">
        <v>2932</v>
      </c>
    </row>
    <row r="530" spans="1:3" ht="14.4" x14ac:dyDescent="0.3">
      <c r="A530" s="90" t="s">
        <v>3472</v>
      </c>
      <c r="B530" s="90" t="s">
        <v>1558</v>
      </c>
      <c r="C530" s="90" t="s">
        <v>1554</v>
      </c>
    </row>
    <row r="531" spans="1:3" ht="14.4" x14ac:dyDescent="0.3">
      <c r="A531" s="90" t="s">
        <v>3473</v>
      </c>
      <c r="B531" s="90" t="s">
        <v>2392</v>
      </c>
      <c r="C531" s="90" t="s">
        <v>2388</v>
      </c>
    </row>
    <row r="532" spans="1:3" ht="14.4" x14ac:dyDescent="0.3">
      <c r="A532" s="90" t="s">
        <v>3474</v>
      </c>
      <c r="B532" s="90" t="s">
        <v>1829</v>
      </c>
      <c r="C532" s="90" t="s">
        <v>1800</v>
      </c>
    </row>
    <row r="533" spans="1:3" ht="14.4" x14ac:dyDescent="0.3">
      <c r="A533" s="90" t="s">
        <v>3475</v>
      </c>
      <c r="B533" s="90" t="s">
        <v>1296</v>
      </c>
      <c r="C533" s="90" t="s">
        <v>1292</v>
      </c>
    </row>
    <row r="534" spans="1:3" ht="14.4" x14ac:dyDescent="0.3">
      <c r="A534" s="90" t="s">
        <v>3476</v>
      </c>
      <c r="B534" s="90" t="s">
        <v>690</v>
      </c>
      <c r="C534" s="90" t="s">
        <v>675</v>
      </c>
    </row>
    <row r="535" spans="1:3" ht="14.4" x14ac:dyDescent="0.3">
      <c r="A535" s="90" t="s">
        <v>3477</v>
      </c>
      <c r="B535" s="90" t="s">
        <v>2092</v>
      </c>
      <c r="C535" s="90" t="s">
        <v>2087</v>
      </c>
    </row>
    <row r="536" spans="1:3" ht="14.4" x14ac:dyDescent="0.3">
      <c r="A536" s="90" t="s">
        <v>3478</v>
      </c>
      <c r="B536" s="90" t="s">
        <v>459</v>
      </c>
      <c r="C536" s="90" t="s">
        <v>449</v>
      </c>
    </row>
    <row r="537" spans="1:3" ht="14.4" x14ac:dyDescent="0.3">
      <c r="A537" s="90" t="s">
        <v>3479</v>
      </c>
      <c r="B537" s="90" t="s">
        <v>1334</v>
      </c>
      <c r="C537" s="90" t="s">
        <v>1331</v>
      </c>
    </row>
    <row r="538" spans="1:3" ht="14.4" x14ac:dyDescent="0.3">
      <c r="A538" s="90" t="s">
        <v>3480</v>
      </c>
      <c r="B538" s="90" t="s">
        <v>810</v>
      </c>
      <c r="C538" s="90" t="s">
        <v>800</v>
      </c>
    </row>
    <row r="539" spans="1:3" ht="14.4" x14ac:dyDescent="0.3">
      <c r="A539" s="90" t="s">
        <v>3481</v>
      </c>
      <c r="B539" s="90" t="s">
        <v>692</v>
      </c>
      <c r="C539" s="90" t="s">
        <v>675</v>
      </c>
    </row>
    <row r="540" spans="1:3" ht="14.4" x14ac:dyDescent="0.3">
      <c r="A540" s="90" t="s">
        <v>3482</v>
      </c>
      <c r="B540" s="90" t="s">
        <v>2936</v>
      </c>
      <c r="C540" s="90" t="s">
        <v>2932</v>
      </c>
    </row>
    <row r="541" spans="1:3" ht="14.4" x14ac:dyDescent="0.3">
      <c r="A541" s="90" t="s">
        <v>3483</v>
      </c>
      <c r="B541" s="90" t="s">
        <v>2144</v>
      </c>
      <c r="C541" s="90" t="s">
        <v>2124</v>
      </c>
    </row>
    <row r="542" spans="1:3" ht="14.4" x14ac:dyDescent="0.3">
      <c r="A542" s="90" t="s">
        <v>3484</v>
      </c>
      <c r="B542" s="90" t="s">
        <v>1851</v>
      </c>
      <c r="C542" s="90" t="s">
        <v>1848</v>
      </c>
    </row>
    <row r="543" spans="1:3" ht="14.4" x14ac:dyDescent="0.3">
      <c r="A543" s="90" t="s">
        <v>3485</v>
      </c>
      <c r="B543" s="90" t="s">
        <v>2032</v>
      </c>
      <c r="C543" s="90" t="s">
        <v>2015</v>
      </c>
    </row>
    <row r="544" spans="1:3" ht="14.4" x14ac:dyDescent="0.3">
      <c r="A544" s="90" t="s">
        <v>3486</v>
      </c>
      <c r="B544" s="90" t="s">
        <v>2031</v>
      </c>
      <c r="C544" s="90" t="s">
        <v>2015</v>
      </c>
    </row>
    <row r="545" spans="1:3" ht="14.4" x14ac:dyDescent="0.3">
      <c r="A545" s="90" t="s">
        <v>3487</v>
      </c>
      <c r="B545" s="90" t="s">
        <v>1746</v>
      </c>
      <c r="C545" s="90" t="s">
        <v>1741</v>
      </c>
    </row>
    <row r="546" spans="1:3" ht="14.4" x14ac:dyDescent="0.3">
      <c r="A546" s="90" t="s">
        <v>3488</v>
      </c>
      <c r="B546" s="90" t="s">
        <v>515</v>
      </c>
      <c r="C546" s="90" t="s">
        <v>449</v>
      </c>
    </row>
    <row r="547" spans="1:3" ht="14.4" x14ac:dyDescent="0.3">
      <c r="A547" s="90" t="s">
        <v>3489</v>
      </c>
      <c r="B547" s="90" t="s">
        <v>516</v>
      </c>
      <c r="C547" s="90" t="s">
        <v>449</v>
      </c>
    </row>
    <row r="548" spans="1:3" ht="14.4" x14ac:dyDescent="0.3">
      <c r="A548" s="90" t="s">
        <v>3490</v>
      </c>
      <c r="B548" s="90" t="s">
        <v>1920</v>
      </c>
      <c r="C548" s="90" t="s">
        <v>1919</v>
      </c>
    </row>
    <row r="549" spans="1:3" ht="14.4" x14ac:dyDescent="0.3">
      <c r="A549" s="90" t="s">
        <v>3491</v>
      </c>
      <c r="B549" s="90" t="s">
        <v>1295</v>
      </c>
      <c r="C549" s="90" t="s">
        <v>1292</v>
      </c>
    </row>
    <row r="550" spans="1:3" ht="14.4" x14ac:dyDescent="0.3">
      <c r="A550" s="90" t="s">
        <v>3492</v>
      </c>
      <c r="B550" s="90" t="s">
        <v>280</v>
      </c>
      <c r="C550" s="90" t="s">
        <v>203</v>
      </c>
    </row>
    <row r="551" spans="1:3" ht="14.4" x14ac:dyDescent="0.3">
      <c r="A551" s="90" t="s">
        <v>3493</v>
      </c>
      <c r="B551" s="90" t="s">
        <v>2757</v>
      </c>
      <c r="C551" s="90" t="s">
        <v>2754</v>
      </c>
    </row>
    <row r="552" spans="1:3" ht="14.4" x14ac:dyDescent="0.3">
      <c r="A552" s="90" t="s">
        <v>3494</v>
      </c>
      <c r="B552" s="90" t="s">
        <v>1178</v>
      </c>
      <c r="C552" s="90" t="s">
        <v>1173</v>
      </c>
    </row>
    <row r="553" spans="1:3" ht="14.4" x14ac:dyDescent="0.3">
      <c r="A553" s="90" t="s">
        <v>3495</v>
      </c>
      <c r="B553" s="90" t="s">
        <v>1928</v>
      </c>
      <c r="C553" s="90" t="s">
        <v>1926</v>
      </c>
    </row>
    <row r="554" spans="1:3" ht="14.4" x14ac:dyDescent="0.3">
      <c r="A554" s="90" t="s">
        <v>3496</v>
      </c>
      <c r="B554" s="90" t="s">
        <v>1692</v>
      </c>
      <c r="C554" s="90" t="s">
        <v>1681</v>
      </c>
    </row>
    <row r="555" spans="1:3" ht="14.4" x14ac:dyDescent="0.3">
      <c r="A555" s="90" t="s">
        <v>3497</v>
      </c>
      <c r="B555" s="90" t="s">
        <v>1197</v>
      </c>
      <c r="C555" s="90" t="s">
        <v>1194</v>
      </c>
    </row>
    <row r="556" spans="1:3" ht="14.4" x14ac:dyDescent="0.3">
      <c r="A556" s="90" t="s">
        <v>3498</v>
      </c>
      <c r="B556" s="90" t="s">
        <v>2294</v>
      </c>
      <c r="C556" s="90" t="s">
        <v>2275</v>
      </c>
    </row>
    <row r="557" spans="1:3" ht="14.4" x14ac:dyDescent="0.3">
      <c r="A557" s="90" t="s">
        <v>3499</v>
      </c>
      <c r="B557" s="90" t="s">
        <v>992</v>
      </c>
      <c r="C557" s="90" t="s">
        <v>972</v>
      </c>
    </row>
    <row r="558" spans="1:3" ht="14.4" x14ac:dyDescent="0.3">
      <c r="A558" s="90" t="s">
        <v>3500</v>
      </c>
      <c r="B558" s="90" t="s">
        <v>2166</v>
      </c>
      <c r="C558" s="90" t="s">
        <v>2153</v>
      </c>
    </row>
    <row r="559" spans="1:3" ht="14.4" x14ac:dyDescent="0.3">
      <c r="A559" s="90" t="s">
        <v>3501</v>
      </c>
      <c r="B559" s="90" t="s">
        <v>1335</v>
      </c>
      <c r="C559" s="90" t="s">
        <v>1331</v>
      </c>
    </row>
    <row r="560" spans="1:3" ht="14.4" x14ac:dyDescent="0.3">
      <c r="A560" s="90" t="s">
        <v>3502</v>
      </c>
      <c r="B560" s="90" t="s">
        <v>1575</v>
      </c>
      <c r="C560" s="90" t="s">
        <v>1573</v>
      </c>
    </row>
    <row r="561" spans="1:3" ht="14.4" x14ac:dyDescent="0.3">
      <c r="A561" s="90" t="s">
        <v>3503</v>
      </c>
      <c r="B561" s="90" t="s">
        <v>1477</v>
      </c>
      <c r="C561" s="90" t="s">
        <v>1472</v>
      </c>
    </row>
    <row r="562" spans="1:3" ht="14.4" x14ac:dyDescent="0.3">
      <c r="A562" s="90" t="s">
        <v>3504</v>
      </c>
      <c r="B562" s="90" t="s">
        <v>514</v>
      </c>
      <c r="C562" s="90" t="s">
        <v>449</v>
      </c>
    </row>
    <row r="563" spans="1:3" ht="14.4" x14ac:dyDescent="0.3">
      <c r="A563" s="90" t="s">
        <v>3505</v>
      </c>
      <c r="B563" s="90" t="s">
        <v>2882</v>
      </c>
      <c r="C563" s="90" t="s">
        <v>2874</v>
      </c>
    </row>
    <row r="564" spans="1:3" ht="14.4" x14ac:dyDescent="0.3">
      <c r="A564" s="90" t="s">
        <v>3506</v>
      </c>
      <c r="B564" s="90" t="s">
        <v>812</v>
      </c>
      <c r="C564" s="90" t="s">
        <v>800</v>
      </c>
    </row>
    <row r="565" spans="1:3" ht="14.4" x14ac:dyDescent="0.3">
      <c r="A565" s="90" t="s">
        <v>3507</v>
      </c>
      <c r="B565" s="90" t="s">
        <v>1414</v>
      </c>
      <c r="C565" s="90" t="s">
        <v>1392</v>
      </c>
    </row>
    <row r="566" spans="1:3" ht="14.4" x14ac:dyDescent="0.3">
      <c r="A566" s="90" t="s">
        <v>3508</v>
      </c>
      <c r="B566" s="90" t="s">
        <v>268</v>
      </c>
      <c r="C566" s="90" t="s">
        <v>203</v>
      </c>
    </row>
    <row r="567" spans="1:3" ht="14.4" x14ac:dyDescent="0.3">
      <c r="A567" s="90" t="s">
        <v>3509</v>
      </c>
      <c r="B567" s="90" t="s">
        <v>1242</v>
      </c>
      <c r="C567" s="90" t="s">
        <v>1239</v>
      </c>
    </row>
    <row r="568" spans="1:3" ht="14.4" x14ac:dyDescent="0.3">
      <c r="A568" s="90" t="s">
        <v>3510</v>
      </c>
      <c r="B568" s="90" t="s">
        <v>519</v>
      </c>
      <c r="C568" s="90" t="s">
        <v>449</v>
      </c>
    </row>
    <row r="569" spans="1:3" ht="14.4" x14ac:dyDescent="0.3">
      <c r="A569" s="90" t="s">
        <v>3511</v>
      </c>
      <c r="B569" s="90" t="s">
        <v>678</v>
      </c>
      <c r="C569" s="90" t="s">
        <v>675</v>
      </c>
    </row>
    <row r="570" spans="1:3" ht="14.4" x14ac:dyDescent="0.3">
      <c r="A570" s="90" t="s">
        <v>3512</v>
      </c>
      <c r="B570" s="90" t="s">
        <v>1588</v>
      </c>
      <c r="C570" s="90" t="s">
        <v>1580</v>
      </c>
    </row>
    <row r="571" spans="1:3" ht="14.4" x14ac:dyDescent="0.3">
      <c r="A571" s="90" t="s">
        <v>3513</v>
      </c>
      <c r="B571" s="90" t="s">
        <v>1642</v>
      </c>
      <c r="C571" s="90" t="s">
        <v>1631</v>
      </c>
    </row>
    <row r="572" spans="1:3" ht="14.4" x14ac:dyDescent="0.3">
      <c r="A572" s="90" t="s">
        <v>3514</v>
      </c>
      <c r="B572" s="90" t="s">
        <v>1381</v>
      </c>
      <c r="C572" s="90" t="s">
        <v>1375</v>
      </c>
    </row>
    <row r="573" spans="1:3" ht="14.4" x14ac:dyDescent="0.3">
      <c r="A573" s="90" t="s">
        <v>3515</v>
      </c>
      <c r="B573" s="90" t="s">
        <v>284</v>
      </c>
      <c r="C573" s="90" t="s">
        <v>203</v>
      </c>
    </row>
    <row r="574" spans="1:3" ht="14.4" x14ac:dyDescent="0.3">
      <c r="A574" s="90" t="s">
        <v>3516</v>
      </c>
      <c r="B574" s="90" t="s">
        <v>2908</v>
      </c>
      <c r="C574" s="90" t="s">
        <v>2904</v>
      </c>
    </row>
    <row r="575" spans="1:3" ht="14.4" x14ac:dyDescent="0.3">
      <c r="A575" s="90" t="s">
        <v>3517</v>
      </c>
      <c r="B575" s="90" t="s">
        <v>118</v>
      </c>
      <c r="C575" s="90" t="s">
        <v>116</v>
      </c>
    </row>
    <row r="576" spans="1:3" ht="14.4" x14ac:dyDescent="0.3">
      <c r="A576" s="90" t="s">
        <v>3518</v>
      </c>
      <c r="B576" s="90" t="s">
        <v>2778</v>
      </c>
      <c r="C576" s="90" t="s">
        <v>2767</v>
      </c>
    </row>
    <row r="577" spans="1:3" ht="14.4" x14ac:dyDescent="0.3">
      <c r="A577" s="90" t="s">
        <v>3519</v>
      </c>
      <c r="B577" s="90" t="s">
        <v>2265</v>
      </c>
      <c r="C577" s="90" t="s">
        <v>2257</v>
      </c>
    </row>
    <row r="578" spans="1:3" ht="14.4" x14ac:dyDescent="0.3">
      <c r="A578" s="90" t="s">
        <v>3520</v>
      </c>
      <c r="B578" s="90" t="s">
        <v>1765</v>
      </c>
      <c r="C578" s="90" t="s">
        <v>1741</v>
      </c>
    </row>
    <row r="579" spans="1:3" ht="14.4" x14ac:dyDescent="0.3">
      <c r="A579" s="90" t="s">
        <v>3521</v>
      </c>
      <c r="B579" s="90" t="s">
        <v>838</v>
      </c>
      <c r="C579" s="90" t="s">
        <v>837</v>
      </c>
    </row>
    <row r="580" spans="1:3" ht="14.4" x14ac:dyDescent="0.3">
      <c r="A580" s="90" t="s">
        <v>3522</v>
      </c>
      <c r="B580" s="90" t="s">
        <v>277</v>
      </c>
      <c r="C580" s="90" t="s">
        <v>203</v>
      </c>
    </row>
    <row r="581" spans="1:3" ht="14.4" x14ac:dyDescent="0.3">
      <c r="A581" s="90" t="s">
        <v>3523</v>
      </c>
      <c r="B581" s="90" t="s">
        <v>879</v>
      </c>
      <c r="C581" s="90" t="s">
        <v>874</v>
      </c>
    </row>
    <row r="582" spans="1:3" ht="14.4" x14ac:dyDescent="0.3">
      <c r="A582" s="90" t="s">
        <v>3524</v>
      </c>
      <c r="B582" s="90" t="s">
        <v>1759</v>
      </c>
      <c r="C582" s="90" t="s">
        <v>1741</v>
      </c>
    </row>
    <row r="583" spans="1:3" ht="14.4" x14ac:dyDescent="0.3">
      <c r="A583" s="90" t="s">
        <v>3525</v>
      </c>
      <c r="B583" s="90" t="s">
        <v>1343</v>
      </c>
      <c r="C583" s="90" t="s">
        <v>1338</v>
      </c>
    </row>
    <row r="584" spans="1:3" ht="14.4" x14ac:dyDescent="0.3">
      <c r="A584" s="90" t="s">
        <v>3526</v>
      </c>
      <c r="B584" s="90" t="s">
        <v>1569</v>
      </c>
      <c r="C584" s="90" t="s">
        <v>1568</v>
      </c>
    </row>
    <row r="585" spans="1:3" ht="14.4" x14ac:dyDescent="0.3">
      <c r="A585" s="90" t="s">
        <v>3527</v>
      </c>
      <c r="B585" s="90" t="s">
        <v>2368</v>
      </c>
      <c r="C585" s="90" t="s">
        <v>2365</v>
      </c>
    </row>
    <row r="586" spans="1:3" ht="14.4" x14ac:dyDescent="0.3">
      <c r="A586" s="90" t="s">
        <v>3528</v>
      </c>
      <c r="B586" s="90" t="s">
        <v>2399</v>
      </c>
      <c r="C586" s="90" t="s">
        <v>2397</v>
      </c>
    </row>
    <row r="587" spans="1:3" ht="14.4" x14ac:dyDescent="0.3">
      <c r="A587" s="90" t="s">
        <v>3529</v>
      </c>
      <c r="B587" s="90" t="s">
        <v>439</v>
      </c>
      <c r="C587" s="90" t="s">
        <v>437</v>
      </c>
    </row>
    <row r="588" spans="1:3" ht="14.4" x14ac:dyDescent="0.3">
      <c r="A588" s="90" t="s">
        <v>3530</v>
      </c>
      <c r="B588" s="90" t="s">
        <v>36</v>
      </c>
      <c r="C588" s="90" t="s">
        <v>7</v>
      </c>
    </row>
    <row r="589" spans="1:3" ht="14.4" x14ac:dyDescent="0.3">
      <c r="A589" s="90" t="s">
        <v>3531</v>
      </c>
      <c r="B589" s="90" t="s">
        <v>279</v>
      </c>
      <c r="C589" s="90" t="s">
        <v>203</v>
      </c>
    </row>
    <row r="590" spans="1:3" ht="14.4" x14ac:dyDescent="0.3">
      <c r="A590" s="90" t="s">
        <v>3532</v>
      </c>
      <c r="B590" s="90" t="s">
        <v>1061</v>
      </c>
      <c r="C590" s="90" t="s">
        <v>1050</v>
      </c>
    </row>
    <row r="591" spans="1:3" ht="14.4" x14ac:dyDescent="0.3">
      <c r="A591" s="90" t="s">
        <v>3533</v>
      </c>
      <c r="B591" s="90" t="s">
        <v>75</v>
      </c>
      <c r="C591" s="90" t="s">
        <v>72</v>
      </c>
    </row>
    <row r="592" spans="1:3" ht="14.4" x14ac:dyDescent="0.3">
      <c r="A592" s="90" t="s">
        <v>3534</v>
      </c>
      <c r="B592" s="90" t="s">
        <v>811</v>
      </c>
      <c r="C592" s="90" t="s">
        <v>800</v>
      </c>
    </row>
    <row r="593" spans="1:3" ht="14.4" x14ac:dyDescent="0.3">
      <c r="A593" s="90" t="s">
        <v>3535</v>
      </c>
      <c r="B593" s="90" t="s">
        <v>2036</v>
      </c>
      <c r="C593" s="90" t="s">
        <v>2015</v>
      </c>
    </row>
    <row r="594" spans="1:3" ht="14.4" x14ac:dyDescent="0.3">
      <c r="A594" s="90" t="s">
        <v>3536</v>
      </c>
      <c r="B594" s="90" t="s">
        <v>2702</v>
      </c>
      <c r="C594" s="90" t="s">
        <v>2683</v>
      </c>
    </row>
    <row r="595" spans="1:3" ht="14.4" x14ac:dyDescent="0.3">
      <c r="A595" s="90" t="s">
        <v>3537</v>
      </c>
      <c r="B595" s="90" t="s">
        <v>1711</v>
      </c>
      <c r="C595" s="90" t="s">
        <v>1681</v>
      </c>
    </row>
    <row r="596" spans="1:3" ht="14.4" x14ac:dyDescent="0.3">
      <c r="A596" s="90" t="s">
        <v>3538</v>
      </c>
      <c r="B596" s="90" t="s">
        <v>1764</v>
      </c>
      <c r="C596" s="90" t="s">
        <v>1741</v>
      </c>
    </row>
    <row r="597" spans="1:3" ht="14.4" x14ac:dyDescent="0.3">
      <c r="A597" s="90" t="s">
        <v>3539</v>
      </c>
      <c r="B597" s="90" t="s">
        <v>2130</v>
      </c>
      <c r="C597" s="90" t="s">
        <v>2124</v>
      </c>
    </row>
    <row r="598" spans="1:3" ht="14.4" x14ac:dyDescent="0.3">
      <c r="A598" s="90" t="s">
        <v>3540</v>
      </c>
      <c r="B598" s="90" t="s">
        <v>1202</v>
      </c>
      <c r="C598" s="90" t="s">
        <v>1199</v>
      </c>
    </row>
    <row r="599" spans="1:3" ht="14.4" x14ac:dyDescent="0.3">
      <c r="A599" s="90" t="s">
        <v>3541</v>
      </c>
      <c r="B599" s="90" t="s">
        <v>2034</v>
      </c>
      <c r="C599" s="90" t="s">
        <v>2015</v>
      </c>
    </row>
    <row r="600" spans="1:3" ht="14.4" x14ac:dyDescent="0.3">
      <c r="A600" s="90" t="s">
        <v>3542</v>
      </c>
      <c r="B600" s="90" t="s">
        <v>520</v>
      </c>
      <c r="C600" s="90" t="s">
        <v>449</v>
      </c>
    </row>
    <row r="601" spans="1:3" ht="14.4" x14ac:dyDescent="0.3">
      <c r="A601" s="90" t="s">
        <v>3543</v>
      </c>
      <c r="B601" s="90" t="s">
        <v>964</v>
      </c>
      <c r="C601" s="90" t="s">
        <v>961</v>
      </c>
    </row>
    <row r="602" spans="1:3" ht="14.4" x14ac:dyDescent="0.3">
      <c r="A602" s="90" t="s">
        <v>3544</v>
      </c>
      <c r="B602" s="90" t="s">
        <v>2591</v>
      </c>
      <c r="C602" s="90" t="s">
        <v>2589</v>
      </c>
    </row>
    <row r="603" spans="1:3" ht="14.4" x14ac:dyDescent="0.3">
      <c r="A603" s="90" t="s">
        <v>3545</v>
      </c>
      <c r="B603" s="90" t="s">
        <v>1297</v>
      </c>
      <c r="C603" s="90" t="s">
        <v>1292</v>
      </c>
    </row>
    <row r="604" spans="1:3" ht="14.4" x14ac:dyDescent="0.3">
      <c r="A604" s="90" t="s">
        <v>3546</v>
      </c>
      <c r="B604" s="90" t="s">
        <v>2602</v>
      </c>
      <c r="C604" s="90" t="s">
        <v>2589</v>
      </c>
    </row>
    <row r="605" spans="1:3" ht="14.4" x14ac:dyDescent="0.3">
      <c r="A605" s="90" t="s">
        <v>3547</v>
      </c>
      <c r="B605" s="90" t="s">
        <v>751</v>
      </c>
      <c r="C605" s="90" t="s">
        <v>744</v>
      </c>
    </row>
    <row r="606" spans="1:3" ht="14.4" x14ac:dyDescent="0.3">
      <c r="A606" s="90" t="s">
        <v>3548</v>
      </c>
      <c r="B606" s="90" t="s">
        <v>54</v>
      </c>
      <c r="C606" s="90" t="s">
        <v>50</v>
      </c>
    </row>
    <row r="607" spans="1:3" ht="14.4" x14ac:dyDescent="0.3">
      <c r="A607" s="90" t="s">
        <v>3549</v>
      </c>
      <c r="B607" s="90" t="s">
        <v>1870</v>
      </c>
      <c r="C607" s="90" t="s">
        <v>1863</v>
      </c>
    </row>
    <row r="608" spans="1:3" ht="14.4" x14ac:dyDescent="0.3">
      <c r="A608" s="90" t="s">
        <v>3550</v>
      </c>
      <c r="B608" s="90" t="s">
        <v>1760</v>
      </c>
      <c r="C608" s="90" t="s">
        <v>1741</v>
      </c>
    </row>
    <row r="609" spans="1:3" ht="14.4" x14ac:dyDescent="0.3">
      <c r="A609" s="90" t="s">
        <v>3551</v>
      </c>
      <c r="B609" s="90" t="s">
        <v>266</v>
      </c>
      <c r="C609" s="90" t="s">
        <v>203</v>
      </c>
    </row>
    <row r="610" spans="1:3" ht="14.4" x14ac:dyDescent="0.3">
      <c r="A610" s="90" t="s">
        <v>3552</v>
      </c>
      <c r="B610" s="90" t="s">
        <v>2909</v>
      </c>
      <c r="C610" s="90" t="s">
        <v>2904</v>
      </c>
    </row>
    <row r="611" spans="1:3" ht="14.4" x14ac:dyDescent="0.3">
      <c r="A611" s="90" t="s">
        <v>3553</v>
      </c>
      <c r="B611" s="90" t="s">
        <v>1098</v>
      </c>
      <c r="C611" s="90" t="s">
        <v>1090</v>
      </c>
    </row>
    <row r="612" spans="1:3" ht="14.4" x14ac:dyDescent="0.3">
      <c r="A612" s="90" t="s">
        <v>3554</v>
      </c>
      <c r="B612" s="90" t="s">
        <v>2867</v>
      </c>
      <c r="C612" s="90" t="s">
        <v>2866</v>
      </c>
    </row>
    <row r="613" spans="1:3" ht="14.4" x14ac:dyDescent="0.3">
      <c r="A613" s="90" t="s">
        <v>3555</v>
      </c>
      <c r="B613" s="90" t="s">
        <v>156</v>
      </c>
      <c r="C613" s="90" t="s">
        <v>151</v>
      </c>
    </row>
    <row r="614" spans="1:3" ht="14.4" x14ac:dyDescent="0.3">
      <c r="A614" s="90" t="str">
        <f>CONCATENATE(B614, C614," FIRM")</f>
        <v>CPRXWaste Management FIRM</v>
      </c>
      <c r="B614" s="91" t="s">
        <v>3556</v>
      </c>
      <c r="C614" s="90" t="s">
        <v>2932</v>
      </c>
    </row>
    <row r="615" spans="1:3" ht="14.4" x14ac:dyDescent="0.3">
      <c r="A615" s="90" t="s">
        <v>3557</v>
      </c>
      <c r="B615" s="90" t="s">
        <v>179</v>
      </c>
      <c r="C615" s="90" t="s">
        <v>168</v>
      </c>
    </row>
    <row r="616" spans="1:3" ht="14.4" x14ac:dyDescent="0.3">
      <c r="A616" s="90" t="s">
        <v>3558</v>
      </c>
      <c r="B616" s="90" t="s">
        <v>1254</v>
      </c>
      <c r="C616" s="90" t="s">
        <v>1251</v>
      </c>
    </row>
    <row r="617" spans="1:3" ht="14.4" x14ac:dyDescent="0.3">
      <c r="A617" s="90" t="s">
        <v>3559</v>
      </c>
      <c r="B617" s="90" t="s">
        <v>2165</v>
      </c>
      <c r="C617" s="90" t="s">
        <v>2153</v>
      </c>
    </row>
    <row r="618" spans="1:3" ht="14.4" x14ac:dyDescent="0.3">
      <c r="A618" s="90" t="s">
        <v>3560</v>
      </c>
      <c r="B618" s="90" t="s">
        <v>990</v>
      </c>
      <c r="C618" s="90" t="s">
        <v>972</v>
      </c>
    </row>
    <row r="619" spans="1:3" ht="14.4" x14ac:dyDescent="0.3">
      <c r="A619" s="90" t="s">
        <v>3561</v>
      </c>
      <c r="B619" s="90" t="s">
        <v>693</v>
      </c>
      <c r="C619" s="90" t="s">
        <v>675</v>
      </c>
    </row>
    <row r="620" spans="1:3" ht="14.4" x14ac:dyDescent="0.3">
      <c r="A620" s="90" t="s">
        <v>3562</v>
      </c>
      <c r="B620" s="90" t="s">
        <v>844</v>
      </c>
      <c r="C620" s="90" t="s">
        <v>841</v>
      </c>
    </row>
    <row r="621" spans="1:3" ht="14.4" x14ac:dyDescent="0.3">
      <c r="A621" s="90" t="s">
        <v>3563</v>
      </c>
      <c r="B621" s="90" t="s">
        <v>1744</v>
      </c>
      <c r="C621" s="90" t="s">
        <v>1741</v>
      </c>
    </row>
    <row r="622" spans="1:3" ht="14.4" x14ac:dyDescent="0.3">
      <c r="A622" s="90" t="s">
        <v>3564</v>
      </c>
      <c r="B622" s="90" t="s">
        <v>1491</v>
      </c>
      <c r="C622" s="90" t="s">
        <v>1485</v>
      </c>
    </row>
    <row r="623" spans="1:3" ht="14.4" x14ac:dyDescent="0.3">
      <c r="A623" s="90" t="s">
        <v>3565</v>
      </c>
      <c r="B623" s="90" t="s">
        <v>2434</v>
      </c>
      <c r="C623" s="90" t="s">
        <v>2421</v>
      </c>
    </row>
    <row r="624" spans="1:3" ht="14.4" x14ac:dyDescent="0.3">
      <c r="A624" s="90" t="s">
        <v>3566</v>
      </c>
      <c r="B624" s="90" t="s">
        <v>74</v>
      </c>
      <c r="C624" s="90" t="s">
        <v>72</v>
      </c>
    </row>
    <row r="625" spans="1:3" ht="14.4" x14ac:dyDescent="0.3">
      <c r="A625" s="90" t="s">
        <v>3567</v>
      </c>
      <c r="B625" s="90" t="s">
        <v>461</v>
      </c>
      <c r="C625" s="90" t="s">
        <v>449</v>
      </c>
    </row>
    <row r="626" spans="1:3" ht="14.4" x14ac:dyDescent="0.3">
      <c r="A626" s="90" t="s">
        <v>3568</v>
      </c>
      <c r="B626" s="90" t="s">
        <v>930</v>
      </c>
      <c r="C626" s="90" t="s">
        <v>916</v>
      </c>
    </row>
    <row r="627" spans="1:3" ht="14.4" x14ac:dyDescent="0.3">
      <c r="A627" s="90" t="s">
        <v>3569</v>
      </c>
      <c r="B627" s="90" t="s">
        <v>2570</v>
      </c>
      <c r="C627" s="90" t="s">
        <v>2489</v>
      </c>
    </row>
    <row r="628" spans="1:3" ht="14.4" x14ac:dyDescent="0.3">
      <c r="A628" s="90" t="s">
        <v>3570</v>
      </c>
      <c r="B628" s="90" t="s">
        <v>152</v>
      </c>
      <c r="C628" s="90" t="s">
        <v>151</v>
      </c>
    </row>
    <row r="629" spans="1:3" ht="14.4" x14ac:dyDescent="0.3">
      <c r="A629" s="90" t="s">
        <v>3571</v>
      </c>
      <c r="B629" s="90" t="s">
        <v>1211</v>
      </c>
      <c r="C629" s="90" t="s">
        <v>1208</v>
      </c>
    </row>
    <row r="630" spans="1:3" ht="14.4" x14ac:dyDescent="0.3">
      <c r="A630" s="90" t="s">
        <v>3572</v>
      </c>
      <c r="B630" s="90" t="s">
        <v>1808</v>
      </c>
      <c r="C630" s="90" t="s">
        <v>1800</v>
      </c>
    </row>
    <row r="631" spans="1:3" ht="14.4" x14ac:dyDescent="0.3">
      <c r="A631" s="90" t="s">
        <v>3573</v>
      </c>
      <c r="B631" s="90" t="s">
        <v>1717</v>
      </c>
      <c r="C631" s="90" t="s">
        <v>1715</v>
      </c>
    </row>
    <row r="632" spans="1:3" ht="14.4" x14ac:dyDescent="0.3">
      <c r="A632" s="90" t="s">
        <v>3574</v>
      </c>
      <c r="B632" s="90" t="s">
        <v>2433</v>
      </c>
      <c r="C632" s="90" t="s">
        <v>2421</v>
      </c>
    </row>
    <row r="633" spans="1:3" ht="14.4" x14ac:dyDescent="0.3">
      <c r="A633" s="90" t="s">
        <v>3575</v>
      </c>
      <c r="B633" s="90" t="s">
        <v>1469</v>
      </c>
      <c r="C633" s="90" t="s">
        <v>1464</v>
      </c>
    </row>
    <row r="634" spans="1:3" ht="14.4" x14ac:dyDescent="0.3">
      <c r="A634" s="90" t="s">
        <v>3576</v>
      </c>
      <c r="B634" s="90" t="s">
        <v>521</v>
      </c>
      <c r="C634" s="90" t="s">
        <v>449</v>
      </c>
    </row>
    <row r="635" spans="1:3" ht="14.4" x14ac:dyDescent="0.3">
      <c r="A635" s="90" t="s">
        <v>3577</v>
      </c>
      <c r="B635" s="90" t="s">
        <v>1644</v>
      </c>
      <c r="C635" s="90" t="s">
        <v>1631</v>
      </c>
    </row>
    <row r="636" spans="1:3" ht="14.4" x14ac:dyDescent="0.3">
      <c r="A636" s="90" t="s">
        <v>3578</v>
      </c>
      <c r="B636" s="90" t="s">
        <v>1745</v>
      </c>
      <c r="C636" s="90" t="s">
        <v>1741</v>
      </c>
    </row>
    <row r="637" spans="1:3" ht="14.4" x14ac:dyDescent="0.3">
      <c r="A637" s="90" t="s">
        <v>3579</v>
      </c>
      <c r="B637" s="90" t="s">
        <v>2336</v>
      </c>
      <c r="C637" s="90" t="s">
        <v>2328</v>
      </c>
    </row>
    <row r="638" spans="1:3" ht="14.4" x14ac:dyDescent="0.3">
      <c r="A638" s="90" t="s">
        <v>3580</v>
      </c>
      <c r="B638" s="90" t="s">
        <v>809</v>
      </c>
      <c r="C638" s="90" t="s">
        <v>800</v>
      </c>
    </row>
    <row r="639" spans="1:3" ht="14.4" x14ac:dyDescent="0.3">
      <c r="A639" s="90" t="s">
        <v>3581</v>
      </c>
      <c r="B639" s="90" t="s">
        <v>209</v>
      </c>
      <c r="C639" s="90" t="s">
        <v>203</v>
      </c>
    </row>
    <row r="640" spans="1:3" ht="14.4" x14ac:dyDescent="0.3">
      <c r="A640" s="90" t="s">
        <v>3582</v>
      </c>
      <c r="B640" s="90" t="s">
        <v>1992</v>
      </c>
      <c r="C640" s="90" t="s">
        <v>1988</v>
      </c>
    </row>
    <row r="641" spans="1:3" ht="14.4" x14ac:dyDescent="0.3">
      <c r="A641" s="90" t="s">
        <v>3583</v>
      </c>
      <c r="B641" s="90" t="s">
        <v>2603</v>
      </c>
      <c r="C641" s="90" t="s">
        <v>2589</v>
      </c>
    </row>
    <row r="642" spans="1:3" ht="14.4" x14ac:dyDescent="0.3">
      <c r="A642" s="90" t="s">
        <v>3584</v>
      </c>
      <c r="B642" s="90" t="s">
        <v>1641</v>
      </c>
      <c r="C642" s="90" t="s">
        <v>1631</v>
      </c>
    </row>
    <row r="643" spans="1:3" ht="14.4" x14ac:dyDescent="0.3">
      <c r="A643" s="90" t="s">
        <v>3585</v>
      </c>
      <c r="B643" s="90" t="s">
        <v>2322</v>
      </c>
      <c r="C643" s="90" t="s">
        <v>2320</v>
      </c>
    </row>
    <row r="644" spans="1:3" ht="14.4" x14ac:dyDescent="0.3">
      <c r="A644" s="90" t="s">
        <v>3586</v>
      </c>
      <c r="B644" s="90" t="s">
        <v>2523</v>
      </c>
      <c r="C644" s="90" t="s">
        <v>2489</v>
      </c>
    </row>
    <row r="645" spans="1:3" ht="14.4" x14ac:dyDescent="0.3">
      <c r="A645" s="90" t="s">
        <v>3587</v>
      </c>
      <c r="B645" s="90" t="s">
        <v>2490</v>
      </c>
      <c r="C645" s="90" t="s">
        <v>2489</v>
      </c>
    </row>
    <row r="646" spans="1:3" ht="14.4" x14ac:dyDescent="0.3">
      <c r="A646" s="90" t="s">
        <v>3588</v>
      </c>
      <c r="B646" s="90" t="s">
        <v>1345</v>
      </c>
      <c r="C646" s="90" t="s">
        <v>1338</v>
      </c>
    </row>
    <row r="647" spans="1:3" ht="14.4" x14ac:dyDescent="0.3">
      <c r="A647" s="90" t="s">
        <v>3589</v>
      </c>
      <c r="B647" s="90" t="s">
        <v>2703</v>
      </c>
      <c r="C647" s="90" t="s">
        <v>2683</v>
      </c>
    </row>
    <row r="648" spans="1:3" ht="14.4" x14ac:dyDescent="0.3">
      <c r="A648" s="90" t="s">
        <v>3590</v>
      </c>
      <c r="B648" s="90" t="s">
        <v>2688</v>
      </c>
      <c r="C648" s="90" t="s">
        <v>2683</v>
      </c>
    </row>
    <row r="649" spans="1:3" ht="14.4" x14ac:dyDescent="0.3">
      <c r="A649" s="90" t="s">
        <v>3591</v>
      </c>
      <c r="B649" s="90" t="s">
        <v>638</v>
      </c>
      <c r="C649" s="90" t="s">
        <v>627</v>
      </c>
    </row>
    <row r="650" spans="1:3" ht="14.4" x14ac:dyDescent="0.3">
      <c r="A650" s="90" t="s">
        <v>3592</v>
      </c>
      <c r="B650" s="90" t="s">
        <v>263</v>
      </c>
      <c r="C650" s="90" t="s">
        <v>203</v>
      </c>
    </row>
    <row r="651" spans="1:3" ht="14.4" x14ac:dyDescent="0.3">
      <c r="A651" s="90" t="s">
        <v>3593</v>
      </c>
      <c r="B651" s="90" t="s">
        <v>1555</v>
      </c>
      <c r="C651" s="90" t="s">
        <v>1554</v>
      </c>
    </row>
    <row r="652" spans="1:3" ht="14.4" x14ac:dyDescent="0.3">
      <c r="A652" s="90" t="s">
        <v>3594</v>
      </c>
      <c r="B652" s="90" t="s">
        <v>1934</v>
      </c>
      <c r="C652" s="90" t="s">
        <v>1933</v>
      </c>
    </row>
    <row r="653" spans="1:3" ht="14.4" x14ac:dyDescent="0.3">
      <c r="A653" s="90" t="s">
        <v>3595</v>
      </c>
      <c r="B653" s="90" t="s">
        <v>991</v>
      </c>
      <c r="C653" s="90" t="s">
        <v>972</v>
      </c>
    </row>
    <row r="654" spans="1:3" ht="14.4" x14ac:dyDescent="0.3">
      <c r="A654" s="90" t="s">
        <v>3596</v>
      </c>
      <c r="B654" s="90" t="s">
        <v>1969</v>
      </c>
      <c r="C654" s="90" t="s">
        <v>1966</v>
      </c>
    </row>
    <row r="655" spans="1:3" ht="14.4" x14ac:dyDescent="0.3">
      <c r="A655" s="90" t="s">
        <v>3597</v>
      </c>
      <c r="B655" s="90" t="s">
        <v>689</v>
      </c>
      <c r="C655" s="90" t="s">
        <v>675</v>
      </c>
    </row>
    <row r="656" spans="1:3" ht="14.4" x14ac:dyDescent="0.3">
      <c r="A656" s="90" t="s">
        <v>3598</v>
      </c>
      <c r="B656" s="90" t="s">
        <v>2323</v>
      </c>
      <c r="C656" s="90" t="s">
        <v>2320</v>
      </c>
    </row>
    <row r="657" spans="1:3" ht="14.4" x14ac:dyDescent="0.3">
      <c r="A657" s="90" t="s">
        <v>3599</v>
      </c>
      <c r="B657" s="90" t="s">
        <v>283</v>
      </c>
      <c r="C657" s="90" t="s">
        <v>203</v>
      </c>
    </row>
    <row r="658" spans="1:3" ht="14.4" x14ac:dyDescent="0.3">
      <c r="A658" s="90" t="s">
        <v>3600</v>
      </c>
      <c r="B658" s="90" t="s">
        <v>2775</v>
      </c>
      <c r="C658" s="90" t="s">
        <v>2767</v>
      </c>
    </row>
    <row r="659" spans="1:3" ht="14.4" x14ac:dyDescent="0.3">
      <c r="A659" s="90" t="s">
        <v>3601</v>
      </c>
      <c r="B659" s="90" t="s">
        <v>1060</v>
      </c>
      <c r="C659" s="90" t="s">
        <v>1050</v>
      </c>
    </row>
    <row r="660" spans="1:3" ht="14.4" x14ac:dyDescent="0.3">
      <c r="A660" s="90" t="s">
        <v>3602</v>
      </c>
      <c r="B660" s="90" t="s">
        <v>462</v>
      </c>
      <c r="C660" s="90" t="s">
        <v>449</v>
      </c>
    </row>
    <row r="661" spans="1:3" ht="14.4" x14ac:dyDescent="0.3">
      <c r="A661" s="90" t="s">
        <v>3603</v>
      </c>
      <c r="B661" s="90" t="s">
        <v>1979</v>
      </c>
      <c r="C661" s="90" t="s">
        <v>1977</v>
      </c>
    </row>
    <row r="662" spans="1:3" ht="14.4" x14ac:dyDescent="0.3">
      <c r="A662" s="90" t="s">
        <v>3604</v>
      </c>
      <c r="B662" s="90" t="s">
        <v>2069</v>
      </c>
      <c r="C662" s="90" t="s">
        <v>2066</v>
      </c>
    </row>
    <row r="663" spans="1:3" ht="14.4" x14ac:dyDescent="0.3">
      <c r="A663" s="90" t="s">
        <v>3605</v>
      </c>
      <c r="B663" s="90" t="s">
        <v>1118</v>
      </c>
      <c r="C663" s="90" t="s">
        <v>1106</v>
      </c>
    </row>
    <row r="664" spans="1:3" ht="14.4" x14ac:dyDescent="0.3">
      <c r="A664" s="90" t="s">
        <v>3606</v>
      </c>
      <c r="B664" s="90" t="s">
        <v>102</v>
      </c>
      <c r="C664" s="90" t="s">
        <v>91</v>
      </c>
    </row>
    <row r="665" spans="1:3" ht="14.4" x14ac:dyDescent="0.3">
      <c r="A665" s="90" t="s">
        <v>3607</v>
      </c>
      <c r="B665" s="90" t="s">
        <v>1120</v>
      </c>
      <c r="C665" s="90" t="s">
        <v>1106</v>
      </c>
    </row>
    <row r="666" spans="1:3" ht="14.4" x14ac:dyDescent="0.3">
      <c r="A666" s="90" t="s">
        <v>3608</v>
      </c>
      <c r="B666" s="90" t="s">
        <v>1344</v>
      </c>
      <c r="C666" s="90" t="s">
        <v>1338</v>
      </c>
    </row>
    <row r="667" spans="1:3" ht="14.4" x14ac:dyDescent="0.3">
      <c r="A667" s="90" t="s">
        <v>3609</v>
      </c>
      <c r="B667" s="90" t="s">
        <v>2029</v>
      </c>
      <c r="C667" s="90" t="s">
        <v>2015</v>
      </c>
    </row>
    <row r="668" spans="1:3" ht="14.4" x14ac:dyDescent="0.3">
      <c r="A668" s="90" t="s">
        <v>3610</v>
      </c>
      <c r="B668" s="90" t="s">
        <v>2926</v>
      </c>
      <c r="C668" s="90" t="s">
        <v>2919</v>
      </c>
    </row>
    <row r="669" spans="1:3" ht="14.4" x14ac:dyDescent="0.3">
      <c r="A669" s="90" t="s">
        <v>3611</v>
      </c>
      <c r="B669" s="90" t="s">
        <v>2590</v>
      </c>
      <c r="C669" s="90" t="s">
        <v>2589</v>
      </c>
    </row>
    <row r="670" spans="1:3" ht="14.4" x14ac:dyDescent="0.3">
      <c r="A670" s="90" t="s">
        <v>3612</v>
      </c>
      <c r="B670" s="90" t="s">
        <v>11</v>
      </c>
      <c r="C670" s="90" t="s">
        <v>7</v>
      </c>
    </row>
    <row r="671" spans="1:3" ht="14.4" x14ac:dyDescent="0.3">
      <c r="A671" s="90" t="s">
        <v>3613</v>
      </c>
      <c r="B671" s="90" t="s">
        <v>2107</v>
      </c>
      <c r="C671" s="90" t="s">
        <v>2106</v>
      </c>
    </row>
    <row r="672" spans="1:3" ht="14.4" x14ac:dyDescent="0.3">
      <c r="A672" s="90" t="s">
        <v>3614</v>
      </c>
      <c r="B672" s="90" t="s">
        <v>211</v>
      </c>
      <c r="C672" s="90" t="s">
        <v>203</v>
      </c>
    </row>
    <row r="673" spans="1:3" ht="14.4" x14ac:dyDescent="0.3">
      <c r="A673" s="90" t="s">
        <v>3615</v>
      </c>
      <c r="B673" s="90" t="s">
        <v>2596</v>
      </c>
      <c r="C673" s="90" t="s">
        <v>2589</v>
      </c>
    </row>
    <row r="674" spans="1:3" ht="14.4" x14ac:dyDescent="0.3">
      <c r="A674" s="90" t="s">
        <v>3616</v>
      </c>
      <c r="B674" s="90" t="s">
        <v>210</v>
      </c>
      <c r="C674" s="90" t="s">
        <v>203</v>
      </c>
    </row>
    <row r="675" spans="1:3" ht="14.4" x14ac:dyDescent="0.3">
      <c r="A675" s="90" t="s">
        <v>3617</v>
      </c>
      <c r="B675" s="90" t="s">
        <v>1645</v>
      </c>
      <c r="C675" s="90" t="s">
        <v>1631</v>
      </c>
    </row>
    <row r="676" spans="1:3" ht="14.4" x14ac:dyDescent="0.3">
      <c r="A676" s="90" t="s">
        <v>3618</v>
      </c>
      <c r="B676" s="90" t="s">
        <v>2035</v>
      </c>
      <c r="C676" s="90" t="s">
        <v>2015</v>
      </c>
    </row>
    <row r="677" spans="1:3" ht="14.4" x14ac:dyDescent="0.3">
      <c r="A677" s="90" t="s">
        <v>3619</v>
      </c>
      <c r="B677" s="90" t="s">
        <v>2937</v>
      </c>
      <c r="C677" s="90" t="s">
        <v>2932</v>
      </c>
    </row>
    <row r="678" spans="1:3" ht="14.4" x14ac:dyDescent="0.3">
      <c r="A678" s="90" t="s">
        <v>3620</v>
      </c>
      <c r="B678" s="90" t="s">
        <v>286</v>
      </c>
      <c r="C678" s="90" t="s">
        <v>203</v>
      </c>
    </row>
    <row r="679" spans="1:3" ht="14.4" x14ac:dyDescent="0.3">
      <c r="A679" s="90" t="s">
        <v>3621</v>
      </c>
      <c r="B679" s="90" t="s">
        <v>2240</v>
      </c>
      <c r="C679" s="90" t="s">
        <v>2234</v>
      </c>
    </row>
    <row r="680" spans="1:3" ht="14.4" x14ac:dyDescent="0.3">
      <c r="A680" s="90" t="s">
        <v>3622</v>
      </c>
      <c r="B680" s="90" t="s">
        <v>267</v>
      </c>
      <c r="C680" s="90" t="s">
        <v>203</v>
      </c>
    </row>
    <row r="681" spans="1:3" ht="14.4" x14ac:dyDescent="0.3">
      <c r="A681" s="90" t="s">
        <v>3623</v>
      </c>
      <c r="B681" s="90" t="s">
        <v>691</v>
      </c>
      <c r="C681" s="90" t="s">
        <v>675</v>
      </c>
    </row>
    <row r="682" spans="1:3" ht="14.4" x14ac:dyDescent="0.3">
      <c r="A682" s="90" t="s">
        <v>3624</v>
      </c>
      <c r="B682" s="90" t="s">
        <v>1189</v>
      </c>
      <c r="C682" s="90" t="s">
        <v>1185</v>
      </c>
    </row>
    <row r="683" spans="1:3" ht="14.4" x14ac:dyDescent="0.3">
      <c r="A683" s="90" t="s">
        <v>3625</v>
      </c>
      <c r="B683" s="90" t="s">
        <v>1852</v>
      </c>
      <c r="C683" s="90" t="s">
        <v>1848</v>
      </c>
    </row>
    <row r="684" spans="1:3" ht="14.4" x14ac:dyDescent="0.3">
      <c r="A684" s="90" t="s">
        <v>3626</v>
      </c>
      <c r="B684" s="90" t="s">
        <v>2528</v>
      </c>
      <c r="C684" s="90" t="s">
        <v>2489</v>
      </c>
    </row>
    <row r="685" spans="1:3" ht="14.4" x14ac:dyDescent="0.3">
      <c r="A685" s="90" t="s">
        <v>3627</v>
      </c>
      <c r="B685" s="90" t="s">
        <v>278</v>
      </c>
      <c r="C685" s="90" t="s">
        <v>203</v>
      </c>
    </row>
    <row r="686" spans="1:3" ht="14.4" x14ac:dyDescent="0.3">
      <c r="A686" s="90" t="str">
        <f>CONCATENATE(B686, C686," FIRM")</f>
        <v>CVNAWaste Management FIRM</v>
      </c>
      <c r="B686" s="91" t="s">
        <v>3628</v>
      </c>
      <c r="C686" s="90" t="s">
        <v>2932</v>
      </c>
    </row>
    <row r="687" spans="1:3" ht="14.4" x14ac:dyDescent="0.3">
      <c r="A687" s="90" t="s">
        <v>3629</v>
      </c>
      <c r="B687" s="90" t="s">
        <v>1643</v>
      </c>
      <c r="C687" s="90" t="s">
        <v>1631</v>
      </c>
    </row>
    <row r="688" spans="1:3" ht="14.4" x14ac:dyDescent="0.3">
      <c r="A688" s="90" t="s">
        <v>3630</v>
      </c>
      <c r="B688" s="90" t="s">
        <v>1244</v>
      </c>
      <c r="C688" s="90" t="s">
        <v>1239</v>
      </c>
    </row>
    <row r="689" spans="1:3" ht="14.4" x14ac:dyDescent="0.3">
      <c r="A689" s="90" t="s">
        <v>3631</v>
      </c>
      <c r="B689" s="90" t="s">
        <v>2842</v>
      </c>
      <c r="C689" s="90" t="s">
        <v>2839</v>
      </c>
    </row>
    <row r="690" spans="1:3" ht="14.4" x14ac:dyDescent="0.3">
      <c r="A690" s="90" t="s">
        <v>3632</v>
      </c>
      <c r="B690" s="90" t="s">
        <v>1835</v>
      </c>
      <c r="C690" s="90" t="s">
        <v>1833</v>
      </c>
    </row>
    <row r="691" spans="1:3" ht="14.4" x14ac:dyDescent="0.3">
      <c r="A691" s="90" t="s">
        <v>3633</v>
      </c>
      <c r="B691" s="90" t="s">
        <v>993</v>
      </c>
      <c r="C691" s="90" t="s">
        <v>972</v>
      </c>
    </row>
    <row r="692" spans="1:3" ht="14.4" x14ac:dyDescent="0.3">
      <c r="A692" s="90" t="s">
        <v>3634</v>
      </c>
      <c r="B692" s="90" t="s">
        <v>2927</v>
      </c>
      <c r="C692" s="90" t="s">
        <v>2919</v>
      </c>
    </row>
    <row r="693" spans="1:3" ht="14.4" x14ac:dyDescent="0.3">
      <c r="A693" s="90" t="s">
        <v>3635</v>
      </c>
      <c r="B693" s="90" t="s">
        <v>2005</v>
      </c>
      <c r="C693" s="90" t="s">
        <v>2003</v>
      </c>
    </row>
    <row r="694" spans="1:3" ht="14.4" x14ac:dyDescent="0.3">
      <c r="A694" s="90" t="s">
        <v>3636</v>
      </c>
      <c r="B694" s="90" t="s">
        <v>2935</v>
      </c>
      <c r="C694" s="90" t="s">
        <v>2932</v>
      </c>
    </row>
    <row r="695" spans="1:3" ht="14.4" x14ac:dyDescent="0.3">
      <c r="A695" s="90" t="s">
        <v>3637</v>
      </c>
      <c r="B695" s="90" t="s">
        <v>2925</v>
      </c>
      <c r="C695" s="90" t="s">
        <v>2919</v>
      </c>
    </row>
    <row r="696" spans="1:3" ht="14.4" x14ac:dyDescent="0.3">
      <c r="A696" s="90" t="s">
        <v>3638</v>
      </c>
      <c r="B696" s="90" t="s">
        <v>1763</v>
      </c>
      <c r="C696" s="90" t="s">
        <v>1741</v>
      </c>
    </row>
    <row r="697" spans="1:3" ht="14.4" x14ac:dyDescent="0.3">
      <c r="A697" s="90" t="s">
        <v>3639</v>
      </c>
      <c r="B697" s="90" t="s">
        <v>2129</v>
      </c>
      <c r="C697" s="90" t="s">
        <v>2124</v>
      </c>
    </row>
    <row r="698" spans="1:3" ht="14.4" x14ac:dyDescent="0.3">
      <c r="A698" s="90" t="s">
        <v>3640</v>
      </c>
      <c r="B698" s="90" t="s">
        <v>2033</v>
      </c>
      <c r="C698" s="90" t="s">
        <v>2015</v>
      </c>
    </row>
    <row r="699" spans="1:3" ht="14.4" x14ac:dyDescent="0.3">
      <c r="A699" s="90" t="s">
        <v>3641</v>
      </c>
      <c r="B699" s="90" t="s">
        <v>2435</v>
      </c>
      <c r="C699" s="90" t="s">
        <v>2421</v>
      </c>
    </row>
    <row r="700" spans="1:3" ht="14.4" x14ac:dyDescent="0.3">
      <c r="A700" s="90" t="s">
        <v>3642</v>
      </c>
      <c r="B700" s="90" t="s">
        <v>1616</v>
      </c>
      <c r="C700" s="90" t="s">
        <v>1606</v>
      </c>
    </row>
    <row r="701" spans="1:3" ht="14.4" x14ac:dyDescent="0.3">
      <c r="A701" s="90" t="s">
        <v>3643</v>
      </c>
      <c r="B701" s="90" t="s">
        <v>2037</v>
      </c>
      <c r="C701" s="90" t="s">
        <v>2015</v>
      </c>
    </row>
    <row r="702" spans="1:3" ht="14.4" x14ac:dyDescent="0.3">
      <c r="A702" s="90" t="s">
        <v>3644</v>
      </c>
      <c r="B702" s="90" t="s">
        <v>522</v>
      </c>
      <c r="C702" s="90" t="s">
        <v>449</v>
      </c>
    </row>
    <row r="703" spans="1:3" ht="14.4" x14ac:dyDescent="0.3">
      <c r="A703" s="90" t="s">
        <v>3645</v>
      </c>
      <c r="B703" s="90" t="s">
        <v>273</v>
      </c>
      <c r="C703" s="90" t="s">
        <v>203</v>
      </c>
    </row>
    <row r="704" spans="1:3" ht="14.4" x14ac:dyDescent="0.3">
      <c r="A704" s="90" t="s">
        <v>3646</v>
      </c>
      <c r="B704" s="90" t="s">
        <v>2264</v>
      </c>
      <c r="C704" s="90" t="s">
        <v>2257</v>
      </c>
    </row>
    <row r="705" spans="1:3" ht="14.4" x14ac:dyDescent="0.3">
      <c r="A705" s="90" t="s">
        <v>3647</v>
      </c>
      <c r="B705" s="90" t="s">
        <v>2856</v>
      </c>
      <c r="C705" s="90" t="s">
        <v>2852</v>
      </c>
    </row>
    <row r="706" spans="1:3" ht="14.4" x14ac:dyDescent="0.3">
      <c r="A706" s="90" t="s">
        <v>3648</v>
      </c>
      <c r="B706" s="90" t="s">
        <v>845</v>
      </c>
      <c r="C706" s="90" t="s">
        <v>841</v>
      </c>
    </row>
    <row r="707" spans="1:3" ht="14.4" x14ac:dyDescent="0.3">
      <c r="A707" s="90" t="s">
        <v>3649</v>
      </c>
      <c r="B707" s="90" t="s">
        <v>55</v>
      </c>
      <c r="C707" s="90" t="s">
        <v>50</v>
      </c>
    </row>
    <row r="708" spans="1:3" ht="14.4" x14ac:dyDescent="0.3">
      <c r="A708" s="90" t="s">
        <v>3650</v>
      </c>
      <c r="B708" s="90" t="s">
        <v>180</v>
      </c>
      <c r="C708" s="90" t="s">
        <v>168</v>
      </c>
    </row>
    <row r="709" spans="1:3" ht="14.4" x14ac:dyDescent="0.3">
      <c r="A709" s="90" t="s">
        <v>3651</v>
      </c>
      <c r="B709" s="90" t="s">
        <v>2938</v>
      </c>
      <c r="C709" s="90" t="s">
        <v>2932</v>
      </c>
    </row>
    <row r="710" spans="1:3" ht="14.4" x14ac:dyDescent="0.3">
      <c r="A710" s="90" t="s">
        <v>3652</v>
      </c>
      <c r="B710" s="90" t="s">
        <v>2578</v>
      </c>
      <c r="C710" s="90" t="s">
        <v>2489</v>
      </c>
    </row>
    <row r="711" spans="1:3" ht="14.4" x14ac:dyDescent="0.3">
      <c r="A711" s="90" t="s">
        <v>3653</v>
      </c>
      <c r="B711" s="90" t="s">
        <v>2529</v>
      </c>
      <c r="C711" s="90" t="s">
        <v>2489</v>
      </c>
    </row>
    <row r="712" spans="1:3" ht="14.4" x14ac:dyDescent="0.3">
      <c r="A712" s="90" t="s">
        <v>3654</v>
      </c>
      <c r="B712" s="90" t="s">
        <v>994</v>
      </c>
      <c r="C712" s="90" t="s">
        <v>972</v>
      </c>
    </row>
    <row r="713" spans="1:3" ht="14.4" x14ac:dyDescent="0.3">
      <c r="A713" s="90" t="s">
        <v>3655</v>
      </c>
      <c r="B713" s="90" t="s">
        <v>23</v>
      </c>
      <c r="C713" s="90" t="s">
        <v>7</v>
      </c>
    </row>
    <row r="714" spans="1:3" ht="14.4" x14ac:dyDescent="0.3">
      <c r="A714" s="90" t="s">
        <v>3656</v>
      </c>
      <c r="B714" s="90" t="s">
        <v>2337</v>
      </c>
      <c r="C714" s="90" t="s">
        <v>2328</v>
      </c>
    </row>
    <row r="715" spans="1:3" ht="14.4" x14ac:dyDescent="0.3">
      <c r="A715" s="90" t="s">
        <v>3657</v>
      </c>
      <c r="B715" s="90" t="s">
        <v>2109</v>
      </c>
      <c r="C715" s="90" t="s">
        <v>2106</v>
      </c>
    </row>
    <row r="716" spans="1:3" ht="14.4" x14ac:dyDescent="0.3">
      <c r="A716" s="90" t="s">
        <v>3658</v>
      </c>
      <c r="B716" s="90" t="s">
        <v>47</v>
      </c>
      <c r="C716" s="90" t="s">
        <v>42</v>
      </c>
    </row>
    <row r="717" spans="1:3" ht="14.4" x14ac:dyDescent="0.3">
      <c r="A717" s="90" t="s">
        <v>3659</v>
      </c>
      <c r="B717" s="90" t="s">
        <v>842</v>
      </c>
      <c r="C717" s="90" t="s">
        <v>841</v>
      </c>
    </row>
    <row r="718" spans="1:3" ht="14.4" x14ac:dyDescent="0.3">
      <c r="A718" s="90" t="s">
        <v>3660</v>
      </c>
      <c r="B718" s="90" t="s">
        <v>2192</v>
      </c>
      <c r="C718" s="90" t="s">
        <v>2182</v>
      </c>
    </row>
    <row r="719" spans="1:3" ht="14.4" x14ac:dyDescent="0.3">
      <c r="A719" s="90" t="s">
        <v>3661</v>
      </c>
      <c r="B719" s="90" t="s">
        <v>912</v>
      </c>
      <c r="C719" s="90" t="s">
        <v>909</v>
      </c>
    </row>
    <row r="720" spans="1:3" ht="14.4" x14ac:dyDescent="0.3">
      <c r="A720" s="90" t="s">
        <v>3662</v>
      </c>
      <c r="B720" s="90" t="s">
        <v>1179</v>
      </c>
      <c r="C720" s="90" t="s">
        <v>1173</v>
      </c>
    </row>
    <row r="721" spans="1:3" ht="14.4" x14ac:dyDescent="0.3">
      <c r="A721" s="90" t="s">
        <v>3663</v>
      </c>
      <c r="B721" s="90" t="s">
        <v>2135</v>
      </c>
      <c r="C721" s="90" t="s">
        <v>2124</v>
      </c>
    </row>
    <row r="722" spans="1:3" ht="14.4" x14ac:dyDescent="0.3">
      <c r="A722" s="90" t="s">
        <v>3664</v>
      </c>
      <c r="B722" s="90" t="s">
        <v>1212</v>
      </c>
      <c r="C722" s="90" t="s">
        <v>1208</v>
      </c>
    </row>
    <row r="723" spans="1:3" ht="14.4" x14ac:dyDescent="0.3">
      <c r="A723" s="90" t="s">
        <v>3665</v>
      </c>
      <c r="B723" s="90" t="s">
        <v>2133</v>
      </c>
      <c r="C723" s="90" t="s">
        <v>2124</v>
      </c>
    </row>
    <row r="724" spans="1:3" ht="14.4" x14ac:dyDescent="0.3">
      <c r="A724" s="90" t="s">
        <v>3666</v>
      </c>
      <c r="B724" s="90" t="s">
        <v>1565</v>
      </c>
      <c r="C724" s="90" t="s">
        <v>1562</v>
      </c>
    </row>
    <row r="725" spans="1:3" ht="14.4" x14ac:dyDescent="0.3">
      <c r="A725" s="90" t="s">
        <v>3667</v>
      </c>
      <c r="B725" s="90" t="s">
        <v>2299</v>
      </c>
      <c r="C725" s="90" t="s">
        <v>2275</v>
      </c>
    </row>
    <row r="726" spans="1:3" ht="14.4" x14ac:dyDescent="0.3">
      <c r="A726" s="90" t="s">
        <v>3668</v>
      </c>
      <c r="B726" s="90" t="s">
        <v>1051</v>
      </c>
      <c r="C726" s="90" t="s">
        <v>1050</v>
      </c>
    </row>
    <row r="727" spans="1:3" ht="14.4" x14ac:dyDescent="0.3">
      <c r="A727" s="90" t="s">
        <v>3669</v>
      </c>
      <c r="B727" s="90" t="s">
        <v>463</v>
      </c>
      <c r="C727" s="90" t="s">
        <v>449</v>
      </c>
    </row>
    <row r="728" spans="1:3" ht="14.4" x14ac:dyDescent="0.3">
      <c r="A728" s="90" t="s">
        <v>3670</v>
      </c>
      <c r="B728" s="90" t="s">
        <v>1873</v>
      </c>
      <c r="C728" s="90" t="s">
        <v>1863</v>
      </c>
    </row>
    <row r="729" spans="1:3" ht="14.4" x14ac:dyDescent="0.3">
      <c r="A729" s="90" t="s">
        <v>3671</v>
      </c>
      <c r="B729" s="90" t="s">
        <v>752</v>
      </c>
      <c r="C729" s="90" t="s">
        <v>744</v>
      </c>
    </row>
    <row r="730" spans="1:3" ht="14.4" x14ac:dyDescent="0.3">
      <c r="A730" s="90" t="s">
        <v>3672</v>
      </c>
      <c r="B730" s="90" t="s">
        <v>2280</v>
      </c>
      <c r="C730" s="90" t="s">
        <v>2275</v>
      </c>
    </row>
    <row r="731" spans="1:3" ht="14.4" x14ac:dyDescent="0.3">
      <c r="A731" s="90" t="s">
        <v>3673</v>
      </c>
      <c r="B731" s="90" t="s">
        <v>881</v>
      </c>
      <c r="C731" s="90" t="s">
        <v>874</v>
      </c>
    </row>
    <row r="732" spans="1:3" ht="14.4" x14ac:dyDescent="0.3">
      <c r="A732" s="90" t="s">
        <v>3674</v>
      </c>
      <c r="B732" s="90" t="s">
        <v>2134</v>
      </c>
      <c r="C732" s="90" t="s">
        <v>2124</v>
      </c>
    </row>
    <row r="733" spans="1:3" ht="14.4" x14ac:dyDescent="0.3">
      <c r="A733" s="90" t="s">
        <v>3675</v>
      </c>
      <c r="B733" s="90" t="s">
        <v>965</v>
      </c>
      <c r="C733" s="90" t="s">
        <v>961</v>
      </c>
    </row>
    <row r="734" spans="1:3" ht="14.4" x14ac:dyDescent="0.3">
      <c r="A734" s="90" t="s">
        <v>3676</v>
      </c>
      <c r="B734" s="90" t="s">
        <v>2910</v>
      </c>
      <c r="C734" s="90" t="s">
        <v>2904</v>
      </c>
    </row>
    <row r="735" spans="1:3" ht="14.4" x14ac:dyDescent="0.3">
      <c r="A735" s="90" t="s">
        <v>3677</v>
      </c>
      <c r="B735" s="90" t="s">
        <v>22</v>
      </c>
      <c r="C735" s="90" t="s">
        <v>7</v>
      </c>
    </row>
    <row r="736" spans="1:3" ht="14.4" x14ac:dyDescent="0.3">
      <c r="A736" s="90" t="s">
        <v>3678</v>
      </c>
      <c r="B736" s="90" t="s">
        <v>1398</v>
      </c>
      <c r="C736" s="90" t="s">
        <v>1392</v>
      </c>
    </row>
    <row r="737" spans="1:3" ht="14.4" x14ac:dyDescent="0.3">
      <c r="A737" s="90" t="s">
        <v>3679</v>
      </c>
      <c r="B737" s="90" t="s">
        <v>813</v>
      </c>
      <c r="C737" s="90" t="s">
        <v>800</v>
      </c>
    </row>
    <row r="738" spans="1:3" ht="14.4" x14ac:dyDescent="0.3">
      <c r="A738" s="90" t="s">
        <v>3680</v>
      </c>
      <c r="B738" s="90" t="s">
        <v>954</v>
      </c>
      <c r="C738" s="90" t="s">
        <v>916</v>
      </c>
    </row>
    <row r="739" spans="1:3" ht="14.4" x14ac:dyDescent="0.3">
      <c r="A739" s="90" t="s">
        <v>3681</v>
      </c>
      <c r="B739" s="90" t="s">
        <v>2236</v>
      </c>
      <c r="C739" s="90" t="s">
        <v>2234</v>
      </c>
    </row>
    <row r="740" spans="1:3" ht="14.4" x14ac:dyDescent="0.3">
      <c r="A740" s="90" t="s">
        <v>3682</v>
      </c>
      <c r="B740" s="90" t="s">
        <v>127</v>
      </c>
      <c r="C740" s="90" t="s">
        <v>116</v>
      </c>
    </row>
    <row r="741" spans="1:3" ht="14.4" x14ac:dyDescent="0.3">
      <c r="A741" s="90" t="s">
        <v>3683</v>
      </c>
      <c r="B741" s="90" t="s">
        <v>918</v>
      </c>
      <c r="C741" s="90" t="s">
        <v>916</v>
      </c>
    </row>
    <row r="742" spans="1:3" ht="14.4" x14ac:dyDescent="0.3">
      <c r="A742" s="90" t="s">
        <v>3684</v>
      </c>
      <c r="B742" s="90" t="s">
        <v>2471</v>
      </c>
      <c r="C742" s="90" t="s">
        <v>2468</v>
      </c>
    </row>
    <row r="743" spans="1:3" ht="14.4" x14ac:dyDescent="0.3">
      <c r="A743" s="90" t="s">
        <v>3685</v>
      </c>
      <c r="B743" s="90" t="s">
        <v>2741</v>
      </c>
      <c r="C743" s="90" t="s">
        <v>2740</v>
      </c>
    </row>
    <row r="744" spans="1:3" ht="14.4" x14ac:dyDescent="0.3">
      <c r="A744" s="90" t="s">
        <v>3686</v>
      </c>
      <c r="B744" s="90" t="s">
        <v>2300</v>
      </c>
      <c r="C744" s="90" t="s">
        <v>2275</v>
      </c>
    </row>
    <row r="745" spans="1:3" ht="14.4" x14ac:dyDescent="0.3">
      <c r="A745" s="90" t="s">
        <v>3687</v>
      </c>
      <c r="B745" s="90" t="s">
        <v>2436</v>
      </c>
      <c r="C745" s="90" t="s">
        <v>2421</v>
      </c>
    </row>
    <row r="746" spans="1:3" ht="14.4" x14ac:dyDescent="0.3">
      <c r="A746" s="90" t="s">
        <v>3688</v>
      </c>
      <c r="B746" s="90" t="s">
        <v>1604</v>
      </c>
      <c r="C746" s="90" t="s">
        <v>1580</v>
      </c>
    </row>
    <row r="747" spans="1:3" ht="14.4" x14ac:dyDescent="0.3">
      <c r="A747" s="90" t="s">
        <v>3689</v>
      </c>
      <c r="B747" s="90" t="s">
        <v>1582</v>
      </c>
      <c r="C747" s="90" t="s">
        <v>1580</v>
      </c>
    </row>
    <row r="748" spans="1:3" ht="14.4" x14ac:dyDescent="0.3">
      <c r="A748" s="90" t="s">
        <v>3690</v>
      </c>
      <c r="B748" s="90" t="s">
        <v>1581</v>
      </c>
      <c r="C748" s="90" t="s">
        <v>1580</v>
      </c>
    </row>
    <row r="749" spans="1:3" ht="14.4" x14ac:dyDescent="0.3">
      <c r="A749" s="90" t="s">
        <v>3691</v>
      </c>
      <c r="B749" s="90" t="s">
        <v>1929</v>
      </c>
      <c r="C749" s="90" t="s">
        <v>1926</v>
      </c>
    </row>
    <row r="750" spans="1:3" ht="14.4" x14ac:dyDescent="0.3">
      <c r="A750" s="90" t="s">
        <v>3692</v>
      </c>
      <c r="B750" s="90" t="s">
        <v>1956</v>
      </c>
      <c r="C750" s="90" t="s">
        <v>1955</v>
      </c>
    </row>
    <row r="751" spans="1:3" ht="14.4" x14ac:dyDescent="0.3">
      <c r="A751" s="90" t="s">
        <v>3693</v>
      </c>
      <c r="B751" s="90" t="s">
        <v>1853</v>
      </c>
      <c r="C751" s="90" t="s">
        <v>1848</v>
      </c>
    </row>
    <row r="752" spans="1:3" ht="14.4" x14ac:dyDescent="0.3">
      <c r="A752" s="90" t="s">
        <v>3694</v>
      </c>
      <c r="B752" s="90" t="s">
        <v>2704</v>
      </c>
      <c r="C752" s="90" t="s">
        <v>2683</v>
      </c>
    </row>
    <row r="753" spans="1:3" ht="14.4" x14ac:dyDescent="0.3">
      <c r="A753" s="90" t="s">
        <v>3695</v>
      </c>
      <c r="B753" s="90" t="s">
        <v>76</v>
      </c>
      <c r="C753" s="90" t="s">
        <v>72</v>
      </c>
    </row>
    <row r="754" spans="1:3" ht="14.4" x14ac:dyDescent="0.3">
      <c r="A754" s="90" t="s">
        <v>3696</v>
      </c>
      <c r="B754" s="90" t="s">
        <v>1589</v>
      </c>
      <c r="C754" s="90" t="s">
        <v>1580</v>
      </c>
    </row>
    <row r="755" spans="1:3" ht="14.4" x14ac:dyDescent="0.3">
      <c r="A755" s="90" t="s">
        <v>3697</v>
      </c>
      <c r="B755" s="90" t="s">
        <v>181</v>
      </c>
      <c r="C755" s="90" t="s">
        <v>168</v>
      </c>
    </row>
    <row r="756" spans="1:3" ht="14.4" x14ac:dyDescent="0.3">
      <c r="A756" s="90" t="s">
        <v>3698</v>
      </c>
      <c r="B756" s="90" t="s">
        <v>2132</v>
      </c>
      <c r="C756" s="90" t="s">
        <v>2124</v>
      </c>
    </row>
    <row r="757" spans="1:3" ht="14.4" x14ac:dyDescent="0.3">
      <c r="A757" s="90" t="s">
        <v>3699</v>
      </c>
      <c r="B757" s="90" t="s">
        <v>104</v>
      </c>
      <c r="C757" s="90" t="s">
        <v>91</v>
      </c>
    </row>
    <row r="758" spans="1:3" ht="14.4" x14ac:dyDescent="0.3">
      <c r="A758" s="90" t="s">
        <v>3700</v>
      </c>
      <c r="B758" s="90" t="s">
        <v>966</v>
      </c>
      <c r="C758" s="90" t="s">
        <v>961</v>
      </c>
    </row>
    <row r="759" spans="1:3" ht="14.4" x14ac:dyDescent="0.3">
      <c r="A759" s="90" t="s">
        <v>3701</v>
      </c>
      <c r="B759" s="90" t="s">
        <v>694</v>
      </c>
      <c r="C759" s="90" t="s">
        <v>675</v>
      </c>
    </row>
    <row r="760" spans="1:3" ht="14.4" x14ac:dyDescent="0.3">
      <c r="A760" s="90" t="s">
        <v>3702</v>
      </c>
      <c r="B760" s="90" t="s">
        <v>1346</v>
      </c>
      <c r="C760" s="90" t="s">
        <v>1338</v>
      </c>
    </row>
    <row r="761" spans="1:3" ht="14.4" x14ac:dyDescent="0.3">
      <c r="A761" s="90" t="s">
        <v>3703</v>
      </c>
      <c r="B761" s="90" t="s">
        <v>695</v>
      </c>
      <c r="C761" s="90" t="s">
        <v>675</v>
      </c>
    </row>
    <row r="762" spans="1:3" ht="14.4" x14ac:dyDescent="0.3">
      <c r="A762" s="90" t="s">
        <v>3704</v>
      </c>
      <c r="B762" s="90" t="s">
        <v>2281</v>
      </c>
      <c r="C762" s="90" t="s">
        <v>2275</v>
      </c>
    </row>
    <row r="763" spans="1:3" ht="14.4" x14ac:dyDescent="0.3">
      <c r="A763" s="90" t="s">
        <v>3705</v>
      </c>
      <c r="B763" s="90" t="s">
        <v>1823</v>
      </c>
      <c r="C763" s="90" t="s">
        <v>1800</v>
      </c>
    </row>
    <row r="764" spans="1:3" ht="14.4" x14ac:dyDescent="0.3">
      <c r="A764" s="90" t="s">
        <v>3706</v>
      </c>
      <c r="B764" s="90" t="s">
        <v>1767</v>
      </c>
      <c r="C764" s="90" t="s">
        <v>1741</v>
      </c>
    </row>
    <row r="765" spans="1:3" ht="14.4" x14ac:dyDescent="0.3">
      <c r="A765" s="90" t="s">
        <v>3707</v>
      </c>
      <c r="B765" s="90" t="s">
        <v>1732</v>
      </c>
      <c r="C765" s="90" t="s">
        <v>1727</v>
      </c>
    </row>
    <row r="766" spans="1:3" ht="14.4" x14ac:dyDescent="0.3">
      <c r="A766" s="90" t="s">
        <v>3708</v>
      </c>
      <c r="B766" s="90" t="s">
        <v>2080</v>
      </c>
      <c r="C766" s="90" t="s">
        <v>2066</v>
      </c>
    </row>
    <row r="767" spans="1:3" ht="14.4" x14ac:dyDescent="0.3">
      <c r="A767" s="90" t="s">
        <v>3709</v>
      </c>
      <c r="B767" s="90" t="s">
        <v>649</v>
      </c>
      <c r="C767" s="90" t="s">
        <v>627</v>
      </c>
    </row>
    <row r="768" spans="1:3" ht="14.4" x14ac:dyDescent="0.3">
      <c r="A768" s="90" t="s">
        <v>3710</v>
      </c>
      <c r="B768" s="90" t="s">
        <v>171</v>
      </c>
      <c r="C768" s="90" t="s">
        <v>168</v>
      </c>
    </row>
    <row r="769" spans="1:3" ht="14.4" x14ac:dyDescent="0.3">
      <c r="A769" s="90" t="s">
        <v>3711</v>
      </c>
      <c r="B769" s="90" t="s">
        <v>995</v>
      </c>
      <c r="C769" s="90" t="s">
        <v>972</v>
      </c>
    </row>
    <row r="770" spans="1:3" ht="14.4" x14ac:dyDescent="0.3">
      <c r="A770" s="90" t="s">
        <v>3712</v>
      </c>
      <c r="B770" s="90" t="s">
        <v>778</v>
      </c>
      <c r="C770" s="90" t="s">
        <v>776</v>
      </c>
    </row>
    <row r="771" spans="1:3" ht="14.4" x14ac:dyDescent="0.3">
      <c r="A771" s="90" t="s">
        <v>3713</v>
      </c>
      <c r="B771" s="90" t="s">
        <v>2595</v>
      </c>
      <c r="C771" s="90" t="s">
        <v>2589</v>
      </c>
    </row>
    <row r="772" spans="1:3" ht="14.4" x14ac:dyDescent="0.3">
      <c r="A772" s="90" t="s">
        <v>3714</v>
      </c>
      <c r="B772" s="90" t="s">
        <v>1062</v>
      </c>
      <c r="C772" s="90" t="s">
        <v>1050</v>
      </c>
    </row>
    <row r="773" spans="1:3" ht="14.4" x14ac:dyDescent="0.3">
      <c r="A773" s="90" t="s">
        <v>3715</v>
      </c>
      <c r="B773" s="90" t="s">
        <v>438</v>
      </c>
      <c r="C773" s="90" t="s">
        <v>437</v>
      </c>
    </row>
    <row r="774" spans="1:3" ht="14.4" x14ac:dyDescent="0.3">
      <c r="A774" s="90" t="s">
        <v>3716</v>
      </c>
      <c r="B774" s="90" t="s">
        <v>2301</v>
      </c>
      <c r="C774" s="90" t="s">
        <v>2275</v>
      </c>
    </row>
    <row r="775" spans="1:3" ht="14.4" x14ac:dyDescent="0.3">
      <c r="A775" s="90" t="s">
        <v>3717</v>
      </c>
      <c r="B775" s="90" t="s">
        <v>2110</v>
      </c>
      <c r="C775" s="90" t="s">
        <v>2106</v>
      </c>
    </row>
    <row r="776" spans="1:3" ht="14.4" x14ac:dyDescent="0.3">
      <c r="A776" s="90" t="s">
        <v>3718</v>
      </c>
      <c r="B776" s="90" t="s">
        <v>2094</v>
      </c>
      <c r="C776" s="90" t="s">
        <v>2087</v>
      </c>
    </row>
    <row r="777" spans="1:3" ht="14.4" x14ac:dyDescent="0.3">
      <c r="A777" s="90" t="s">
        <v>3719</v>
      </c>
      <c r="B777" s="90" t="s">
        <v>2296</v>
      </c>
      <c r="C777" s="90" t="s">
        <v>2275</v>
      </c>
    </row>
    <row r="778" spans="1:3" ht="14.4" x14ac:dyDescent="0.3">
      <c r="A778" s="90" t="s">
        <v>3720</v>
      </c>
      <c r="B778" s="90" t="s">
        <v>1809</v>
      </c>
      <c r="C778" s="90" t="s">
        <v>1800</v>
      </c>
    </row>
    <row r="779" spans="1:3" ht="14.4" x14ac:dyDescent="0.3">
      <c r="A779" s="90" t="s">
        <v>3721</v>
      </c>
      <c r="B779" s="90" t="s">
        <v>1063</v>
      </c>
      <c r="C779" s="90" t="s">
        <v>1050</v>
      </c>
    </row>
    <row r="780" spans="1:3" ht="14.4" x14ac:dyDescent="0.3">
      <c r="A780" s="90" t="s">
        <v>3722</v>
      </c>
      <c r="B780" s="90" t="s">
        <v>2437</v>
      </c>
      <c r="C780" s="90" t="s">
        <v>2421</v>
      </c>
    </row>
    <row r="781" spans="1:3" ht="14.4" x14ac:dyDescent="0.3">
      <c r="A781" s="90" t="s">
        <v>3723</v>
      </c>
      <c r="B781" s="90" t="s">
        <v>2605</v>
      </c>
      <c r="C781" s="90" t="s">
        <v>2589</v>
      </c>
    </row>
    <row r="782" spans="1:3" ht="14.4" x14ac:dyDescent="0.3">
      <c r="A782" s="90" t="s">
        <v>3724</v>
      </c>
      <c r="B782" s="90" t="s">
        <v>103</v>
      </c>
      <c r="C782" s="90" t="s">
        <v>91</v>
      </c>
    </row>
    <row r="783" spans="1:3" ht="14.4" x14ac:dyDescent="0.3">
      <c r="A783" s="90" t="s">
        <v>3725</v>
      </c>
      <c r="B783" s="90" t="s">
        <v>2884</v>
      </c>
      <c r="C783" s="90" t="s">
        <v>2874</v>
      </c>
    </row>
    <row r="784" spans="1:3" ht="14.4" x14ac:dyDescent="0.3">
      <c r="A784" s="90" t="s">
        <v>3726</v>
      </c>
      <c r="B784" s="90" t="s">
        <v>2885</v>
      </c>
      <c r="C784" s="90" t="s">
        <v>2874</v>
      </c>
    </row>
    <row r="785" spans="1:3" ht="14.4" x14ac:dyDescent="0.3">
      <c r="A785" s="90" t="s">
        <v>3727</v>
      </c>
      <c r="B785" s="90" t="s">
        <v>1617</v>
      </c>
      <c r="C785" s="90" t="s">
        <v>1606</v>
      </c>
    </row>
    <row r="786" spans="1:3" ht="14.4" x14ac:dyDescent="0.3">
      <c r="A786" s="90" t="s">
        <v>3728</v>
      </c>
      <c r="B786" s="90" t="s">
        <v>523</v>
      </c>
      <c r="C786" s="90" t="s">
        <v>449</v>
      </c>
    </row>
    <row r="787" spans="1:3" ht="14.4" x14ac:dyDescent="0.3">
      <c r="A787" s="90" t="s">
        <v>3729</v>
      </c>
      <c r="B787" s="90" t="s">
        <v>2604</v>
      </c>
      <c r="C787" s="90" t="s">
        <v>2589</v>
      </c>
    </row>
    <row r="788" spans="1:3" ht="14.4" x14ac:dyDescent="0.3">
      <c r="A788" s="90" t="s">
        <v>3730</v>
      </c>
      <c r="B788" s="90" t="s">
        <v>1768</v>
      </c>
      <c r="C788" s="90" t="s">
        <v>1741</v>
      </c>
    </row>
    <row r="789" spans="1:3" ht="14.4" x14ac:dyDescent="0.3">
      <c r="A789" s="90" t="s">
        <v>3731</v>
      </c>
      <c r="B789" s="90" t="s">
        <v>2167</v>
      </c>
      <c r="C789" s="90" t="s">
        <v>2153</v>
      </c>
    </row>
    <row r="790" spans="1:3" ht="14.4" x14ac:dyDescent="0.3">
      <c r="A790" s="90" t="s">
        <v>3732</v>
      </c>
      <c r="B790" s="90" t="s">
        <v>1347</v>
      </c>
      <c r="C790" s="90" t="s">
        <v>1338</v>
      </c>
    </row>
    <row r="791" spans="1:3" ht="14.4" x14ac:dyDescent="0.3">
      <c r="A791" s="90" t="s">
        <v>3733</v>
      </c>
      <c r="B791" s="90" t="s">
        <v>931</v>
      </c>
      <c r="C791" s="90" t="s">
        <v>916</v>
      </c>
    </row>
    <row r="792" spans="1:3" ht="14.4" x14ac:dyDescent="0.3">
      <c r="A792" s="90" t="s">
        <v>3734</v>
      </c>
      <c r="B792" s="90" t="s">
        <v>1316</v>
      </c>
      <c r="C792" s="90" t="s">
        <v>1313</v>
      </c>
    </row>
    <row r="793" spans="1:3" ht="14.4" x14ac:dyDescent="0.3">
      <c r="A793" s="90" t="s">
        <v>3735</v>
      </c>
      <c r="B793" s="90" t="s">
        <v>1156</v>
      </c>
      <c r="C793" s="90" t="s">
        <v>1147</v>
      </c>
    </row>
    <row r="794" spans="1:3" ht="14.4" x14ac:dyDescent="0.3">
      <c r="A794" s="90" t="s">
        <v>3736</v>
      </c>
      <c r="B794" s="90" t="s">
        <v>2868</v>
      </c>
      <c r="C794" s="90" t="s">
        <v>2866</v>
      </c>
    </row>
    <row r="795" spans="1:3" ht="14.4" x14ac:dyDescent="0.3">
      <c r="A795" s="90" t="s">
        <v>3737</v>
      </c>
      <c r="B795" s="90" t="s">
        <v>1137</v>
      </c>
      <c r="C795" s="90" t="s">
        <v>1134</v>
      </c>
    </row>
    <row r="796" spans="1:3" ht="14.4" x14ac:dyDescent="0.3">
      <c r="A796" s="90" t="s">
        <v>3738</v>
      </c>
      <c r="B796" s="90" t="s">
        <v>2276</v>
      </c>
      <c r="C796" s="90" t="s">
        <v>2275</v>
      </c>
    </row>
    <row r="797" spans="1:3" ht="14.4" x14ac:dyDescent="0.3">
      <c r="A797" s="90" t="s">
        <v>3739</v>
      </c>
      <c r="B797" s="90" t="s">
        <v>2705</v>
      </c>
      <c r="C797" s="90" t="s">
        <v>2683</v>
      </c>
    </row>
    <row r="798" spans="1:3" ht="14.4" x14ac:dyDescent="0.3">
      <c r="A798" s="90" t="s">
        <v>3740</v>
      </c>
      <c r="B798" s="90" t="s">
        <v>667</v>
      </c>
      <c r="C798" s="90" t="s">
        <v>661</v>
      </c>
    </row>
    <row r="799" spans="1:3" ht="14.4" x14ac:dyDescent="0.3">
      <c r="A799" s="90" t="s">
        <v>3741</v>
      </c>
      <c r="B799" s="90" t="s">
        <v>2491</v>
      </c>
      <c r="C799" s="90" t="s">
        <v>2489</v>
      </c>
    </row>
    <row r="800" spans="1:3" ht="14.4" x14ac:dyDescent="0.3">
      <c r="A800" s="90" t="s">
        <v>3742</v>
      </c>
      <c r="B800" s="90" t="s">
        <v>526</v>
      </c>
      <c r="C800" s="90" t="s">
        <v>449</v>
      </c>
    </row>
    <row r="801" spans="1:3" ht="14.4" x14ac:dyDescent="0.3">
      <c r="A801" s="90" t="s">
        <v>3743</v>
      </c>
      <c r="B801" s="90" t="s">
        <v>2352</v>
      </c>
      <c r="C801" s="90" t="s">
        <v>2328</v>
      </c>
    </row>
    <row r="802" spans="1:3" ht="14.4" x14ac:dyDescent="0.3">
      <c r="A802" s="90" t="s">
        <v>3744</v>
      </c>
      <c r="B802" s="90" t="s">
        <v>2338</v>
      </c>
      <c r="C802" s="90" t="s">
        <v>2328</v>
      </c>
    </row>
    <row r="803" spans="1:3" ht="14.4" x14ac:dyDescent="0.3">
      <c r="A803" s="90" t="s">
        <v>3745</v>
      </c>
      <c r="B803" s="90" t="s">
        <v>1474</v>
      </c>
      <c r="C803" s="90" t="s">
        <v>1472</v>
      </c>
    </row>
    <row r="804" spans="1:3" ht="14.4" x14ac:dyDescent="0.3">
      <c r="A804" s="90" t="s">
        <v>3746</v>
      </c>
      <c r="B804" s="90" t="s">
        <v>2640</v>
      </c>
      <c r="C804" s="90" t="s">
        <v>2633</v>
      </c>
    </row>
    <row r="805" spans="1:3" ht="14.4" x14ac:dyDescent="0.3">
      <c r="A805" s="90" t="s">
        <v>3747</v>
      </c>
      <c r="B805" s="90" t="s">
        <v>2941</v>
      </c>
      <c r="C805" s="90" t="s">
        <v>2932</v>
      </c>
    </row>
    <row r="806" spans="1:3" ht="14.4" x14ac:dyDescent="0.3">
      <c r="A806" s="90" t="s">
        <v>3748</v>
      </c>
      <c r="B806" s="90" t="s">
        <v>2525</v>
      </c>
      <c r="C806" s="90" t="s">
        <v>2489</v>
      </c>
    </row>
    <row r="807" spans="1:3" ht="14.4" x14ac:dyDescent="0.3">
      <c r="A807" s="90" t="s">
        <v>3749</v>
      </c>
      <c r="B807" s="90" t="s">
        <v>129</v>
      </c>
      <c r="C807" s="90" t="s">
        <v>116</v>
      </c>
    </row>
    <row r="808" spans="1:3" ht="14.4" x14ac:dyDescent="0.3">
      <c r="A808" s="90" t="s">
        <v>3750</v>
      </c>
      <c r="B808" s="90" t="s">
        <v>1771</v>
      </c>
      <c r="C808" s="90" t="s">
        <v>1741</v>
      </c>
    </row>
    <row r="809" spans="1:3" ht="14.4" x14ac:dyDescent="0.3">
      <c r="A809" s="90" t="s">
        <v>3751</v>
      </c>
      <c r="B809" s="90" t="s">
        <v>2883</v>
      </c>
      <c r="C809" s="90" t="s">
        <v>2874</v>
      </c>
    </row>
    <row r="810" spans="1:3" ht="14.4" x14ac:dyDescent="0.3">
      <c r="A810" s="90" t="s">
        <v>3752</v>
      </c>
      <c r="B810" s="90" t="s">
        <v>524</v>
      </c>
      <c r="C810" s="90" t="s">
        <v>449</v>
      </c>
    </row>
    <row r="811" spans="1:3" ht="14.4" x14ac:dyDescent="0.3">
      <c r="A811" s="90" t="s">
        <v>3753</v>
      </c>
      <c r="B811" s="90" t="s">
        <v>525</v>
      </c>
      <c r="C811" s="90" t="s">
        <v>449</v>
      </c>
    </row>
    <row r="812" spans="1:3" ht="14.4" x14ac:dyDescent="0.3">
      <c r="A812" s="90" t="s">
        <v>3754</v>
      </c>
      <c r="B812" s="90" t="s">
        <v>2159</v>
      </c>
      <c r="C812" s="90" t="s">
        <v>2153</v>
      </c>
    </row>
    <row r="813" spans="1:3" ht="14.4" x14ac:dyDescent="0.3">
      <c r="A813" s="90" t="s">
        <v>3755</v>
      </c>
      <c r="B813" s="90" t="s">
        <v>2886</v>
      </c>
      <c r="C813" s="90" t="s">
        <v>2874</v>
      </c>
    </row>
    <row r="814" spans="1:3" ht="14.4" x14ac:dyDescent="0.3">
      <c r="A814" s="90" t="s">
        <v>3756</v>
      </c>
      <c r="B814" s="90" t="s">
        <v>697</v>
      </c>
      <c r="C814" s="90" t="s">
        <v>675</v>
      </c>
    </row>
    <row r="815" spans="1:3" ht="14.4" x14ac:dyDescent="0.3">
      <c r="A815" s="90" t="s">
        <v>3757</v>
      </c>
      <c r="B815" s="90" t="s">
        <v>846</v>
      </c>
      <c r="C815" s="90" t="s">
        <v>841</v>
      </c>
    </row>
    <row r="816" spans="1:3" ht="14.4" x14ac:dyDescent="0.3">
      <c r="A816" s="90" t="s">
        <v>3758</v>
      </c>
      <c r="B816" s="90" t="s">
        <v>288</v>
      </c>
      <c r="C816" s="90" t="s">
        <v>203</v>
      </c>
    </row>
    <row r="817" spans="1:3" ht="14.4" x14ac:dyDescent="0.3">
      <c r="A817" s="90" t="s">
        <v>3759</v>
      </c>
      <c r="B817" s="90" t="s">
        <v>696</v>
      </c>
      <c r="C817" s="90" t="s">
        <v>675</v>
      </c>
    </row>
    <row r="818" spans="1:3" ht="14.4" x14ac:dyDescent="0.3">
      <c r="A818" s="90" t="s">
        <v>3760</v>
      </c>
      <c r="B818" s="90" t="s">
        <v>287</v>
      </c>
      <c r="C818" s="90" t="s">
        <v>203</v>
      </c>
    </row>
    <row r="819" spans="1:3" ht="14.4" x14ac:dyDescent="0.3">
      <c r="A819" s="90" t="s">
        <v>3761</v>
      </c>
      <c r="B819" s="90" t="s">
        <v>2769</v>
      </c>
      <c r="C819" s="90" t="s">
        <v>2767</v>
      </c>
    </row>
    <row r="820" spans="1:3" ht="14.4" x14ac:dyDescent="0.3">
      <c r="A820" s="90" t="s">
        <v>3762</v>
      </c>
      <c r="B820" s="90" t="s">
        <v>2744</v>
      </c>
      <c r="C820" s="90" t="s">
        <v>2740</v>
      </c>
    </row>
    <row r="821" spans="1:3" ht="14.4" x14ac:dyDescent="0.3">
      <c r="A821" s="90" t="str">
        <f>CONCATENATE(B821, C821," FIRM")</f>
        <v>EGLEWaste Management FIRM</v>
      </c>
      <c r="B821" s="91" t="s">
        <v>3763</v>
      </c>
      <c r="C821" s="90" t="s">
        <v>2932</v>
      </c>
    </row>
    <row r="822" spans="1:3" ht="14.4" x14ac:dyDescent="0.3">
      <c r="A822" s="90" t="s">
        <v>3764</v>
      </c>
      <c r="B822" s="90" t="s">
        <v>1772</v>
      </c>
      <c r="C822" s="90" t="s">
        <v>1741</v>
      </c>
    </row>
    <row r="823" spans="1:3" ht="14.4" x14ac:dyDescent="0.3">
      <c r="A823" s="90" t="s">
        <v>3765</v>
      </c>
      <c r="B823" s="90" t="s">
        <v>2553</v>
      </c>
      <c r="C823" s="90" t="s">
        <v>2489</v>
      </c>
    </row>
    <row r="824" spans="1:3" ht="14.4" x14ac:dyDescent="0.3">
      <c r="A824" s="90" t="s">
        <v>3766</v>
      </c>
      <c r="B824" s="90" t="s">
        <v>2111</v>
      </c>
      <c r="C824" s="90" t="s">
        <v>2106</v>
      </c>
    </row>
    <row r="825" spans="1:3" ht="14.4" x14ac:dyDescent="0.3">
      <c r="A825" s="90" t="s">
        <v>3767</v>
      </c>
      <c r="B825" s="90" t="s">
        <v>1064</v>
      </c>
      <c r="C825" s="90" t="s">
        <v>1050</v>
      </c>
    </row>
    <row r="826" spans="1:3" ht="14.4" x14ac:dyDescent="0.3">
      <c r="A826" s="90" t="s">
        <v>3768</v>
      </c>
      <c r="B826" s="90" t="s">
        <v>1470</v>
      </c>
      <c r="C826" s="90" t="s">
        <v>1464</v>
      </c>
    </row>
    <row r="827" spans="1:3" ht="14.4" x14ac:dyDescent="0.3">
      <c r="A827" s="90" t="s">
        <v>3769</v>
      </c>
      <c r="B827" s="90" t="s">
        <v>1456</v>
      </c>
      <c r="C827" s="90" t="s">
        <v>1451</v>
      </c>
    </row>
    <row r="828" spans="1:3" ht="14.4" x14ac:dyDescent="0.3">
      <c r="A828" s="90" t="s">
        <v>3770</v>
      </c>
      <c r="B828" s="90" t="s">
        <v>2531</v>
      </c>
      <c r="C828" s="90" t="s">
        <v>2489</v>
      </c>
    </row>
    <row r="829" spans="1:3" ht="14.4" x14ac:dyDescent="0.3">
      <c r="A829" s="90" t="s">
        <v>3771</v>
      </c>
      <c r="B829" s="90" t="s">
        <v>2876</v>
      </c>
      <c r="C829" s="90" t="s">
        <v>2874</v>
      </c>
    </row>
    <row r="830" spans="1:3" ht="14.4" x14ac:dyDescent="0.3">
      <c r="A830" s="90" t="s">
        <v>3772</v>
      </c>
      <c r="B830" s="90" t="s">
        <v>1311</v>
      </c>
      <c r="C830" s="90" t="s">
        <v>1292</v>
      </c>
    </row>
    <row r="831" spans="1:3" ht="14.4" x14ac:dyDescent="0.3">
      <c r="A831" s="90" t="s">
        <v>3773</v>
      </c>
      <c r="B831" s="90" t="s">
        <v>1298</v>
      </c>
      <c r="C831" s="90" t="s">
        <v>1292</v>
      </c>
    </row>
    <row r="832" spans="1:3" ht="14.4" x14ac:dyDescent="0.3">
      <c r="A832" s="90" t="s">
        <v>3774</v>
      </c>
      <c r="B832" s="90" t="s">
        <v>1683</v>
      </c>
      <c r="C832" s="90" t="s">
        <v>1681</v>
      </c>
    </row>
    <row r="833" spans="1:3" ht="14.4" x14ac:dyDescent="0.3">
      <c r="A833" s="90" t="s">
        <v>3775</v>
      </c>
      <c r="B833" s="90" t="s">
        <v>2530</v>
      </c>
      <c r="C833" s="90" t="s">
        <v>2489</v>
      </c>
    </row>
    <row r="834" spans="1:3" ht="14.4" x14ac:dyDescent="0.3">
      <c r="A834" s="90" t="s">
        <v>3776</v>
      </c>
      <c r="B834" s="90" t="s">
        <v>2168</v>
      </c>
      <c r="C834" s="90" t="s">
        <v>2153</v>
      </c>
    </row>
    <row r="835" spans="1:3" ht="14.4" x14ac:dyDescent="0.3">
      <c r="A835" s="90" t="s">
        <v>3777</v>
      </c>
      <c r="B835" s="90" t="s">
        <v>1521</v>
      </c>
      <c r="C835" s="90" t="s">
        <v>1513</v>
      </c>
    </row>
    <row r="836" spans="1:3" ht="14.4" x14ac:dyDescent="0.3">
      <c r="A836" s="90" t="s">
        <v>3778</v>
      </c>
      <c r="B836" s="90" t="s">
        <v>1415</v>
      </c>
      <c r="C836" s="90" t="s">
        <v>1392</v>
      </c>
    </row>
    <row r="837" spans="1:3" ht="14.4" x14ac:dyDescent="0.3">
      <c r="A837" s="90" t="s">
        <v>3779</v>
      </c>
      <c r="B837" s="90" t="s">
        <v>1157</v>
      </c>
      <c r="C837" s="90" t="s">
        <v>1147</v>
      </c>
    </row>
    <row r="838" spans="1:3" ht="14.4" x14ac:dyDescent="0.3">
      <c r="A838" s="90" t="s">
        <v>3780</v>
      </c>
      <c r="B838" s="90" t="s">
        <v>2439</v>
      </c>
      <c r="C838" s="90" t="s">
        <v>2421</v>
      </c>
    </row>
    <row r="839" spans="1:3" ht="14.4" x14ac:dyDescent="0.3">
      <c r="A839" s="90" t="s">
        <v>3781</v>
      </c>
      <c r="B839" s="90" t="s">
        <v>785</v>
      </c>
      <c r="C839" s="90" t="s">
        <v>776</v>
      </c>
    </row>
    <row r="840" spans="1:3" ht="14.4" x14ac:dyDescent="0.3">
      <c r="A840" s="90" t="s">
        <v>3782</v>
      </c>
      <c r="B840" s="90" t="s">
        <v>997</v>
      </c>
      <c r="C840" s="90" t="s">
        <v>972</v>
      </c>
    </row>
    <row r="841" spans="1:3" ht="14.4" x14ac:dyDescent="0.3">
      <c r="A841" s="90" t="s">
        <v>3783</v>
      </c>
      <c r="B841" s="90" t="s">
        <v>1065</v>
      </c>
      <c r="C841" s="90" t="s">
        <v>1050</v>
      </c>
    </row>
    <row r="842" spans="1:3" ht="14.4" x14ac:dyDescent="0.3">
      <c r="A842" s="90" t="s">
        <v>3784</v>
      </c>
      <c r="B842" s="90" t="s">
        <v>2532</v>
      </c>
      <c r="C842" s="90" t="s">
        <v>2489</v>
      </c>
    </row>
    <row r="843" spans="1:3" ht="14.4" x14ac:dyDescent="0.3">
      <c r="A843" s="90" t="s">
        <v>3785</v>
      </c>
      <c r="B843" s="90" t="s">
        <v>1122</v>
      </c>
      <c r="C843" s="90" t="s">
        <v>1106</v>
      </c>
    </row>
    <row r="844" spans="1:3" ht="14.4" x14ac:dyDescent="0.3">
      <c r="A844" s="90" t="s">
        <v>3786</v>
      </c>
      <c r="B844" s="90" t="s">
        <v>1124</v>
      </c>
      <c r="C844" s="90" t="s">
        <v>1106</v>
      </c>
    </row>
    <row r="845" spans="1:3" ht="14.4" x14ac:dyDescent="0.3">
      <c r="A845" s="90" t="s">
        <v>3787</v>
      </c>
      <c r="B845" s="90" t="s">
        <v>1559</v>
      </c>
      <c r="C845" s="90" t="s">
        <v>1554</v>
      </c>
    </row>
    <row r="846" spans="1:3" ht="14.4" x14ac:dyDescent="0.3">
      <c r="A846" s="90" t="s">
        <v>3788</v>
      </c>
      <c r="B846" s="90" t="s">
        <v>1591</v>
      </c>
      <c r="C846" s="90" t="s">
        <v>1580</v>
      </c>
    </row>
    <row r="847" spans="1:3" ht="14.4" x14ac:dyDescent="0.3">
      <c r="A847" s="90" t="s">
        <v>3789</v>
      </c>
      <c r="B847" s="90" t="s">
        <v>527</v>
      </c>
      <c r="C847" s="90" t="s">
        <v>449</v>
      </c>
    </row>
    <row r="848" spans="1:3" ht="14.4" x14ac:dyDescent="0.3">
      <c r="A848" s="90" t="s">
        <v>3790</v>
      </c>
      <c r="B848" s="90" t="s">
        <v>2400</v>
      </c>
      <c r="C848" s="90" t="s">
        <v>2397</v>
      </c>
    </row>
    <row r="849" spans="1:3" ht="14.4" x14ac:dyDescent="0.3">
      <c r="A849" s="90" t="s">
        <v>3791</v>
      </c>
      <c r="B849" s="90" t="s">
        <v>1694</v>
      </c>
      <c r="C849" s="90" t="s">
        <v>1681</v>
      </c>
    </row>
    <row r="850" spans="1:3" ht="14.4" x14ac:dyDescent="0.3">
      <c r="A850" s="90" t="s">
        <v>3792</v>
      </c>
      <c r="B850" s="90" t="s">
        <v>754</v>
      </c>
      <c r="C850" s="90" t="s">
        <v>744</v>
      </c>
    </row>
    <row r="851" spans="1:3" ht="14.4" x14ac:dyDescent="0.3">
      <c r="A851" s="90" t="s">
        <v>3793</v>
      </c>
      <c r="B851" s="90" t="s">
        <v>882</v>
      </c>
      <c r="C851" s="90" t="s">
        <v>874</v>
      </c>
    </row>
    <row r="852" spans="1:3" ht="14.4" x14ac:dyDescent="0.3">
      <c r="A852" s="90" t="s">
        <v>3794</v>
      </c>
      <c r="B852" s="90" t="s">
        <v>932</v>
      </c>
      <c r="C852" s="90" t="s">
        <v>916</v>
      </c>
    </row>
    <row r="853" spans="1:3" ht="14.4" x14ac:dyDescent="0.3">
      <c r="A853" s="90" t="s">
        <v>3795</v>
      </c>
      <c r="B853" s="90" t="s">
        <v>1773</v>
      </c>
      <c r="C853" s="90" t="s">
        <v>1741</v>
      </c>
    </row>
    <row r="854" spans="1:3" ht="14.4" x14ac:dyDescent="0.3">
      <c r="A854" s="90" t="s">
        <v>3796</v>
      </c>
      <c r="B854" s="90" t="s">
        <v>1348</v>
      </c>
      <c r="C854" s="90" t="s">
        <v>1338</v>
      </c>
    </row>
    <row r="855" spans="1:3" ht="14.4" x14ac:dyDescent="0.3">
      <c r="A855" s="90" t="s">
        <v>3797</v>
      </c>
      <c r="B855" s="90" t="s">
        <v>2518</v>
      </c>
      <c r="C855" s="90" t="s">
        <v>2489</v>
      </c>
    </row>
    <row r="856" spans="1:3" ht="14.4" x14ac:dyDescent="0.3">
      <c r="A856" s="90" t="s">
        <v>3798</v>
      </c>
      <c r="B856" s="90" t="s">
        <v>1299</v>
      </c>
      <c r="C856" s="90" t="s">
        <v>1292</v>
      </c>
    </row>
    <row r="857" spans="1:3" ht="14.4" x14ac:dyDescent="0.3">
      <c r="A857" s="90" t="s">
        <v>3799</v>
      </c>
      <c r="B857" s="90" t="s">
        <v>1774</v>
      </c>
      <c r="C857" s="90" t="s">
        <v>1741</v>
      </c>
    </row>
    <row r="858" spans="1:3" ht="14.4" x14ac:dyDescent="0.3">
      <c r="A858" s="90" t="s">
        <v>3800</v>
      </c>
      <c r="B858" s="90" t="s">
        <v>1776</v>
      </c>
      <c r="C858" s="90" t="s">
        <v>1741</v>
      </c>
    </row>
    <row r="859" spans="1:3" ht="14.4" x14ac:dyDescent="0.3">
      <c r="A859" s="90" t="s">
        <v>3801</v>
      </c>
      <c r="B859" s="90" t="s">
        <v>2193</v>
      </c>
      <c r="C859" s="90" t="s">
        <v>2182</v>
      </c>
    </row>
    <row r="860" spans="1:3" ht="14.4" x14ac:dyDescent="0.3">
      <c r="A860" s="90" t="s">
        <v>3802</v>
      </c>
      <c r="B860" s="90" t="s">
        <v>528</v>
      </c>
      <c r="C860" s="90" t="s">
        <v>449</v>
      </c>
    </row>
    <row r="861" spans="1:3" ht="14.4" x14ac:dyDescent="0.3">
      <c r="A861" s="90" t="s">
        <v>3803</v>
      </c>
      <c r="B861" s="90" t="s">
        <v>212</v>
      </c>
      <c r="C861" s="90" t="s">
        <v>203</v>
      </c>
    </row>
    <row r="862" spans="1:3" ht="14.4" x14ac:dyDescent="0.3">
      <c r="A862" s="90" t="s">
        <v>3804</v>
      </c>
      <c r="B862" s="90" t="s">
        <v>2136</v>
      </c>
      <c r="C862" s="90" t="s">
        <v>2124</v>
      </c>
    </row>
    <row r="863" spans="1:3" ht="14.4" x14ac:dyDescent="0.3">
      <c r="A863" s="90" t="s">
        <v>3805</v>
      </c>
      <c r="B863" s="90" t="s">
        <v>2039</v>
      </c>
      <c r="C863" s="90" t="s">
        <v>2015</v>
      </c>
    </row>
    <row r="864" spans="1:3" ht="14.4" x14ac:dyDescent="0.3">
      <c r="A864" s="90" t="s">
        <v>3806</v>
      </c>
      <c r="B864" s="90" t="s">
        <v>2169</v>
      </c>
      <c r="C864" s="90" t="s">
        <v>2153</v>
      </c>
    </row>
    <row r="865" spans="1:3" ht="14.4" x14ac:dyDescent="0.3">
      <c r="A865" s="90" t="s">
        <v>3807</v>
      </c>
      <c r="B865" s="90" t="s">
        <v>1775</v>
      </c>
      <c r="C865" s="90" t="s">
        <v>1741</v>
      </c>
    </row>
    <row r="866" spans="1:3" ht="14.4" x14ac:dyDescent="0.3">
      <c r="A866" s="90" t="s">
        <v>3808</v>
      </c>
      <c r="B866" s="90" t="s">
        <v>65</v>
      </c>
      <c r="C866" s="90" t="s">
        <v>62</v>
      </c>
    </row>
    <row r="867" spans="1:3" ht="14.4" x14ac:dyDescent="0.3">
      <c r="A867" s="90" t="s">
        <v>3809</v>
      </c>
      <c r="B867" s="90" t="s">
        <v>2266</v>
      </c>
      <c r="C867" s="90" t="s">
        <v>2257</v>
      </c>
    </row>
    <row r="868" spans="1:3" ht="14.4" x14ac:dyDescent="0.3">
      <c r="A868" s="90" t="s">
        <v>3810</v>
      </c>
      <c r="B868" s="90" t="s">
        <v>1471</v>
      </c>
      <c r="C868" s="90" t="s">
        <v>1464</v>
      </c>
    </row>
    <row r="869" spans="1:3" ht="14.4" x14ac:dyDescent="0.3">
      <c r="A869" s="90" t="s">
        <v>3811</v>
      </c>
      <c r="B869" s="90" t="s">
        <v>1952</v>
      </c>
      <c r="C869" s="90" t="s">
        <v>1949</v>
      </c>
    </row>
    <row r="870" spans="1:3" ht="14.4" x14ac:dyDescent="0.3">
      <c r="A870" s="90" t="s">
        <v>3812</v>
      </c>
      <c r="B870" s="90" t="s">
        <v>1590</v>
      </c>
      <c r="C870" s="90" t="s">
        <v>1580</v>
      </c>
    </row>
    <row r="871" spans="1:3" ht="14.4" x14ac:dyDescent="0.3">
      <c r="A871" s="90" t="s">
        <v>3813</v>
      </c>
      <c r="B871" s="90" t="s">
        <v>2887</v>
      </c>
      <c r="C871" s="90" t="s">
        <v>2874</v>
      </c>
    </row>
    <row r="872" spans="1:3" ht="14.4" x14ac:dyDescent="0.3">
      <c r="A872" s="90" t="s">
        <v>3814</v>
      </c>
      <c r="B872" s="90" t="s">
        <v>1523</v>
      </c>
      <c r="C872" s="90" t="s">
        <v>1513</v>
      </c>
    </row>
    <row r="873" spans="1:3" ht="14.4" x14ac:dyDescent="0.3">
      <c r="A873" s="90" t="s">
        <v>3815</v>
      </c>
      <c r="B873" s="90" t="s">
        <v>2369</v>
      </c>
      <c r="C873" s="90" t="s">
        <v>2365</v>
      </c>
    </row>
    <row r="874" spans="1:3" ht="14.4" x14ac:dyDescent="0.3">
      <c r="A874" s="90" t="s">
        <v>3816</v>
      </c>
      <c r="B874" s="90" t="s">
        <v>1370</v>
      </c>
      <c r="C874" s="90" t="s">
        <v>1363</v>
      </c>
    </row>
    <row r="875" spans="1:3" ht="14.4" x14ac:dyDescent="0.3">
      <c r="A875" s="90" t="s">
        <v>3817</v>
      </c>
      <c r="B875" s="90" t="s">
        <v>2438</v>
      </c>
      <c r="C875" s="90" t="s">
        <v>2421</v>
      </c>
    </row>
    <row r="876" spans="1:3" ht="14.4" x14ac:dyDescent="0.3">
      <c r="A876" s="90" t="s">
        <v>3818</v>
      </c>
      <c r="B876" s="90" t="s">
        <v>24</v>
      </c>
      <c r="C876" s="90" t="s">
        <v>7</v>
      </c>
    </row>
    <row r="877" spans="1:3" ht="14.4" x14ac:dyDescent="0.3">
      <c r="A877" s="90" t="s">
        <v>3819</v>
      </c>
      <c r="B877" s="90" t="s">
        <v>668</v>
      </c>
      <c r="C877" s="90" t="s">
        <v>661</v>
      </c>
    </row>
    <row r="878" spans="1:3" ht="14.4" x14ac:dyDescent="0.3">
      <c r="A878" s="90" t="s">
        <v>3820</v>
      </c>
      <c r="B878" s="90" t="s">
        <v>2672</v>
      </c>
      <c r="C878" s="90" t="s">
        <v>2669</v>
      </c>
    </row>
    <row r="879" spans="1:3" ht="14.4" x14ac:dyDescent="0.3">
      <c r="A879" s="90" t="s">
        <v>3821</v>
      </c>
      <c r="B879" s="90" t="s">
        <v>529</v>
      </c>
      <c r="C879" s="90" t="s">
        <v>449</v>
      </c>
    </row>
    <row r="880" spans="1:3" ht="14.4" x14ac:dyDescent="0.3">
      <c r="A880" s="90" t="s">
        <v>3822</v>
      </c>
      <c r="B880" s="90" t="s">
        <v>2038</v>
      </c>
      <c r="C880" s="90" t="s">
        <v>2015</v>
      </c>
    </row>
    <row r="881" spans="1:3" ht="14.4" x14ac:dyDescent="0.3">
      <c r="A881" s="90" t="s">
        <v>3823</v>
      </c>
      <c r="B881" s="90" t="s">
        <v>1245</v>
      </c>
      <c r="C881" s="90" t="s">
        <v>1239</v>
      </c>
    </row>
    <row r="882" spans="1:3" ht="14.4" x14ac:dyDescent="0.3">
      <c r="A882" s="90" t="s">
        <v>3824</v>
      </c>
      <c r="B882" s="90" t="s">
        <v>2170</v>
      </c>
      <c r="C882" s="90" t="s">
        <v>2153</v>
      </c>
    </row>
    <row r="883" spans="1:3" ht="14.4" x14ac:dyDescent="0.3">
      <c r="A883" s="90" t="s">
        <v>3825</v>
      </c>
      <c r="B883" s="90" t="s">
        <v>2339</v>
      </c>
      <c r="C883" s="90" t="s">
        <v>2328</v>
      </c>
    </row>
    <row r="884" spans="1:3" ht="14.4" x14ac:dyDescent="0.3">
      <c r="A884" s="90" t="s">
        <v>3826</v>
      </c>
      <c r="B884" s="90" t="s">
        <v>1770</v>
      </c>
      <c r="C884" s="90" t="s">
        <v>1741</v>
      </c>
    </row>
    <row r="885" spans="1:3" ht="14.4" x14ac:dyDescent="0.3">
      <c r="A885" s="90" t="s">
        <v>3827</v>
      </c>
      <c r="B885" s="90" t="s">
        <v>1733</v>
      </c>
      <c r="C885" s="90" t="s">
        <v>1727</v>
      </c>
    </row>
    <row r="886" spans="1:3" ht="14.4" x14ac:dyDescent="0.3">
      <c r="A886" s="90" t="s">
        <v>3828</v>
      </c>
      <c r="B886" s="90" t="s">
        <v>753</v>
      </c>
      <c r="C886" s="90" t="s">
        <v>744</v>
      </c>
    </row>
    <row r="887" spans="1:3" ht="14.4" x14ac:dyDescent="0.3">
      <c r="A887" s="90" t="s">
        <v>3829</v>
      </c>
      <c r="B887" s="90" t="s">
        <v>1276</v>
      </c>
      <c r="C887" s="90" t="s">
        <v>1268</v>
      </c>
    </row>
    <row r="888" spans="1:3" ht="14.4" x14ac:dyDescent="0.3">
      <c r="A888" s="90" t="s">
        <v>3830</v>
      </c>
      <c r="B888" s="90" t="s">
        <v>605</v>
      </c>
      <c r="C888" s="90" t="s">
        <v>604</v>
      </c>
    </row>
    <row r="889" spans="1:3" ht="14.4" x14ac:dyDescent="0.3">
      <c r="A889" s="90" t="s">
        <v>3831</v>
      </c>
      <c r="B889" s="90" t="s">
        <v>996</v>
      </c>
      <c r="C889" s="90" t="s">
        <v>972</v>
      </c>
    </row>
    <row r="890" spans="1:3" ht="14.4" x14ac:dyDescent="0.3">
      <c r="A890" s="90" t="s">
        <v>3832</v>
      </c>
      <c r="B890" s="90" t="s">
        <v>2857</v>
      </c>
      <c r="C890" s="90" t="s">
        <v>2852</v>
      </c>
    </row>
    <row r="891" spans="1:3" ht="14.4" x14ac:dyDescent="0.3">
      <c r="A891" s="90" t="s">
        <v>3833</v>
      </c>
      <c r="B891" s="90" t="s">
        <v>2706</v>
      </c>
      <c r="C891" s="90" t="s">
        <v>2683</v>
      </c>
    </row>
    <row r="892" spans="1:3" ht="14.4" x14ac:dyDescent="0.3">
      <c r="A892" s="90" t="s">
        <v>3834</v>
      </c>
      <c r="B892" s="90" t="s">
        <v>128</v>
      </c>
      <c r="C892" s="90" t="s">
        <v>116</v>
      </c>
    </row>
    <row r="893" spans="1:3" ht="14.4" x14ac:dyDescent="0.3">
      <c r="A893" s="90" t="s">
        <v>3835</v>
      </c>
      <c r="B893" s="90" t="s">
        <v>2534</v>
      </c>
      <c r="C893" s="90" t="s">
        <v>2489</v>
      </c>
    </row>
    <row r="894" spans="1:3" ht="14.4" x14ac:dyDescent="0.3">
      <c r="A894" s="90" t="s">
        <v>3836</v>
      </c>
      <c r="B894" s="90" t="s">
        <v>616</v>
      </c>
      <c r="C894" s="90" t="s">
        <v>613</v>
      </c>
    </row>
    <row r="895" spans="1:3" ht="14.4" x14ac:dyDescent="0.3">
      <c r="A895" s="90" t="s">
        <v>3837</v>
      </c>
      <c r="B895" s="90" t="s">
        <v>1255</v>
      </c>
      <c r="C895" s="90" t="s">
        <v>1251</v>
      </c>
    </row>
    <row r="896" spans="1:3" ht="14.4" x14ac:dyDescent="0.3">
      <c r="A896" s="90" t="s">
        <v>3838</v>
      </c>
      <c r="B896" s="90" t="s">
        <v>1618</v>
      </c>
      <c r="C896" s="90" t="s">
        <v>1606</v>
      </c>
    </row>
    <row r="897" spans="1:3" ht="14.4" x14ac:dyDescent="0.3">
      <c r="A897" s="90" t="s">
        <v>3839</v>
      </c>
      <c r="B897" s="90" t="s">
        <v>745</v>
      </c>
      <c r="C897" s="90" t="s">
        <v>744</v>
      </c>
    </row>
    <row r="898" spans="1:3" ht="14.4" x14ac:dyDescent="0.3">
      <c r="A898" s="90" t="str">
        <f>CONCATENATE(B898, C898," FIRM")</f>
        <v>EVRIWaste Management FIRM</v>
      </c>
      <c r="B898" s="91" t="s">
        <v>3840</v>
      </c>
      <c r="C898" s="90" t="s">
        <v>2932</v>
      </c>
    </row>
    <row r="899" spans="1:3" ht="14.4" x14ac:dyDescent="0.3">
      <c r="A899" s="90" t="s">
        <v>3841</v>
      </c>
      <c r="B899" s="90" t="s">
        <v>2606</v>
      </c>
      <c r="C899" s="90" t="s">
        <v>2589</v>
      </c>
    </row>
    <row r="900" spans="1:3" ht="14.4" x14ac:dyDescent="0.3">
      <c r="A900" s="90" t="s">
        <v>3842</v>
      </c>
      <c r="B900" s="90" t="s">
        <v>1646</v>
      </c>
      <c r="C900" s="90" t="s">
        <v>1631</v>
      </c>
    </row>
    <row r="901" spans="1:3" ht="14.4" x14ac:dyDescent="0.3">
      <c r="A901" s="90" t="s">
        <v>3843</v>
      </c>
      <c r="B901" s="90" t="s">
        <v>199</v>
      </c>
      <c r="C901" s="90" t="s">
        <v>195</v>
      </c>
    </row>
    <row r="902" spans="1:3" ht="14.4" x14ac:dyDescent="0.3">
      <c r="A902" s="90" t="s">
        <v>3844</v>
      </c>
      <c r="B902" s="90" t="s">
        <v>2535</v>
      </c>
      <c r="C902" s="90" t="s">
        <v>2489</v>
      </c>
    </row>
    <row r="903" spans="1:3" ht="14.4" x14ac:dyDescent="0.3">
      <c r="A903" s="90" t="s">
        <v>3845</v>
      </c>
      <c r="B903" s="90" t="s">
        <v>1647</v>
      </c>
      <c r="C903" s="90" t="s">
        <v>1631</v>
      </c>
    </row>
    <row r="904" spans="1:3" ht="14.4" x14ac:dyDescent="0.3">
      <c r="A904" s="90" t="s">
        <v>3846</v>
      </c>
      <c r="B904" s="90" t="s">
        <v>933</v>
      </c>
      <c r="C904" s="90" t="s">
        <v>916</v>
      </c>
    </row>
    <row r="905" spans="1:3" ht="14.4" x14ac:dyDescent="0.3">
      <c r="A905" s="90" t="s">
        <v>3847</v>
      </c>
      <c r="B905" s="90" t="s">
        <v>2858</v>
      </c>
      <c r="C905" s="90" t="s">
        <v>2852</v>
      </c>
    </row>
    <row r="906" spans="1:3" ht="14.4" x14ac:dyDescent="0.3">
      <c r="A906" s="90" t="s">
        <v>3848</v>
      </c>
      <c r="B906" s="90" t="s">
        <v>530</v>
      </c>
      <c r="C906" s="90" t="s">
        <v>449</v>
      </c>
    </row>
    <row r="907" spans="1:3" ht="14.4" x14ac:dyDescent="0.3">
      <c r="A907" s="90" t="s">
        <v>3849</v>
      </c>
      <c r="B907" s="90" t="s">
        <v>698</v>
      </c>
      <c r="C907" s="90" t="s">
        <v>675</v>
      </c>
    </row>
    <row r="908" spans="1:3" ht="14.4" x14ac:dyDescent="0.3">
      <c r="A908" s="90" t="s">
        <v>3850</v>
      </c>
      <c r="B908" s="90" t="s">
        <v>629</v>
      </c>
      <c r="C908" s="90" t="s">
        <v>627</v>
      </c>
    </row>
    <row r="909" spans="1:3" ht="14.4" x14ac:dyDescent="0.3">
      <c r="A909" s="90" t="s">
        <v>3851</v>
      </c>
      <c r="B909" s="90" t="s">
        <v>1478</v>
      </c>
      <c r="C909" s="90" t="s">
        <v>1472</v>
      </c>
    </row>
    <row r="910" spans="1:3" ht="14.4" x14ac:dyDescent="0.3">
      <c r="A910" s="90" t="s">
        <v>3852</v>
      </c>
      <c r="B910" s="90" t="s">
        <v>1524</v>
      </c>
      <c r="C910" s="90" t="s">
        <v>1513</v>
      </c>
    </row>
    <row r="911" spans="1:3" ht="14.4" x14ac:dyDescent="0.3">
      <c r="A911" s="90" t="s">
        <v>3853</v>
      </c>
      <c r="B911" s="90" t="s">
        <v>699</v>
      </c>
      <c r="C911" s="90" t="s">
        <v>675</v>
      </c>
    </row>
    <row r="912" spans="1:3" ht="14.4" x14ac:dyDescent="0.3">
      <c r="A912" s="90" t="s">
        <v>3854</v>
      </c>
      <c r="B912" s="90" t="s">
        <v>93</v>
      </c>
      <c r="C912" s="90" t="s">
        <v>91</v>
      </c>
    </row>
    <row r="913" spans="1:3" ht="14.4" x14ac:dyDescent="0.3">
      <c r="A913" s="90" t="s">
        <v>3855</v>
      </c>
      <c r="B913" s="90" t="s">
        <v>2112</v>
      </c>
      <c r="C913" s="90" t="s">
        <v>2106</v>
      </c>
    </row>
    <row r="914" spans="1:3" ht="14.4" x14ac:dyDescent="0.3">
      <c r="A914" s="90" t="s">
        <v>3856</v>
      </c>
      <c r="B914" s="90" t="s">
        <v>1810</v>
      </c>
      <c r="C914" s="90" t="s">
        <v>1800</v>
      </c>
    </row>
    <row r="915" spans="1:3" ht="14.4" x14ac:dyDescent="0.3">
      <c r="A915" s="90" t="s">
        <v>3857</v>
      </c>
      <c r="B915" s="90" t="s">
        <v>815</v>
      </c>
      <c r="C915" s="90" t="s">
        <v>800</v>
      </c>
    </row>
    <row r="916" spans="1:3" ht="14.4" x14ac:dyDescent="0.3">
      <c r="A916" s="90" t="s">
        <v>3858</v>
      </c>
      <c r="B916" s="90" t="s">
        <v>883</v>
      </c>
      <c r="C916" s="90" t="s">
        <v>874</v>
      </c>
    </row>
    <row r="917" spans="1:3" ht="14.4" x14ac:dyDescent="0.3">
      <c r="A917" s="90" t="s">
        <v>3859</v>
      </c>
      <c r="B917" s="90" t="s">
        <v>164</v>
      </c>
      <c r="C917" s="90" t="s">
        <v>163</v>
      </c>
    </row>
    <row r="918" spans="1:3" ht="14.4" x14ac:dyDescent="0.3">
      <c r="A918" s="90" t="s">
        <v>3860</v>
      </c>
      <c r="B918" s="90" t="s">
        <v>1459</v>
      </c>
      <c r="C918" s="90" t="s">
        <v>1451</v>
      </c>
    </row>
    <row r="919" spans="1:3" ht="14.4" x14ac:dyDescent="0.3">
      <c r="A919" s="90" t="s">
        <v>3861</v>
      </c>
      <c r="B919" s="90" t="s">
        <v>1769</v>
      </c>
      <c r="C919" s="90" t="s">
        <v>1741</v>
      </c>
    </row>
    <row r="920" spans="1:3" ht="14.4" x14ac:dyDescent="0.3">
      <c r="A920" s="90" t="s">
        <v>3862</v>
      </c>
      <c r="B920" s="90" t="s">
        <v>1874</v>
      </c>
      <c r="C920" s="90" t="s">
        <v>1863</v>
      </c>
    </row>
    <row r="921" spans="1:3" ht="14.4" x14ac:dyDescent="0.3">
      <c r="A921" s="90" t="s">
        <v>3863</v>
      </c>
      <c r="B921" s="90" t="s">
        <v>2370</v>
      </c>
      <c r="C921" s="90" t="s">
        <v>2365</v>
      </c>
    </row>
    <row r="922" spans="1:3" ht="14.4" x14ac:dyDescent="0.3">
      <c r="A922" s="90" t="s">
        <v>3864</v>
      </c>
      <c r="B922" s="90" t="s">
        <v>1317</v>
      </c>
      <c r="C922" s="90" t="s">
        <v>1313</v>
      </c>
    </row>
    <row r="923" spans="1:3" ht="14.4" x14ac:dyDescent="0.3">
      <c r="A923" s="90" t="str">
        <f>CONCATENATE(B923, C923," FIRM")</f>
        <v>FATEWaste Management FIRM</v>
      </c>
      <c r="B923" s="91" t="s">
        <v>3865</v>
      </c>
      <c r="C923" s="90" t="s">
        <v>2932</v>
      </c>
    </row>
    <row r="924" spans="1:3" ht="14.4" x14ac:dyDescent="0.3">
      <c r="A924" s="90" t="s">
        <v>3866</v>
      </c>
      <c r="B924" s="90" t="s">
        <v>1492</v>
      </c>
      <c r="C924" s="90" t="s">
        <v>1485</v>
      </c>
    </row>
    <row r="925" spans="1:3" ht="14.4" x14ac:dyDescent="0.3">
      <c r="A925" s="90" t="s">
        <v>3867</v>
      </c>
      <c r="B925" s="90" t="s">
        <v>2342</v>
      </c>
      <c r="C925" s="90" t="s">
        <v>2328</v>
      </c>
    </row>
    <row r="926" spans="1:3" ht="14.4" x14ac:dyDescent="0.3">
      <c r="A926" s="90" t="s">
        <v>3868</v>
      </c>
      <c r="B926" s="90" t="s">
        <v>1269</v>
      </c>
      <c r="C926" s="90" t="s">
        <v>1268</v>
      </c>
    </row>
    <row r="927" spans="1:3" ht="14.4" x14ac:dyDescent="0.3">
      <c r="A927" s="90" t="s">
        <v>3869</v>
      </c>
      <c r="B927" s="90" t="s">
        <v>532</v>
      </c>
      <c r="C927" s="90" t="s">
        <v>449</v>
      </c>
    </row>
    <row r="928" spans="1:3" ht="14.4" x14ac:dyDescent="0.3">
      <c r="A928" s="90" t="s">
        <v>3870</v>
      </c>
      <c r="B928" s="90" t="s">
        <v>301</v>
      </c>
      <c r="C928" s="90" t="s">
        <v>203</v>
      </c>
    </row>
    <row r="929" spans="1:3" ht="14.4" x14ac:dyDescent="0.3">
      <c r="A929" s="90" t="s">
        <v>3871</v>
      </c>
      <c r="B929" s="90" t="s">
        <v>292</v>
      </c>
      <c r="C929" s="90" t="s">
        <v>203</v>
      </c>
    </row>
    <row r="930" spans="1:3" ht="14.4" x14ac:dyDescent="0.3">
      <c r="A930" s="90" t="s">
        <v>3872</v>
      </c>
      <c r="B930" s="90" t="s">
        <v>1318</v>
      </c>
      <c r="C930" s="90" t="s">
        <v>1313</v>
      </c>
    </row>
    <row r="931" spans="1:3" ht="14.4" x14ac:dyDescent="0.3">
      <c r="A931" s="90" t="str">
        <f>CONCATENATE(B931, C931," FIRM")</f>
        <v>FBMSWaste Management FIRM</v>
      </c>
      <c r="B931" s="91" t="s">
        <v>3873</v>
      </c>
      <c r="C931" s="90" t="s">
        <v>2932</v>
      </c>
    </row>
    <row r="932" spans="1:3" ht="14.4" x14ac:dyDescent="0.3">
      <c r="A932" s="90" t="s">
        <v>3874</v>
      </c>
      <c r="B932" s="90" t="s">
        <v>298</v>
      </c>
      <c r="C932" s="90" t="s">
        <v>203</v>
      </c>
    </row>
    <row r="933" spans="1:3" ht="14.4" x14ac:dyDescent="0.3">
      <c r="A933" s="90" t="s">
        <v>3875</v>
      </c>
      <c r="B933" s="90" t="s">
        <v>305</v>
      </c>
      <c r="C933" s="90" t="s">
        <v>203</v>
      </c>
    </row>
    <row r="934" spans="1:3" ht="14.4" x14ac:dyDescent="0.3">
      <c r="A934" s="90" t="s">
        <v>3876</v>
      </c>
      <c r="B934" s="90" t="s">
        <v>297</v>
      </c>
      <c r="C934" s="90" t="s">
        <v>203</v>
      </c>
    </row>
    <row r="935" spans="1:3" ht="14.4" x14ac:dyDescent="0.3">
      <c r="A935" s="90" t="s">
        <v>3877</v>
      </c>
      <c r="B935" s="90" t="s">
        <v>1091</v>
      </c>
      <c r="C935" s="90" t="s">
        <v>1090</v>
      </c>
    </row>
    <row r="936" spans="1:3" ht="14.4" x14ac:dyDescent="0.3">
      <c r="A936" s="90" t="s">
        <v>3878</v>
      </c>
      <c r="B936" s="90" t="s">
        <v>293</v>
      </c>
      <c r="C936" s="90" t="s">
        <v>203</v>
      </c>
    </row>
    <row r="937" spans="1:3" ht="14.4" x14ac:dyDescent="0.3">
      <c r="A937" s="90" t="s">
        <v>3879</v>
      </c>
      <c r="B937" s="90" t="s">
        <v>303</v>
      </c>
      <c r="C937" s="90" t="s">
        <v>203</v>
      </c>
    </row>
    <row r="938" spans="1:3" ht="14.4" x14ac:dyDescent="0.3">
      <c r="A938" s="90" t="s">
        <v>3880</v>
      </c>
      <c r="B938" s="90" t="s">
        <v>213</v>
      </c>
      <c r="C938" s="90" t="s">
        <v>203</v>
      </c>
    </row>
    <row r="939" spans="1:3" ht="14.4" x14ac:dyDescent="0.3">
      <c r="A939" s="90" t="s">
        <v>3881</v>
      </c>
      <c r="B939" s="90" t="s">
        <v>304</v>
      </c>
      <c r="C939" s="90" t="s">
        <v>203</v>
      </c>
    </row>
    <row r="940" spans="1:3" ht="14.4" x14ac:dyDescent="0.3">
      <c r="A940" s="90" t="s">
        <v>3882</v>
      </c>
      <c r="B940" s="90" t="s">
        <v>885</v>
      </c>
      <c r="C940" s="90" t="s">
        <v>874</v>
      </c>
    </row>
    <row r="941" spans="1:3" ht="14.4" x14ac:dyDescent="0.3">
      <c r="A941" s="90" t="s">
        <v>3883</v>
      </c>
      <c r="B941" s="90" t="s">
        <v>2095</v>
      </c>
      <c r="C941" s="90" t="s">
        <v>2087</v>
      </c>
    </row>
    <row r="942" spans="1:3" ht="14.4" x14ac:dyDescent="0.3">
      <c r="A942" s="90" t="s">
        <v>3884</v>
      </c>
      <c r="B942" s="90" t="s">
        <v>705</v>
      </c>
      <c r="C942" s="90" t="s">
        <v>675</v>
      </c>
    </row>
    <row r="943" spans="1:3" ht="14.4" x14ac:dyDescent="0.3">
      <c r="A943" s="90" t="s">
        <v>3885</v>
      </c>
      <c r="B943" s="90" t="s">
        <v>302</v>
      </c>
      <c r="C943" s="90" t="s">
        <v>203</v>
      </c>
    </row>
    <row r="944" spans="1:3" ht="14.4" x14ac:dyDescent="0.3">
      <c r="A944" s="90" t="s">
        <v>3886</v>
      </c>
      <c r="B944" s="90" t="s">
        <v>2096</v>
      </c>
      <c r="C944" s="90" t="s">
        <v>2087</v>
      </c>
    </row>
    <row r="945" spans="1:3" ht="14.4" x14ac:dyDescent="0.3">
      <c r="A945" s="90" t="s">
        <v>3887</v>
      </c>
      <c r="B945" s="90" t="s">
        <v>872</v>
      </c>
      <c r="C945" s="90" t="s">
        <v>871</v>
      </c>
    </row>
    <row r="946" spans="1:3" ht="14.4" x14ac:dyDescent="0.3">
      <c r="A946" s="90" t="s">
        <v>3888</v>
      </c>
      <c r="B946" s="90" t="s">
        <v>701</v>
      </c>
      <c r="C946" s="90" t="s">
        <v>675</v>
      </c>
    </row>
    <row r="947" spans="1:3" ht="14.4" x14ac:dyDescent="0.3">
      <c r="A947" s="90" t="s">
        <v>3889</v>
      </c>
      <c r="B947" s="90" t="s">
        <v>2340</v>
      </c>
      <c r="C947" s="90" t="s">
        <v>2328</v>
      </c>
    </row>
    <row r="948" spans="1:3" ht="14.4" x14ac:dyDescent="0.3">
      <c r="A948" s="90" t="s">
        <v>3890</v>
      </c>
      <c r="B948" s="90" t="s">
        <v>1190</v>
      </c>
      <c r="C948" s="90" t="s">
        <v>1185</v>
      </c>
    </row>
    <row r="949" spans="1:3" ht="14.4" x14ac:dyDescent="0.3">
      <c r="A949" s="90" t="s">
        <v>3891</v>
      </c>
      <c r="B949" s="90" t="s">
        <v>755</v>
      </c>
      <c r="C949" s="90" t="s">
        <v>744</v>
      </c>
    </row>
    <row r="950" spans="1:3" ht="14.4" x14ac:dyDescent="0.3">
      <c r="A950" s="90" t="s">
        <v>3892</v>
      </c>
      <c r="B950" s="90" t="s">
        <v>1479</v>
      </c>
      <c r="C950" s="90" t="s">
        <v>1472</v>
      </c>
    </row>
    <row r="951" spans="1:3" ht="14.4" x14ac:dyDescent="0.3">
      <c r="A951" s="90" t="s">
        <v>3893</v>
      </c>
      <c r="B951" s="90" t="s">
        <v>2859</v>
      </c>
      <c r="C951" s="90" t="s">
        <v>2852</v>
      </c>
    </row>
    <row r="952" spans="1:3" ht="14.4" x14ac:dyDescent="0.3">
      <c r="A952" s="90" t="s">
        <v>3894</v>
      </c>
      <c r="B952" s="90" t="s">
        <v>1000</v>
      </c>
      <c r="C952" s="90" t="s">
        <v>972</v>
      </c>
    </row>
    <row r="953" spans="1:3" ht="14.4" x14ac:dyDescent="0.3">
      <c r="A953" s="90" t="s">
        <v>3895</v>
      </c>
      <c r="B953" s="90" t="s">
        <v>1812</v>
      </c>
      <c r="C953" s="90" t="s">
        <v>1800</v>
      </c>
    </row>
    <row r="954" spans="1:3" ht="14.4" x14ac:dyDescent="0.3">
      <c r="A954" s="90" t="s">
        <v>3896</v>
      </c>
      <c r="B954" s="90" t="s">
        <v>2536</v>
      </c>
      <c r="C954" s="90" t="s">
        <v>2489</v>
      </c>
    </row>
    <row r="955" spans="1:3" ht="14.4" x14ac:dyDescent="0.3">
      <c r="A955" s="90" t="s">
        <v>3897</v>
      </c>
      <c r="B955" s="90" t="s">
        <v>787</v>
      </c>
      <c r="C955" s="90" t="s">
        <v>776</v>
      </c>
    </row>
    <row r="956" spans="1:3" ht="14.4" x14ac:dyDescent="0.3">
      <c r="A956" s="90" t="s">
        <v>3898</v>
      </c>
      <c r="B956" s="90" t="s">
        <v>306</v>
      </c>
      <c r="C956" s="90" t="s">
        <v>203</v>
      </c>
    </row>
    <row r="957" spans="1:3" ht="14.4" x14ac:dyDescent="0.3">
      <c r="A957" s="90" t="s">
        <v>3899</v>
      </c>
      <c r="B957" s="90" t="s">
        <v>1382</v>
      </c>
      <c r="C957" s="90" t="s">
        <v>1375</v>
      </c>
    </row>
    <row r="958" spans="1:3" ht="14.4" x14ac:dyDescent="0.3">
      <c r="A958" s="90" t="s">
        <v>3900</v>
      </c>
      <c r="B958" s="90" t="s">
        <v>2343</v>
      </c>
      <c r="C958" s="90" t="s">
        <v>2328</v>
      </c>
    </row>
    <row r="959" spans="1:3" ht="14.4" x14ac:dyDescent="0.3">
      <c r="A959" s="90" t="s">
        <v>3901</v>
      </c>
      <c r="B959" s="90" t="s">
        <v>307</v>
      </c>
      <c r="C959" s="90" t="s">
        <v>203</v>
      </c>
    </row>
    <row r="960" spans="1:3" ht="14.4" x14ac:dyDescent="0.3">
      <c r="A960" s="90" t="s">
        <v>3902</v>
      </c>
      <c r="B960" s="90" t="s">
        <v>2592</v>
      </c>
      <c r="C960" s="90" t="s">
        <v>2589</v>
      </c>
    </row>
    <row r="961" spans="1:3" ht="14.4" x14ac:dyDescent="0.3">
      <c r="A961" s="90" t="s">
        <v>3903</v>
      </c>
      <c r="B961" s="90" t="s">
        <v>290</v>
      </c>
      <c r="C961" s="90" t="s">
        <v>203</v>
      </c>
    </row>
    <row r="962" spans="1:3" ht="14.4" x14ac:dyDescent="0.3">
      <c r="A962" s="90" t="s">
        <v>3904</v>
      </c>
      <c r="B962" s="90" t="s">
        <v>309</v>
      </c>
      <c r="C962" s="90" t="s">
        <v>203</v>
      </c>
    </row>
    <row r="963" spans="1:3" ht="14.4" x14ac:dyDescent="0.3">
      <c r="A963" s="90" t="s">
        <v>3905</v>
      </c>
      <c r="B963" s="90" t="s">
        <v>310</v>
      </c>
      <c r="C963" s="90" t="s">
        <v>203</v>
      </c>
    </row>
    <row r="964" spans="1:3" ht="14.4" x14ac:dyDescent="0.3">
      <c r="A964" s="90" t="s">
        <v>3906</v>
      </c>
      <c r="B964" s="90" t="s">
        <v>531</v>
      </c>
      <c r="C964" s="90" t="s">
        <v>449</v>
      </c>
    </row>
    <row r="965" spans="1:3" ht="14.4" x14ac:dyDescent="0.3">
      <c r="A965" s="90" t="s">
        <v>3907</v>
      </c>
      <c r="B965" s="90" t="s">
        <v>1383</v>
      </c>
      <c r="C965" s="90" t="s">
        <v>1375</v>
      </c>
    </row>
    <row r="966" spans="1:3" ht="14.4" x14ac:dyDescent="0.3">
      <c r="A966" s="90" t="s">
        <v>3908</v>
      </c>
      <c r="B966" s="90" t="s">
        <v>311</v>
      </c>
      <c r="C966" s="90" t="s">
        <v>203</v>
      </c>
    </row>
    <row r="967" spans="1:3" ht="14.4" x14ac:dyDescent="0.3">
      <c r="A967" s="90" t="s">
        <v>3909</v>
      </c>
      <c r="B967" s="90" t="s">
        <v>214</v>
      </c>
      <c r="C967" s="90" t="s">
        <v>203</v>
      </c>
    </row>
    <row r="968" spans="1:3" ht="14.4" x14ac:dyDescent="0.3">
      <c r="A968" s="90" t="s">
        <v>3910</v>
      </c>
      <c r="B968" s="90" t="s">
        <v>1844</v>
      </c>
      <c r="C968" s="90" t="s">
        <v>1840</v>
      </c>
    </row>
    <row r="969" spans="1:3" ht="14.4" x14ac:dyDescent="0.3">
      <c r="A969" s="90" t="s">
        <v>3911</v>
      </c>
      <c r="B969" s="90" t="s">
        <v>313</v>
      </c>
      <c r="C969" s="90" t="s">
        <v>203</v>
      </c>
    </row>
    <row r="970" spans="1:3" ht="14.4" x14ac:dyDescent="0.3">
      <c r="A970" s="90" t="s">
        <v>3912</v>
      </c>
      <c r="B970" s="90" t="s">
        <v>2607</v>
      </c>
      <c r="C970" s="90" t="s">
        <v>2589</v>
      </c>
    </row>
    <row r="971" spans="1:3" ht="14.4" x14ac:dyDescent="0.3">
      <c r="A971" s="90" t="s">
        <v>3913</v>
      </c>
      <c r="B971" s="90" t="s">
        <v>119</v>
      </c>
      <c r="C971" s="90" t="s">
        <v>116</v>
      </c>
    </row>
    <row r="972" spans="1:3" ht="14.4" x14ac:dyDescent="0.3">
      <c r="A972" s="90" t="s">
        <v>3914</v>
      </c>
      <c r="B972" s="90" t="s">
        <v>2707</v>
      </c>
      <c r="C972" s="90" t="s">
        <v>2683</v>
      </c>
    </row>
    <row r="973" spans="1:3" ht="14.4" x14ac:dyDescent="0.3">
      <c r="A973" s="90" t="s">
        <v>3915</v>
      </c>
      <c r="B973" s="90" t="s">
        <v>700</v>
      </c>
      <c r="C973" s="90" t="s">
        <v>675</v>
      </c>
    </row>
    <row r="974" spans="1:3" ht="14.4" x14ac:dyDescent="0.3">
      <c r="A974" s="90" t="s">
        <v>3916</v>
      </c>
      <c r="B974" s="90" t="s">
        <v>296</v>
      </c>
      <c r="C974" s="90" t="s">
        <v>203</v>
      </c>
    </row>
    <row r="975" spans="1:3" ht="14.4" x14ac:dyDescent="0.3">
      <c r="A975" s="90" t="s">
        <v>3917</v>
      </c>
      <c r="B975" s="90" t="s">
        <v>702</v>
      </c>
      <c r="C975" s="90" t="s">
        <v>675</v>
      </c>
    </row>
    <row r="976" spans="1:3" ht="14.4" x14ac:dyDescent="0.3">
      <c r="A976" s="90" t="s">
        <v>3918</v>
      </c>
      <c r="B976" s="90" t="s">
        <v>2371</v>
      </c>
      <c r="C976" s="90" t="s">
        <v>2365</v>
      </c>
    </row>
    <row r="977" spans="1:3" ht="14.4" x14ac:dyDescent="0.3">
      <c r="A977" s="90" t="s">
        <v>3919</v>
      </c>
      <c r="B977" s="90" t="s">
        <v>295</v>
      </c>
      <c r="C977" s="90" t="s">
        <v>203</v>
      </c>
    </row>
    <row r="978" spans="1:3" ht="14.4" x14ac:dyDescent="0.3">
      <c r="A978" s="90" t="s">
        <v>3920</v>
      </c>
      <c r="B978" s="90" t="s">
        <v>2708</v>
      </c>
      <c r="C978" s="90" t="s">
        <v>2683</v>
      </c>
    </row>
    <row r="979" spans="1:3" ht="14.4" x14ac:dyDescent="0.3">
      <c r="A979" s="90" t="s">
        <v>3921</v>
      </c>
      <c r="B979" s="90" t="s">
        <v>2608</v>
      </c>
      <c r="C979" s="90" t="s">
        <v>2589</v>
      </c>
    </row>
    <row r="980" spans="1:3" ht="14.4" x14ac:dyDescent="0.3">
      <c r="A980" s="90" t="s">
        <v>3922</v>
      </c>
      <c r="B980" s="90" t="s">
        <v>1155</v>
      </c>
      <c r="C980" s="90" t="s">
        <v>1147</v>
      </c>
    </row>
    <row r="981" spans="1:3" ht="14.4" x14ac:dyDescent="0.3">
      <c r="A981" s="90" t="s">
        <v>3923</v>
      </c>
      <c r="B981" s="90" t="s">
        <v>442</v>
      </c>
      <c r="C981" s="90" t="s">
        <v>437</v>
      </c>
    </row>
    <row r="982" spans="1:3" ht="14.4" x14ac:dyDescent="0.3">
      <c r="A982" s="90" t="s">
        <v>3924</v>
      </c>
      <c r="B982" s="90" t="s">
        <v>1213</v>
      </c>
      <c r="C982" s="90" t="s">
        <v>1208</v>
      </c>
    </row>
    <row r="983" spans="1:3" ht="14.4" x14ac:dyDescent="0.3">
      <c r="A983" s="90" t="s">
        <v>3925</v>
      </c>
      <c r="B983" s="90" t="s">
        <v>919</v>
      </c>
      <c r="C983" s="90" t="s">
        <v>916</v>
      </c>
    </row>
    <row r="984" spans="1:3" ht="14.4" x14ac:dyDescent="0.3">
      <c r="A984" s="90" t="s">
        <v>3926</v>
      </c>
      <c r="B984" s="90" t="s">
        <v>317</v>
      </c>
      <c r="C984" s="90" t="s">
        <v>203</v>
      </c>
    </row>
    <row r="985" spans="1:3" ht="14.4" x14ac:dyDescent="0.3">
      <c r="A985" s="90" t="s">
        <v>3927</v>
      </c>
      <c r="B985" s="90" t="s">
        <v>2372</v>
      </c>
      <c r="C985" s="90" t="s">
        <v>2365</v>
      </c>
    </row>
    <row r="986" spans="1:3" ht="14.4" x14ac:dyDescent="0.3">
      <c r="A986" s="90" t="s">
        <v>3928</v>
      </c>
      <c r="B986" s="90" t="s">
        <v>1875</v>
      </c>
      <c r="C986" s="90" t="s">
        <v>1863</v>
      </c>
    </row>
    <row r="987" spans="1:3" ht="14.4" x14ac:dyDescent="0.3">
      <c r="A987" s="90" t="s">
        <v>3929</v>
      </c>
      <c r="B987" s="90" t="s">
        <v>1026</v>
      </c>
      <c r="C987" s="90" t="s">
        <v>972</v>
      </c>
    </row>
    <row r="988" spans="1:3" ht="14.4" x14ac:dyDescent="0.3">
      <c r="A988" s="90" t="s">
        <v>3930</v>
      </c>
      <c r="B988" s="90" t="s">
        <v>1148</v>
      </c>
      <c r="C988" s="90" t="s">
        <v>1147</v>
      </c>
    </row>
    <row r="989" spans="1:3" ht="14.4" x14ac:dyDescent="0.3">
      <c r="A989" s="90" t="s">
        <v>3931</v>
      </c>
      <c r="B989" s="90" t="s">
        <v>999</v>
      </c>
      <c r="C989" s="90" t="s">
        <v>972</v>
      </c>
    </row>
    <row r="990" spans="1:3" ht="14.4" x14ac:dyDescent="0.3">
      <c r="A990" s="90" t="s">
        <v>3932</v>
      </c>
      <c r="B990" s="90" t="s">
        <v>703</v>
      </c>
      <c r="C990" s="90" t="s">
        <v>675</v>
      </c>
    </row>
    <row r="991" spans="1:3" ht="14.4" x14ac:dyDescent="0.3">
      <c r="A991" s="90" t="s">
        <v>3933</v>
      </c>
      <c r="B991" s="90" t="s">
        <v>2694</v>
      </c>
      <c r="C991" s="90" t="s">
        <v>2683</v>
      </c>
    </row>
    <row r="992" spans="1:3" ht="14.4" x14ac:dyDescent="0.3">
      <c r="A992" s="90" t="s">
        <v>3934</v>
      </c>
      <c r="B992" s="90" t="s">
        <v>1066</v>
      </c>
      <c r="C992" s="90" t="s">
        <v>1050</v>
      </c>
    </row>
    <row r="993" spans="1:3" ht="14.4" x14ac:dyDescent="0.3">
      <c r="A993" s="90" t="s">
        <v>3935</v>
      </c>
      <c r="B993" s="90" t="s">
        <v>1277</v>
      </c>
      <c r="C993" s="90" t="s">
        <v>1268</v>
      </c>
    </row>
    <row r="994" spans="1:3" ht="14.4" x14ac:dyDescent="0.3">
      <c r="A994" s="90" t="str">
        <f>CONCATENATE(B994, C994," FIRM")</f>
        <v>FMAOWaste Management FIRM</v>
      </c>
      <c r="B994" s="91" t="s">
        <v>3936</v>
      </c>
      <c r="C994" s="90" t="s">
        <v>2932</v>
      </c>
    </row>
    <row r="995" spans="1:3" ht="14.4" x14ac:dyDescent="0.3">
      <c r="A995" s="90" t="s">
        <v>3937</v>
      </c>
      <c r="B995" s="90" t="s">
        <v>315</v>
      </c>
      <c r="C995" s="90" t="s">
        <v>203</v>
      </c>
    </row>
    <row r="996" spans="1:3" ht="14.4" x14ac:dyDescent="0.3">
      <c r="A996" s="90" t="s">
        <v>3938</v>
      </c>
      <c r="B996" s="90" t="s">
        <v>316</v>
      </c>
      <c r="C996" s="90" t="s">
        <v>203</v>
      </c>
    </row>
    <row r="997" spans="1:3" ht="14.4" x14ac:dyDescent="0.3">
      <c r="A997" s="90" t="s">
        <v>3939</v>
      </c>
      <c r="B997" s="90" t="s">
        <v>786</v>
      </c>
      <c r="C997" s="90" t="s">
        <v>776</v>
      </c>
    </row>
    <row r="998" spans="1:3" ht="14.4" x14ac:dyDescent="0.3">
      <c r="A998" s="90" t="s">
        <v>3940</v>
      </c>
      <c r="B998" s="90" t="s">
        <v>934</v>
      </c>
      <c r="C998" s="90" t="s">
        <v>916</v>
      </c>
    </row>
    <row r="999" spans="1:3" ht="14.4" x14ac:dyDescent="0.3">
      <c r="A999" s="90" t="s">
        <v>3941</v>
      </c>
      <c r="B999" s="90" t="s">
        <v>291</v>
      </c>
      <c r="C999" s="90" t="s">
        <v>203</v>
      </c>
    </row>
    <row r="1000" spans="1:3" ht="14.4" x14ac:dyDescent="0.3">
      <c r="A1000" s="90" t="s">
        <v>3942</v>
      </c>
      <c r="B1000" s="90" t="s">
        <v>1801</v>
      </c>
      <c r="C1000" s="90" t="s">
        <v>1800</v>
      </c>
    </row>
    <row r="1001" spans="1:3" ht="14.4" x14ac:dyDescent="0.3">
      <c r="A1001" s="90" t="s">
        <v>3943</v>
      </c>
      <c r="B1001" s="90" t="s">
        <v>862</v>
      </c>
      <c r="C1001" s="90" t="s">
        <v>859</v>
      </c>
    </row>
    <row r="1002" spans="1:3" ht="14.4" x14ac:dyDescent="0.3">
      <c r="A1002" s="90" t="s">
        <v>3944</v>
      </c>
      <c r="B1002" s="90" t="s">
        <v>289</v>
      </c>
      <c r="C1002" s="90" t="s">
        <v>203</v>
      </c>
    </row>
    <row r="1003" spans="1:3" ht="14.4" x14ac:dyDescent="0.3">
      <c r="A1003" s="90" t="str">
        <f>CONCATENATE(B1003, C1003," FIRM")</f>
        <v>FNDWaste Management FIRM</v>
      </c>
      <c r="B1003" s="91" t="s">
        <v>3945</v>
      </c>
      <c r="C1003" s="90" t="s">
        <v>2932</v>
      </c>
    </row>
    <row r="1004" spans="1:3" ht="14.4" x14ac:dyDescent="0.3">
      <c r="A1004" s="90" t="s">
        <v>3946</v>
      </c>
      <c r="B1004" s="90" t="s">
        <v>1457</v>
      </c>
      <c r="C1004" s="90" t="s">
        <v>1451</v>
      </c>
    </row>
    <row r="1005" spans="1:3" ht="14.4" x14ac:dyDescent="0.3">
      <c r="A1005" s="90" t="s">
        <v>3947</v>
      </c>
      <c r="B1005" s="90" t="s">
        <v>1458</v>
      </c>
      <c r="C1005" s="90" t="s">
        <v>1451</v>
      </c>
    </row>
    <row r="1006" spans="1:3" ht="14.4" x14ac:dyDescent="0.3">
      <c r="A1006" s="90" t="s">
        <v>3948</v>
      </c>
      <c r="B1006" s="90" t="s">
        <v>120</v>
      </c>
      <c r="C1006" s="90" t="s">
        <v>116</v>
      </c>
    </row>
    <row r="1007" spans="1:3" ht="14.4" x14ac:dyDescent="0.3">
      <c r="A1007" s="90" t="s">
        <v>3949</v>
      </c>
      <c r="B1007" s="90" t="s">
        <v>1399</v>
      </c>
      <c r="C1007" s="90" t="s">
        <v>1392</v>
      </c>
    </row>
    <row r="1008" spans="1:3" ht="14.4" x14ac:dyDescent="0.3">
      <c r="A1008" s="90" t="s">
        <v>3950</v>
      </c>
      <c r="B1008" s="90" t="s">
        <v>299</v>
      </c>
      <c r="C1008" s="90" t="s">
        <v>203</v>
      </c>
    </row>
    <row r="1009" spans="1:3" ht="14.4" x14ac:dyDescent="0.3">
      <c r="A1009" s="90" t="s">
        <v>3951</v>
      </c>
      <c r="B1009" s="90" t="s">
        <v>816</v>
      </c>
      <c r="C1009" s="90" t="s">
        <v>800</v>
      </c>
    </row>
    <row r="1010" spans="1:3" ht="14.4" x14ac:dyDescent="0.3">
      <c r="A1010" s="90" t="s">
        <v>3952</v>
      </c>
      <c r="B1010" s="90" t="s">
        <v>2341</v>
      </c>
      <c r="C1010" s="90" t="s">
        <v>2328</v>
      </c>
    </row>
    <row r="1011" spans="1:3" ht="14.4" x14ac:dyDescent="0.3">
      <c r="A1011" s="90" t="s">
        <v>3953</v>
      </c>
      <c r="B1011" s="90" t="s">
        <v>2641</v>
      </c>
      <c r="C1011" s="90" t="s">
        <v>2633</v>
      </c>
    </row>
    <row r="1012" spans="1:3" ht="14.4" x14ac:dyDescent="0.3">
      <c r="A1012" s="90" t="s">
        <v>3954</v>
      </c>
      <c r="B1012" s="90" t="s">
        <v>2303</v>
      </c>
      <c r="C1012" s="90" t="s">
        <v>2275</v>
      </c>
    </row>
    <row r="1013" spans="1:3" ht="14.4" x14ac:dyDescent="0.3">
      <c r="A1013" s="90" t="s">
        <v>3955</v>
      </c>
      <c r="B1013" s="90" t="s">
        <v>490</v>
      </c>
      <c r="C1013" s="90" t="s">
        <v>449</v>
      </c>
    </row>
    <row r="1014" spans="1:3" ht="14.4" x14ac:dyDescent="0.3">
      <c r="A1014" s="90" t="s">
        <v>3956</v>
      </c>
      <c r="B1014" s="90" t="s">
        <v>1980</v>
      </c>
      <c r="C1014" s="90" t="s">
        <v>1977</v>
      </c>
    </row>
    <row r="1015" spans="1:3" ht="14.4" x14ac:dyDescent="0.3">
      <c r="A1015" s="90" t="s">
        <v>3957</v>
      </c>
      <c r="B1015" s="90" t="s">
        <v>2440</v>
      </c>
      <c r="C1015" s="90" t="s">
        <v>2421</v>
      </c>
    </row>
    <row r="1016" spans="1:3" ht="14.4" x14ac:dyDescent="0.3">
      <c r="A1016" s="90" t="s">
        <v>3958</v>
      </c>
      <c r="B1016" s="90" t="s">
        <v>704</v>
      </c>
      <c r="C1016" s="90" t="s">
        <v>675</v>
      </c>
    </row>
    <row r="1017" spans="1:3" ht="14.4" x14ac:dyDescent="0.3">
      <c r="A1017" s="90" t="s">
        <v>3959</v>
      </c>
      <c r="B1017" s="90" t="s">
        <v>1209</v>
      </c>
      <c r="C1017" s="90" t="s">
        <v>1208</v>
      </c>
    </row>
    <row r="1018" spans="1:3" ht="14.4" x14ac:dyDescent="0.3">
      <c r="A1018" s="90" t="s">
        <v>3960</v>
      </c>
      <c r="B1018" s="90" t="s">
        <v>1602</v>
      </c>
      <c r="C1018" s="90" t="s">
        <v>1580</v>
      </c>
    </row>
    <row r="1019" spans="1:3" ht="14.4" x14ac:dyDescent="0.3">
      <c r="A1019" s="90" t="s">
        <v>3961</v>
      </c>
      <c r="B1019" s="90" t="s">
        <v>1601</v>
      </c>
      <c r="C1019" s="90" t="s">
        <v>1580</v>
      </c>
    </row>
    <row r="1020" spans="1:3" ht="14.4" x14ac:dyDescent="0.3">
      <c r="A1020" s="90" t="s">
        <v>3962</v>
      </c>
      <c r="B1020" s="90" t="s">
        <v>2006</v>
      </c>
      <c r="C1020" s="90" t="s">
        <v>2003</v>
      </c>
    </row>
    <row r="1021" spans="1:3" ht="14.4" x14ac:dyDescent="0.3">
      <c r="A1021" s="90" t="s">
        <v>3963</v>
      </c>
      <c r="B1021" s="90" t="s">
        <v>2016</v>
      </c>
      <c r="C1021" s="90" t="s">
        <v>2015</v>
      </c>
    </row>
    <row r="1022" spans="1:3" ht="14.4" x14ac:dyDescent="0.3">
      <c r="A1022" s="90" t="s">
        <v>3964</v>
      </c>
      <c r="B1022" s="90" t="s">
        <v>2137</v>
      </c>
      <c r="C1022" s="90" t="s">
        <v>2124</v>
      </c>
    </row>
    <row r="1023" spans="1:3" ht="14.4" x14ac:dyDescent="0.3">
      <c r="A1023" s="90" t="s">
        <v>3965</v>
      </c>
      <c r="B1023" s="90" t="s">
        <v>464</v>
      </c>
      <c r="C1023" s="90" t="s">
        <v>449</v>
      </c>
    </row>
    <row r="1024" spans="1:3" ht="14.4" x14ac:dyDescent="0.3">
      <c r="A1024" s="90" t="s">
        <v>3966</v>
      </c>
      <c r="B1024" s="90" t="s">
        <v>2113</v>
      </c>
      <c r="C1024" s="90" t="s">
        <v>2106</v>
      </c>
    </row>
    <row r="1025" spans="1:3" ht="14.4" x14ac:dyDescent="0.3">
      <c r="A1025" s="90" t="s">
        <v>3967</v>
      </c>
      <c r="B1025" s="90" t="s">
        <v>1816</v>
      </c>
      <c r="C1025" s="90" t="s">
        <v>1800</v>
      </c>
    </row>
    <row r="1026" spans="1:3" ht="14.4" x14ac:dyDescent="0.3">
      <c r="A1026" s="90" t="s">
        <v>3968</v>
      </c>
      <c r="B1026" s="90" t="s">
        <v>105</v>
      </c>
      <c r="C1026" s="90" t="s">
        <v>91</v>
      </c>
    </row>
    <row r="1027" spans="1:3" ht="14.4" x14ac:dyDescent="0.3">
      <c r="A1027" s="90" t="s">
        <v>3969</v>
      </c>
      <c r="B1027" s="90" t="s">
        <v>386</v>
      </c>
      <c r="C1027" s="90" t="s">
        <v>203</v>
      </c>
    </row>
    <row r="1028" spans="1:3" ht="14.4" x14ac:dyDescent="0.3">
      <c r="A1028" s="90" t="s">
        <v>3970</v>
      </c>
      <c r="B1028" s="90" t="s">
        <v>318</v>
      </c>
      <c r="C1028" s="90" t="s">
        <v>203</v>
      </c>
    </row>
    <row r="1029" spans="1:3" ht="14.4" x14ac:dyDescent="0.3">
      <c r="A1029" s="90" t="s">
        <v>3971</v>
      </c>
      <c r="B1029" s="90" t="s">
        <v>967</v>
      </c>
      <c r="C1029" s="90" t="s">
        <v>961</v>
      </c>
    </row>
    <row r="1030" spans="1:3" ht="14.4" x14ac:dyDescent="0.3">
      <c r="A1030" s="90" t="s">
        <v>3972</v>
      </c>
      <c r="B1030" s="90" t="s">
        <v>2282</v>
      </c>
      <c r="C1030" s="90" t="s">
        <v>2275</v>
      </c>
    </row>
    <row r="1031" spans="1:3" ht="14.4" x14ac:dyDescent="0.3">
      <c r="A1031" s="90" t="s">
        <v>3973</v>
      </c>
      <c r="B1031" s="90" t="s">
        <v>314</v>
      </c>
      <c r="C1031" s="90" t="s">
        <v>203</v>
      </c>
    </row>
    <row r="1032" spans="1:3" ht="14.4" x14ac:dyDescent="0.3">
      <c r="A1032" s="90" t="s">
        <v>3974</v>
      </c>
      <c r="B1032" s="90" t="s">
        <v>2473</v>
      </c>
      <c r="C1032" s="90" t="s">
        <v>2468</v>
      </c>
    </row>
    <row r="1033" spans="1:3" ht="14.4" x14ac:dyDescent="0.3">
      <c r="A1033" s="90" t="s">
        <v>3975</v>
      </c>
      <c r="B1033" s="90" t="s">
        <v>2780</v>
      </c>
      <c r="C1033" s="90" t="s">
        <v>2767</v>
      </c>
    </row>
    <row r="1034" spans="1:3" ht="14.4" x14ac:dyDescent="0.3">
      <c r="A1034" s="90" t="s">
        <v>3976</v>
      </c>
      <c r="B1034" s="90" t="s">
        <v>1993</v>
      </c>
      <c r="C1034" s="90" t="s">
        <v>1988</v>
      </c>
    </row>
    <row r="1035" spans="1:3" ht="14.4" x14ac:dyDescent="0.3">
      <c r="A1035" s="90" t="s">
        <v>3977</v>
      </c>
      <c r="B1035" s="90" t="s">
        <v>1876</v>
      </c>
      <c r="C1035" s="90" t="s">
        <v>1863</v>
      </c>
    </row>
    <row r="1036" spans="1:3" ht="14.4" x14ac:dyDescent="0.3">
      <c r="A1036" s="90" t="s">
        <v>3978</v>
      </c>
      <c r="B1036" s="90" t="s">
        <v>2194</v>
      </c>
      <c r="C1036" s="90" t="s">
        <v>2182</v>
      </c>
    </row>
    <row r="1037" spans="1:3" ht="14.4" x14ac:dyDescent="0.3">
      <c r="A1037" s="90" t="s">
        <v>3979</v>
      </c>
      <c r="B1037" s="90" t="s">
        <v>640</v>
      </c>
      <c r="C1037" s="90" t="s">
        <v>627</v>
      </c>
    </row>
    <row r="1038" spans="1:3" ht="14.4" x14ac:dyDescent="0.3">
      <c r="A1038" s="90" t="s">
        <v>3980</v>
      </c>
      <c r="B1038" s="90" t="s">
        <v>130</v>
      </c>
      <c r="C1038" s="90" t="s">
        <v>116</v>
      </c>
    </row>
    <row r="1039" spans="1:3" ht="14.4" x14ac:dyDescent="0.3">
      <c r="A1039" s="90" t="s">
        <v>3981</v>
      </c>
      <c r="B1039" s="90" t="s">
        <v>319</v>
      </c>
      <c r="C1039" s="90" t="s">
        <v>203</v>
      </c>
    </row>
    <row r="1040" spans="1:3" ht="14.4" x14ac:dyDescent="0.3">
      <c r="A1040" s="90" t="s">
        <v>3982</v>
      </c>
      <c r="B1040" s="90" t="s">
        <v>2629</v>
      </c>
      <c r="C1040" s="90" t="s">
        <v>2628</v>
      </c>
    </row>
    <row r="1041" spans="1:3" ht="14.4" x14ac:dyDescent="0.3">
      <c r="A1041" s="90" t="s">
        <v>3983</v>
      </c>
      <c r="B1041" s="90" t="s">
        <v>2138</v>
      </c>
      <c r="C1041" s="90" t="s">
        <v>2124</v>
      </c>
    </row>
    <row r="1042" spans="1:3" ht="14.4" x14ac:dyDescent="0.3">
      <c r="A1042" s="90" t="s">
        <v>3984</v>
      </c>
      <c r="B1042" s="90" t="s">
        <v>1953</v>
      </c>
      <c r="C1042" s="90" t="s">
        <v>1949</v>
      </c>
    </row>
    <row r="1043" spans="1:3" ht="14.4" x14ac:dyDescent="0.3">
      <c r="A1043" s="90" t="s">
        <v>3985</v>
      </c>
      <c r="B1043" s="90" t="s">
        <v>2709</v>
      </c>
      <c r="C1043" s="90" t="s">
        <v>2683</v>
      </c>
    </row>
    <row r="1044" spans="1:3" ht="14.4" x14ac:dyDescent="0.3">
      <c r="A1044" s="90" t="s">
        <v>3986</v>
      </c>
      <c r="B1044" s="90" t="s">
        <v>1811</v>
      </c>
      <c r="C1044" s="90" t="s">
        <v>1800</v>
      </c>
    </row>
    <row r="1045" spans="1:3" ht="14.4" x14ac:dyDescent="0.3">
      <c r="A1045" s="90" t="s">
        <v>3987</v>
      </c>
      <c r="B1045" s="90" t="s">
        <v>2492</v>
      </c>
      <c r="C1045" s="90" t="s">
        <v>2489</v>
      </c>
    </row>
    <row r="1046" spans="1:3" ht="14.4" x14ac:dyDescent="0.3">
      <c r="A1046" s="90" t="s">
        <v>3988</v>
      </c>
      <c r="B1046" s="90" t="s">
        <v>2768</v>
      </c>
      <c r="C1046" s="90" t="s">
        <v>2767</v>
      </c>
    </row>
    <row r="1047" spans="1:3" ht="14.4" x14ac:dyDescent="0.3">
      <c r="A1047" s="90" t="s">
        <v>3989</v>
      </c>
      <c r="B1047" s="90" t="s">
        <v>2373</v>
      </c>
      <c r="C1047" s="90" t="s">
        <v>2365</v>
      </c>
    </row>
    <row r="1048" spans="1:3" ht="14.4" x14ac:dyDescent="0.3">
      <c r="A1048" s="90" t="s">
        <v>3990</v>
      </c>
      <c r="B1048" s="90" t="s">
        <v>2642</v>
      </c>
      <c r="C1048" s="90" t="s">
        <v>2633</v>
      </c>
    </row>
    <row r="1049" spans="1:3" ht="14.4" x14ac:dyDescent="0.3">
      <c r="A1049" s="90" t="s">
        <v>3991</v>
      </c>
      <c r="B1049" s="90" t="s">
        <v>320</v>
      </c>
      <c r="C1049" s="90" t="s">
        <v>203</v>
      </c>
    </row>
    <row r="1050" spans="1:3" ht="14.4" x14ac:dyDescent="0.3">
      <c r="A1050" s="90" t="s">
        <v>3992</v>
      </c>
      <c r="B1050" s="90" t="s">
        <v>618</v>
      </c>
      <c r="C1050" s="90" t="s">
        <v>613</v>
      </c>
    </row>
    <row r="1051" spans="1:3" ht="14.4" x14ac:dyDescent="0.3">
      <c r="A1051" s="90" t="s">
        <v>3993</v>
      </c>
      <c r="B1051" s="90" t="s">
        <v>619</v>
      </c>
      <c r="C1051" s="90" t="s">
        <v>613</v>
      </c>
    </row>
    <row r="1052" spans="1:3" ht="14.4" x14ac:dyDescent="0.3">
      <c r="A1052" s="90" t="s">
        <v>3994</v>
      </c>
      <c r="B1052" s="90" t="s">
        <v>1480</v>
      </c>
      <c r="C1052" s="90" t="s">
        <v>1472</v>
      </c>
    </row>
    <row r="1053" spans="1:3" ht="14.4" x14ac:dyDescent="0.3">
      <c r="A1053" s="90" t="s">
        <v>3995</v>
      </c>
      <c r="B1053" s="90" t="s">
        <v>706</v>
      </c>
      <c r="C1053" s="90" t="s">
        <v>675</v>
      </c>
    </row>
    <row r="1054" spans="1:3" ht="14.4" x14ac:dyDescent="0.3">
      <c r="A1054" s="90" t="s">
        <v>3996</v>
      </c>
      <c r="B1054" s="90" t="s">
        <v>321</v>
      </c>
      <c r="C1054" s="90" t="s">
        <v>203</v>
      </c>
    </row>
    <row r="1055" spans="1:3" ht="14.4" x14ac:dyDescent="0.3">
      <c r="A1055" s="90" t="s">
        <v>3997</v>
      </c>
      <c r="B1055" s="90" t="s">
        <v>2710</v>
      </c>
      <c r="C1055" s="90" t="s">
        <v>2683</v>
      </c>
    </row>
    <row r="1056" spans="1:3" ht="14.4" x14ac:dyDescent="0.3">
      <c r="A1056" s="90" t="s">
        <v>3998</v>
      </c>
      <c r="B1056" s="90" t="s">
        <v>2222</v>
      </c>
      <c r="C1056" s="90" t="s">
        <v>2214</v>
      </c>
    </row>
    <row r="1057" spans="1:3" ht="14.4" x14ac:dyDescent="0.3">
      <c r="A1057" s="90" t="s">
        <v>3999</v>
      </c>
      <c r="B1057" s="90" t="s">
        <v>322</v>
      </c>
      <c r="C1057" s="90" t="s">
        <v>203</v>
      </c>
    </row>
    <row r="1058" spans="1:3" ht="14.4" x14ac:dyDescent="0.3">
      <c r="A1058" s="90" t="s">
        <v>4000</v>
      </c>
      <c r="B1058" s="90" t="s">
        <v>132</v>
      </c>
      <c r="C1058" s="90" t="s">
        <v>116</v>
      </c>
    </row>
    <row r="1059" spans="1:3" ht="14.4" x14ac:dyDescent="0.3">
      <c r="A1059" s="90" t="s">
        <v>4001</v>
      </c>
      <c r="B1059" s="90" t="s">
        <v>1416</v>
      </c>
      <c r="C1059" s="90" t="s">
        <v>1392</v>
      </c>
    </row>
    <row r="1060" spans="1:3" ht="14.4" x14ac:dyDescent="0.3">
      <c r="A1060" s="90" t="s">
        <v>4002</v>
      </c>
      <c r="B1060" s="90" t="s">
        <v>326</v>
      </c>
      <c r="C1060" s="90" t="s">
        <v>203</v>
      </c>
    </row>
    <row r="1061" spans="1:3" ht="14.4" x14ac:dyDescent="0.3">
      <c r="A1061" s="90" t="s">
        <v>4003</v>
      </c>
      <c r="B1061" s="90" t="s">
        <v>465</v>
      </c>
      <c r="C1061" s="90" t="s">
        <v>449</v>
      </c>
    </row>
    <row r="1062" spans="1:3" ht="14.4" x14ac:dyDescent="0.3">
      <c r="A1062" s="90" t="s">
        <v>4004</v>
      </c>
      <c r="B1062" s="90" t="s">
        <v>1972</v>
      </c>
      <c r="C1062" s="90" t="s">
        <v>1966</v>
      </c>
    </row>
    <row r="1063" spans="1:3" ht="14.4" x14ac:dyDescent="0.3">
      <c r="A1063" s="90" t="s">
        <v>4005</v>
      </c>
      <c r="B1063" s="90" t="s">
        <v>756</v>
      </c>
      <c r="C1063" s="90" t="s">
        <v>744</v>
      </c>
    </row>
    <row r="1064" spans="1:3" ht="14.4" x14ac:dyDescent="0.3">
      <c r="A1064" s="90" t="s">
        <v>4006</v>
      </c>
      <c r="B1064" s="90" t="s">
        <v>2344</v>
      </c>
      <c r="C1064" s="90" t="s">
        <v>2328</v>
      </c>
    </row>
    <row r="1065" spans="1:3" ht="14.4" x14ac:dyDescent="0.3">
      <c r="A1065" s="90" t="s">
        <v>4007</v>
      </c>
      <c r="B1065" s="90" t="s">
        <v>1957</v>
      </c>
      <c r="C1065" s="90" t="s">
        <v>1955</v>
      </c>
    </row>
    <row r="1066" spans="1:3" ht="14.4" x14ac:dyDescent="0.3">
      <c r="A1066" s="90" t="s">
        <v>4008</v>
      </c>
      <c r="B1066" s="90" t="s">
        <v>94</v>
      </c>
      <c r="C1066" s="90" t="s">
        <v>91</v>
      </c>
    </row>
    <row r="1067" spans="1:3" ht="14.4" x14ac:dyDescent="0.3">
      <c r="A1067" s="90" t="s">
        <v>4009</v>
      </c>
      <c r="B1067" s="90" t="s">
        <v>2634</v>
      </c>
      <c r="C1067" s="90" t="s">
        <v>2633</v>
      </c>
    </row>
    <row r="1068" spans="1:3" ht="14.4" x14ac:dyDescent="0.3">
      <c r="A1068" s="90" t="s">
        <v>4010</v>
      </c>
      <c r="B1068" s="90" t="s">
        <v>25</v>
      </c>
      <c r="C1068" s="90" t="s">
        <v>7</v>
      </c>
    </row>
    <row r="1069" spans="1:3" ht="14.4" x14ac:dyDescent="0.3">
      <c r="A1069" s="90" t="s">
        <v>4011</v>
      </c>
      <c r="B1069" s="90" t="s">
        <v>1493</v>
      </c>
      <c r="C1069" s="90" t="s">
        <v>1485</v>
      </c>
    </row>
    <row r="1070" spans="1:3" ht="14.4" x14ac:dyDescent="0.3">
      <c r="A1070" s="90" t="s">
        <v>4012</v>
      </c>
      <c r="B1070" s="90" t="s">
        <v>1223</v>
      </c>
      <c r="C1070" s="90" t="s">
        <v>1220</v>
      </c>
    </row>
    <row r="1071" spans="1:3" ht="14.4" x14ac:dyDescent="0.3">
      <c r="A1071" s="90" t="s">
        <v>4013</v>
      </c>
      <c r="B1071" s="90" t="s">
        <v>886</v>
      </c>
      <c r="C1071" s="90" t="s">
        <v>874</v>
      </c>
    </row>
    <row r="1072" spans="1:3" ht="14.4" x14ac:dyDescent="0.3">
      <c r="A1072" s="90" t="s">
        <v>4014</v>
      </c>
      <c r="B1072" s="90" t="s">
        <v>973</v>
      </c>
      <c r="C1072" s="90" t="s">
        <v>972</v>
      </c>
    </row>
    <row r="1073" spans="1:3" ht="14.4" x14ac:dyDescent="0.3">
      <c r="A1073" s="90" t="s">
        <v>4015</v>
      </c>
      <c r="B1073" s="90" t="s">
        <v>1912</v>
      </c>
      <c r="C1073" s="90" t="s">
        <v>1901</v>
      </c>
    </row>
    <row r="1074" spans="1:3" ht="14.4" x14ac:dyDescent="0.3">
      <c r="A1074" s="90" t="s">
        <v>4016</v>
      </c>
      <c r="B1074" s="90" t="s">
        <v>1903</v>
      </c>
      <c r="C1074" s="90" t="s">
        <v>1901</v>
      </c>
    </row>
    <row r="1075" spans="1:3" ht="14.4" x14ac:dyDescent="0.3">
      <c r="A1075" s="90" t="s">
        <v>4017</v>
      </c>
      <c r="B1075" s="90" t="s">
        <v>1556</v>
      </c>
      <c r="C1075" s="90" t="s">
        <v>1554</v>
      </c>
    </row>
    <row r="1076" spans="1:3" ht="14.4" x14ac:dyDescent="0.3">
      <c r="A1076" s="90" t="s">
        <v>4018</v>
      </c>
      <c r="B1076" s="90" t="s">
        <v>1180</v>
      </c>
      <c r="C1076" s="90" t="s">
        <v>1173</v>
      </c>
    </row>
    <row r="1077" spans="1:3" ht="14.4" x14ac:dyDescent="0.3">
      <c r="A1077" s="90" t="s">
        <v>4019</v>
      </c>
      <c r="B1077" s="90" t="s">
        <v>2083</v>
      </c>
      <c r="C1077" s="90" t="s">
        <v>2066</v>
      </c>
    </row>
    <row r="1078" spans="1:3" ht="14.4" x14ac:dyDescent="0.3">
      <c r="A1078" s="90" t="s">
        <v>4020</v>
      </c>
      <c r="B1078" s="90" t="s">
        <v>1813</v>
      </c>
      <c r="C1078" s="90" t="s">
        <v>1800</v>
      </c>
    </row>
    <row r="1079" spans="1:3" ht="14.4" x14ac:dyDescent="0.3">
      <c r="A1079" s="90" t="s">
        <v>4021</v>
      </c>
      <c r="B1079" s="90" t="s">
        <v>533</v>
      </c>
      <c r="C1079" s="90" t="s">
        <v>449</v>
      </c>
    </row>
    <row r="1080" spans="1:3" ht="14.4" x14ac:dyDescent="0.3">
      <c r="A1080" s="90" t="s">
        <v>4022</v>
      </c>
      <c r="B1080" s="90" t="s">
        <v>107</v>
      </c>
      <c r="C1080" s="90" t="s">
        <v>91</v>
      </c>
    </row>
    <row r="1081" spans="1:3" ht="14.4" x14ac:dyDescent="0.3">
      <c r="A1081" s="90" t="s">
        <v>4023</v>
      </c>
      <c r="B1081" s="90" t="s">
        <v>630</v>
      </c>
      <c r="C1081" s="90" t="s">
        <v>627</v>
      </c>
    </row>
    <row r="1082" spans="1:3" ht="14.4" x14ac:dyDescent="0.3">
      <c r="A1082" s="90" t="s">
        <v>4024</v>
      </c>
      <c r="B1082" s="90" t="s">
        <v>1003</v>
      </c>
      <c r="C1082" s="90" t="s">
        <v>972</v>
      </c>
    </row>
    <row r="1083" spans="1:3" ht="14.4" x14ac:dyDescent="0.3">
      <c r="A1083" s="90" t="s">
        <v>4025</v>
      </c>
      <c r="B1083" s="90" t="s">
        <v>2196</v>
      </c>
      <c r="C1083" s="90" t="s">
        <v>2182</v>
      </c>
    </row>
    <row r="1084" spans="1:3" ht="14.4" x14ac:dyDescent="0.3">
      <c r="A1084" s="90" t="s">
        <v>4026</v>
      </c>
      <c r="B1084" s="90" t="s">
        <v>1092</v>
      </c>
      <c r="C1084" s="90" t="s">
        <v>1090</v>
      </c>
    </row>
    <row r="1085" spans="1:3" ht="14.4" x14ac:dyDescent="0.3">
      <c r="A1085" s="90" t="s">
        <v>4027</v>
      </c>
      <c r="B1085" s="90" t="s">
        <v>935</v>
      </c>
      <c r="C1085" s="90" t="s">
        <v>916</v>
      </c>
    </row>
    <row r="1086" spans="1:3" ht="14.4" x14ac:dyDescent="0.3">
      <c r="A1086" s="90" t="s">
        <v>4028</v>
      </c>
      <c r="B1086" s="90" t="s">
        <v>747</v>
      </c>
      <c r="C1086" s="90" t="s">
        <v>744</v>
      </c>
    </row>
    <row r="1087" spans="1:3" ht="14.4" x14ac:dyDescent="0.3">
      <c r="A1087" s="90" t="s">
        <v>4029</v>
      </c>
      <c r="B1087" s="90" t="s">
        <v>1721</v>
      </c>
      <c r="C1087" s="90" t="s">
        <v>1715</v>
      </c>
    </row>
    <row r="1088" spans="1:3" ht="14.4" x14ac:dyDescent="0.3">
      <c r="A1088" s="90" t="s">
        <v>4030</v>
      </c>
      <c r="B1088" s="90" t="s">
        <v>77</v>
      </c>
      <c r="C1088" s="90" t="s">
        <v>72</v>
      </c>
    </row>
    <row r="1089" spans="1:3" ht="14.4" x14ac:dyDescent="0.3">
      <c r="A1089" s="90" t="s">
        <v>4031</v>
      </c>
      <c r="B1089" s="90" t="s">
        <v>534</v>
      </c>
      <c r="C1089" s="90" t="s">
        <v>449</v>
      </c>
    </row>
    <row r="1090" spans="1:3" ht="14.4" x14ac:dyDescent="0.3">
      <c r="A1090" s="90" t="s">
        <v>4032</v>
      </c>
      <c r="B1090" s="90" t="s">
        <v>817</v>
      </c>
      <c r="C1090" s="90" t="s">
        <v>800</v>
      </c>
    </row>
    <row r="1091" spans="1:3" ht="14.4" x14ac:dyDescent="0.3">
      <c r="A1091" s="90" t="s">
        <v>4033</v>
      </c>
      <c r="B1091" s="90" t="s">
        <v>1877</v>
      </c>
      <c r="C1091" s="90" t="s">
        <v>1863</v>
      </c>
    </row>
    <row r="1092" spans="1:3" ht="14.4" x14ac:dyDescent="0.3">
      <c r="A1092" s="90" t="s">
        <v>4034</v>
      </c>
      <c r="B1092" s="90" t="s">
        <v>1684</v>
      </c>
      <c r="C1092" s="90" t="s">
        <v>1681</v>
      </c>
    </row>
    <row r="1093" spans="1:3" ht="14.4" x14ac:dyDescent="0.3">
      <c r="A1093" s="90" t="s">
        <v>4035</v>
      </c>
      <c r="B1093" s="90" t="s">
        <v>2872</v>
      </c>
      <c r="C1093" s="90" t="s">
        <v>2866</v>
      </c>
    </row>
    <row r="1094" spans="1:3" ht="14.4" x14ac:dyDescent="0.3">
      <c r="A1094" s="90" t="s">
        <v>4036</v>
      </c>
      <c r="B1094" s="90" t="s">
        <v>1159</v>
      </c>
      <c r="C1094" s="90" t="s">
        <v>1147</v>
      </c>
    </row>
    <row r="1095" spans="1:3" ht="14.4" x14ac:dyDescent="0.3">
      <c r="A1095" s="90" t="s">
        <v>4037</v>
      </c>
      <c r="B1095" s="90" t="s">
        <v>2476</v>
      </c>
      <c r="C1095" s="90" t="s">
        <v>2468</v>
      </c>
    </row>
    <row r="1096" spans="1:3" ht="14.4" x14ac:dyDescent="0.3">
      <c r="A1096" s="90" t="s">
        <v>4038</v>
      </c>
      <c r="B1096" s="90" t="s">
        <v>2474</v>
      </c>
      <c r="C1096" s="90" t="s">
        <v>2468</v>
      </c>
    </row>
    <row r="1097" spans="1:3" ht="14.4" x14ac:dyDescent="0.3">
      <c r="A1097" s="90" t="s">
        <v>4039</v>
      </c>
      <c r="B1097" s="90" t="s">
        <v>2040</v>
      </c>
      <c r="C1097" s="90" t="s">
        <v>2015</v>
      </c>
    </row>
    <row r="1098" spans="1:3" ht="14.4" x14ac:dyDescent="0.3">
      <c r="A1098" s="90" t="s">
        <v>4040</v>
      </c>
      <c r="B1098" s="90" t="s">
        <v>1453</v>
      </c>
      <c r="C1098" s="90" t="s">
        <v>1451</v>
      </c>
    </row>
    <row r="1099" spans="1:3" ht="14.4" x14ac:dyDescent="0.3">
      <c r="A1099" s="90" t="s">
        <v>4041</v>
      </c>
      <c r="B1099" s="90" t="s">
        <v>1924</v>
      </c>
      <c r="C1099" s="90" t="s">
        <v>1919</v>
      </c>
    </row>
    <row r="1100" spans="1:3" ht="14.4" x14ac:dyDescent="0.3">
      <c r="A1100" s="90" t="s">
        <v>4042</v>
      </c>
      <c r="B1100" s="90" t="s">
        <v>1138</v>
      </c>
      <c r="C1100" s="90" t="s">
        <v>1134</v>
      </c>
    </row>
    <row r="1101" spans="1:3" ht="14.4" x14ac:dyDescent="0.3">
      <c r="A1101" s="90" t="s">
        <v>4043</v>
      </c>
      <c r="B1101" s="90" t="s">
        <v>1119</v>
      </c>
      <c r="C1101" s="90" t="s">
        <v>1106</v>
      </c>
    </row>
    <row r="1102" spans="1:3" ht="14.4" x14ac:dyDescent="0.3">
      <c r="A1102" s="90" t="s">
        <v>4044</v>
      </c>
      <c r="B1102" s="90" t="s">
        <v>166</v>
      </c>
      <c r="C1102" s="90" t="s">
        <v>163</v>
      </c>
    </row>
    <row r="1103" spans="1:3" ht="14.4" x14ac:dyDescent="0.3">
      <c r="A1103" s="90" t="s">
        <v>4045</v>
      </c>
      <c r="B1103" s="90" t="s">
        <v>2711</v>
      </c>
      <c r="C1103" s="90" t="s">
        <v>2683</v>
      </c>
    </row>
    <row r="1104" spans="1:3" ht="14.4" x14ac:dyDescent="0.3">
      <c r="A1104" s="90" t="s">
        <v>4046</v>
      </c>
      <c r="B1104" s="90" t="s">
        <v>1648</v>
      </c>
      <c r="C1104" s="90" t="s">
        <v>1631</v>
      </c>
    </row>
    <row r="1105" spans="1:3" ht="14.4" x14ac:dyDescent="0.3">
      <c r="A1105" s="90" t="s">
        <v>4047</v>
      </c>
      <c r="B1105" s="90" t="s">
        <v>2071</v>
      </c>
      <c r="C1105" s="90" t="s">
        <v>2066</v>
      </c>
    </row>
    <row r="1106" spans="1:3" ht="14.4" x14ac:dyDescent="0.3">
      <c r="A1106" s="90" t="s">
        <v>4048</v>
      </c>
      <c r="B1106" s="90" t="s">
        <v>642</v>
      </c>
      <c r="C1106" s="90" t="s">
        <v>627</v>
      </c>
    </row>
    <row r="1107" spans="1:3" ht="14.4" x14ac:dyDescent="0.3">
      <c r="A1107" s="90" t="s">
        <v>4049</v>
      </c>
      <c r="B1107" s="90" t="s">
        <v>325</v>
      </c>
      <c r="C1107" s="90" t="s">
        <v>203</v>
      </c>
    </row>
    <row r="1108" spans="1:3" ht="14.4" x14ac:dyDescent="0.3">
      <c r="A1108" s="90" t="s">
        <v>4050</v>
      </c>
      <c r="B1108" s="90" t="s">
        <v>1946</v>
      </c>
      <c r="C1108" s="90" t="s">
        <v>1944</v>
      </c>
    </row>
    <row r="1109" spans="1:3" ht="14.4" x14ac:dyDescent="0.3">
      <c r="A1109" s="90" t="s">
        <v>4051</v>
      </c>
      <c r="B1109" s="90" t="s">
        <v>2781</v>
      </c>
      <c r="C1109" s="90" t="s">
        <v>2767</v>
      </c>
    </row>
    <row r="1110" spans="1:3" ht="14.4" x14ac:dyDescent="0.3">
      <c r="A1110" s="90" t="s">
        <v>4052</v>
      </c>
      <c r="B1110" s="90" t="s">
        <v>1777</v>
      </c>
      <c r="C1110" s="90" t="s">
        <v>1741</v>
      </c>
    </row>
    <row r="1111" spans="1:3" ht="14.4" x14ac:dyDescent="0.3">
      <c r="A1111" s="90" t="s">
        <v>4053</v>
      </c>
      <c r="B1111" s="90" t="s">
        <v>2017</v>
      </c>
      <c r="C1111" s="90" t="s">
        <v>2015</v>
      </c>
    </row>
    <row r="1112" spans="1:3" ht="14.4" x14ac:dyDescent="0.3">
      <c r="A1112" s="90" t="s">
        <v>4054</v>
      </c>
      <c r="B1112" s="90" t="s">
        <v>1632</v>
      </c>
      <c r="C1112" s="90" t="s">
        <v>1631</v>
      </c>
    </row>
    <row r="1113" spans="1:3" ht="14.4" x14ac:dyDescent="0.3">
      <c r="A1113" s="90" t="s">
        <v>4055</v>
      </c>
      <c r="B1113" s="90" t="s">
        <v>1001</v>
      </c>
      <c r="C1113" s="90" t="s">
        <v>972</v>
      </c>
    </row>
    <row r="1114" spans="1:3" ht="14.4" x14ac:dyDescent="0.3">
      <c r="A1114" s="90" t="s">
        <v>4056</v>
      </c>
      <c r="B1114" s="90" t="s">
        <v>2475</v>
      </c>
      <c r="C1114" s="90" t="s">
        <v>2468</v>
      </c>
    </row>
    <row r="1115" spans="1:3" ht="14.4" x14ac:dyDescent="0.3">
      <c r="A1115" s="90" t="s">
        <v>4057</v>
      </c>
      <c r="B1115" s="90" t="s">
        <v>172</v>
      </c>
      <c r="C1115" s="90" t="s">
        <v>168</v>
      </c>
    </row>
    <row r="1116" spans="1:3" ht="14.4" x14ac:dyDescent="0.3">
      <c r="A1116" s="90" t="s">
        <v>4058</v>
      </c>
      <c r="B1116" s="90" t="s">
        <v>1371</v>
      </c>
      <c r="C1116" s="90" t="s">
        <v>1363</v>
      </c>
    </row>
    <row r="1117" spans="1:3" ht="14.4" x14ac:dyDescent="0.3">
      <c r="A1117" s="90" t="s">
        <v>4059</v>
      </c>
      <c r="B1117" s="90" t="s">
        <v>2783</v>
      </c>
      <c r="C1117" s="90" t="s">
        <v>2767</v>
      </c>
    </row>
    <row r="1118" spans="1:3" ht="14.4" x14ac:dyDescent="0.3">
      <c r="A1118" s="90" t="s">
        <v>4060</v>
      </c>
      <c r="B1118" s="90" t="s">
        <v>1519</v>
      </c>
      <c r="C1118" s="90" t="s">
        <v>1513</v>
      </c>
    </row>
    <row r="1119" spans="1:3" ht="14.4" x14ac:dyDescent="0.3">
      <c r="A1119" s="90" t="s">
        <v>4061</v>
      </c>
      <c r="B1119" s="90" t="s">
        <v>2041</v>
      </c>
      <c r="C1119" s="90" t="s">
        <v>2015</v>
      </c>
    </row>
    <row r="1120" spans="1:3" ht="14.4" x14ac:dyDescent="0.3">
      <c r="A1120" s="90" t="s">
        <v>4062</v>
      </c>
      <c r="B1120" s="90" t="s">
        <v>1487</v>
      </c>
      <c r="C1120" s="90" t="s">
        <v>1485</v>
      </c>
    </row>
    <row r="1121" spans="1:3" ht="14.4" x14ac:dyDescent="0.3">
      <c r="A1121" s="90" t="s">
        <v>4063</v>
      </c>
      <c r="B1121" s="90" t="s">
        <v>1486</v>
      </c>
      <c r="C1121" s="90" t="s">
        <v>1485</v>
      </c>
    </row>
    <row r="1122" spans="1:3" ht="14.4" x14ac:dyDescent="0.3">
      <c r="A1122" s="90" t="s">
        <v>4064</v>
      </c>
      <c r="B1122" s="90" t="s">
        <v>1226</v>
      </c>
      <c r="C1122" s="90" t="s">
        <v>1225</v>
      </c>
    </row>
    <row r="1123" spans="1:3" ht="14.4" x14ac:dyDescent="0.3">
      <c r="A1123" s="90" t="s">
        <v>4065</v>
      </c>
      <c r="B1123" s="90" t="s">
        <v>2139</v>
      </c>
      <c r="C1123" s="90" t="s">
        <v>2124</v>
      </c>
    </row>
    <row r="1124" spans="1:3" ht="14.4" x14ac:dyDescent="0.3">
      <c r="A1124" s="90" t="s">
        <v>4066</v>
      </c>
      <c r="B1124" s="90" t="s">
        <v>2712</v>
      </c>
      <c r="C1124" s="90" t="s">
        <v>2683</v>
      </c>
    </row>
    <row r="1125" spans="1:3" ht="14.4" x14ac:dyDescent="0.3">
      <c r="A1125" s="90" t="s">
        <v>4067</v>
      </c>
      <c r="B1125" s="90" t="s">
        <v>157</v>
      </c>
      <c r="C1125" s="90" t="s">
        <v>151</v>
      </c>
    </row>
    <row r="1126" spans="1:3" ht="14.4" x14ac:dyDescent="0.3">
      <c r="A1126" s="90" t="s">
        <v>4068</v>
      </c>
      <c r="B1126" s="90" t="s">
        <v>1911</v>
      </c>
      <c r="C1126" s="90" t="s">
        <v>1901</v>
      </c>
    </row>
    <row r="1127" spans="1:3" ht="14.4" x14ac:dyDescent="0.3">
      <c r="A1127" s="90" t="s">
        <v>4069</v>
      </c>
      <c r="B1127" s="90" t="s">
        <v>707</v>
      </c>
      <c r="C1127" s="90" t="s">
        <v>675</v>
      </c>
    </row>
    <row r="1128" spans="1:3" ht="14.4" x14ac:dyDescent="0.3">
      <c r="A1128" s="90" t="s">
        <v>4070</v>
      </c>
      <c r="B1128" s="90" t="s">
        <v>1778</v>
      </c>
      <c r="C1128" s="90" t="s">
        <v>1741</v>
      </c>
    </row>
    <row r="1129" spans="1:3" ht="14.4" x14ac:dyDescent="0.3">
      <c r="A1129" s="90" t="s">
        <v>4071</v>
      </c>
      <c r="B1129" s="90" t="s">
        <v>2635</v>
      </c>
      <c r="C1129" s="90" t="s">
        <v>2633</v>
      </c>
    </row>
    <row r="1130" spans="1:3" ht="14.4" x14ac:dyDescent="0.3">
      <c r="A1130" s="90" t="s">
        <v>4072</v>
      </c>
      <c r="B1130" s="90" t="s">
        <v>863</v>
      </c>
      <c r="C1130" s="90" t="s">
        <v>859</v>
      </c>
    </row>
    <row r="1131" spans="1:3" ht="14.4" x14ac:dyDescent="0.3">
      <c r="A1131" s="90" t="s">
        <v>4073</v>
      </c>
      <c r="B1131" s="90" t="s">
        <v>106</v>
      </c>
      <c r="C1131" s="90" t="s">
        <v>91</v>
      </c>
    </row>
    <row r="1132" spans="1:3" ht="14.4" x14ac:dyDescent="0.3">
      <c r="A1132" s="90" t="s">
        <v>4074</v>
      </c>
      <c r="B1132" s="90" t="s">
        <v>2114</v>
      </c>
      <c r="C1132" s="90" t="s">
        <v>2106</v>
      </c>
    </row>
    <row r="1133" spans="1:3" ht="14.4" x14ac:dyDescent="0.3">
      <c r="A1133" s="90" t="s">
        <v>4075</v>
      </c>
      <c r="B1133" s="90" t="s">
        <v>1101</v>
      </c>
      <c r="C1133" s="90" t="s">
        <v>1090</v>
      </c>
    </row>
    <row r="1134" spans="1:3" ht="14.4" x14ac:dyDescent="0.3">
      <c r="A1134" s="90" t="s">
        <v>4076</v>
      </c>
      <c r="B1134" s="90" t="s">
        <v>2666</v>
      </c>
      <c r="C1134" s="90" t="s">
        <v>2633</v>
      </c>
    </row>
    <row r="1135" spans="1:3" ht="14.4" x14ac:dyDescent="0.3">
      <c r="A1135" s="90" t="s">
        <v>4077</v>
      </c>
      <c r="B1135" s="90" t="s">
        <v>1981</v>
      </c>
      <c r="C1135" s="90" t="s">
        <v>1977</v>
      </c>
    </row>
    <row r="1136" spans="1:3" ht="14.4" x14ac:dyDescent="0.3">
      <c r="A1136" s="90" t="s">
        <v>4078</v>
      </c>
      <c r="B1136" s="90" t="s">
        <v>1002</v>
      </c>
      <c r="C1136" s="90" t="s">
        <v>972</v>
      </c>
    </row>
    <row r="1137" spans="1:3" ht="14.4" x14ac:dyDescent="0.3">
      <c r="A1137" s="90" t="s">
        <v>4079</v>
      </c>
      <c r="B1137" s="90" t="s">
        <v>1994</v>
      </c>
      <c r="C1137" s="90" t="s">
        <v>1988</v>
      </c>
    </row>
    <row r="1138" spans="1:3" ht="14.4" x14ac:dyDescent="0.3">
      <c r="A1138" s="90" t="s">
        <v>4080</v>
      </c>
      <c r="B1138" s="90" t="s">
        <v>2374</v>
      </c>
      <c r="C1138" s="90" t="s">
        <v>2365</v>
      </c>
    </row>
    <row r="1139" spans="1:3" ht="14.4" x14ac:dyDescent="0.3">
      <c r="A1139" s="90" t="s">
        <v>4081</v>
      </c>
      <c r="B1139" s="90" t="s">
        <v>1494</v>
      </c>
      <c r="C1139" s="90" t="s">
        <v>1485</v>
      </c>
    </row>
    <row r="1140" spans="1:3" ht="14.4" x14ac:dyDescent="0.3">
      <c r="A1140" s="90" t="s">
        <v>4082</v>
      </c>
      <c r="B1140" s="90" t="s">
        <v>1495</v>
      </c>
      <c r="C1140" s="90" t="s">
        <v>1485</v>
      </c>
    </row>
    <row r="1141" spans="1:3" ht="14.4" x14ac:dyDescent="0.3">
      <c r="A1141" s="90" t="s">
        <v>4083</v>
      </c>
      <c r="B1141" s="90" t="s">
        <v>746</v>
      </c>
      <c r="C1141" s="90" t="s">
        <v>744</v>
      </c>
    </row>
    <row r="1142" spans="1:3" ht="14.4" x14ac:dyDescent="0.3">
      <c r="A1142" s="90" t="s">
        <v>4084</v>
      </c>
      <c r="B1142" s="90" t="s">
        <v>2782</v>
      </c>
      <c r="C1142" s="90" t="s">
        <v>2767</v>
      </c>
    </row>
    <row r="1143" spans="1:3" ht="14.4" x14ac:dyDescent="0.3">
      <c r="A1143" s="90" t="s">
        <v>4085</v>
      </c>
      <c r="B1143" s="90" t="s">
        <v>323</v>
      </c>
      <c r="C1143" s="90" t="s">
        <v>203</v>
      </c>
    </row>
    <row r="1144" spans="1:3" ht="14.4" x14ac:dyDescent="0.3">
      <c r="A1144" s="90" t="s">
        <v>4086</v>
      </c>
      <c r="B1144" s="90" t="s">
        <v>708</v>
      </c>
      <c r="C1144" s="90" t="s">
        <v>675</v>
      </c>
    </row>
    <row r="1145" spans="1:3" ht="14.4" x14ac:dyDescent="0.3">
      <c r="A1145" s="90" t="s">
        <v>4087</v>
      </c>
      <c r="B1145" s="90" t="s">
        <v>2324</v>
      </c>
      <c r="C1145" s="90" t="s">
        <v>2320</v>
      </c>
    </row>
    <row r="1146" spans="1:3" ht="14.4" x14ac:dyDescent="0.3">
      <c r="A1146" s="90" t="s">
        <v>4088</v>
      </c>
      <c r="B1146" s="90" t="s">
        <v>1718</v>
      </c>
      <c r="C1146" s="90" t="s">
        <v>1715</v>
      </c>
    </row>
    <row r="1147" spans="1:3" ht="14.4" x14ac:dyDescent="0.3">
      <c r="A1147" s="90" t="s">
        <v>4089</v>
      </c>
      <c r="B1147" s="90" t="s">
        <v>617</v>
      </c>
      <c r="C1147" s="90" t="s">
        <v>613</v>
      </c>
    </row>
    <row r="1148" spans="1:3" ht="14.4" x14ac:dyDescent="0.3">
      <c r="A1148" s="90" t="s">
        <v>4090</v>
      </c>
      <c r="B1148" s="90" t="s">
        <v>1374</v>
      </c>
      <c r="C1148" s="90" t="s">
        <v>1363</v>
      </c>
    </row>
    <row r="1149" spans="1:3" ht="14.4" x14ac:dyDescent="0.3">
      <c r="A1149" s="90" t="s">
        <v>4091</v>
      </c>
      <c r="B1149" s="90" t="s">
        <v>2784</v>
      </c>
      <c r="C1149" s="90" t="s">
        <v>2767</v>
      </c>
    </row>
    <row r="1150" spans="1:3" ht="14.4" x14ac:dyDescent="0.3">
      <c r="A1150" s="90" t="s">
        <v>4092</v>
      </c>
      <c r="B1150" s="90" t="s">
        <v>2195</v>
      </c>
      <c r="C1150" s="90" t="s">
        <v>2182</v>
      </c>
    </row>
    <row r="1151" spans="1:3" ht="14.4" x14ac:dyDescent="0.3">
      <c r="A1151" s="90" t="s">
        <v>4093</v>
      </c>
      <c r="B1151" s="90" t="s">
        <v>2537</v>
      </c>
      <c r="C1151" s="90" t="s">
        <v>2489</v>
      </c>
    </row>
    <row r="1152" spans="1:3" ht="14.4" x14ac:dyDescent="0.3">
      <c r="A1152" s="90" t="s">
        <v>4094</v>
      </c>
      <c r="B1152" s="90" t="s">
        <v>1158</v>
      </c>
      <c r="C1152" s="90" t="s">
        <v>1147</v>
      </c>
    </row>
    <row r="1153" spans="1:3" ht="14.4" x14ac:dyDescent="0.3">
      <c r="A1153" s="90" t="s">
        <v>4095</v>
      </c>
      <c r="B1153" s="90" t="s">
        <v>324</v>
      </c>
      <c r="C1153" s="90" t="s">
        <v>203</v>
      </c>
    </row>
    <row r="1154" spans="1:3" ht="14.4" x14ac:dyDescent="0.3">
      <c r="A1154" s="90" t="s">
        <v>4096</v>
      </c>
      <c r="B1154" s="90" t="s">
        <v>1971</v>
      </c>
      <c r="C1154" s="90" t="s">
        <v>1966</v>
      </c>
    </row>
    <row r="1155" spans="1:3" ht="14.4" x14ac:dyDescent="0.3">
      <c r="A1155" s="90" t="s">
        <v>4097</v>
      </c>
      <c r="B1155" s="90" t="s">
        <v>2609</v>
      </c>
      <c r="C1155" s="90" t="s">
        <v>2589</v>
      </c>
    </row>
    <row r="1156" spans="1:3" ht="14.4" x14ac:dyDescent="0.3">
      <c r="A1156" s="90" t="s">
        <v>4098</v>
      </c>
      <c r="B1156" s="90" t="s">
        <v>2928</v>
      </c>
      <c r="C1156" s="90" t="s">
        <v>2919</v>
      </c>
    </row>
    <row r="1157" spans="1:3" ht="14.4" x14ac:dyDescent="0.3">
      <c r="A1157" s="90" t="s">
        <v>4099</v>
      </c>
      <c r="B1157" s="90" t="s">
        <v>1328</v>
      </c>
      <c r="C1157" s="90" t="s">
        <v>1313</v>
      </c>
    </row>
    <row r="1158" spans="1:3" ht="14.4" x14ac:dyDescent="0.3">
      <c r="A1158" s="90" t="s">
        <v>4100</v>
      </c>
      <c r="B1158" s="90" t="s">
        <v>2888</v>
      </c>
      <c r="C1158" s="90" t="s">
        <v>2874</v>
      </c>
    </row>
    <row r="1159" spans="1:3" ht="14.4" x14ac:dyDescent="0.3">
      <c r="A1159" s="90" t="s">
        <v>4101</v>
      </c>
      <c r="B1159" s="90" t="s">
        <v>1549</v>
      </c>
      <c r="C1159" s="90" t="s">
        <v>1544</v>
      </c>
    </row>
    <row r="1160" spans="1:3" ht="14.4" x14ac:dyDescent="0.3">
      <c r="A1160" s="90" t="s">
        <v>4102</v>
      </c>
      <c r="B1160" s="90" t="s">
        <v>56</v>
      </c>
      <c r="C1160" s="90" t="s">
        <v>50</v>
      </c>
    </row>
    <row r="1161" spans="1:3" ht="14.4" x14ac:dyDescent="0.3">
      <c r="A1161" s="90" t="s">
        <v>4103</v>
      </c>
      <c r="B1161" s="90" t="s">
        <v>2315</v>
      </c>
      <c r="C1161" s="90" t="s">
        <v>2275</v>
      </c>
    </row>
    <row r="1162" spans="1:3" ht="14.4" x14ac:dyDescent="0.3">
      <c r="A1162" s="90" t="s">
        <v>4104</v>
      </c>
      <c r="B1162" s="90" t="s">
        <v>1685</v>
      </c>
      <c r="C1162" s="90" t="s">
        <v>1681</v>
      </c>
    </row>
    <row r="1163" spans="1:3" ht="14.4" x14ac:dyDescent="0.3">
      <c r="A1163" s="90" t="s">
        <v>4105</v>
      </c>
      <c r="B1163" s="90" t="s">
        <v>328</v>
      </c>
      <c r="C1163" s="90" t="s">
        <v>203</v>
      </c>
    </row>
    <row r="1164" spans="1:3" ht="14.4" x14ac:dyDescent="0.3">
      <c r="A1164" s="90" t="s">
        <v>4106</v>
      </c>
      <c r="B1164" s="90" t="s">
        <v>1898</v>
      </c>
      <c r="C1164" s="90" t="s">
        <v>1863</v>
      </c>
    </row>
    <row r="1165" spans="1:3" ht="14.4" x14ac:dyDescent="0.3">
      <c r="A1165" s="90" t="s">
        <v>4107</v>
      </c>
      <c r="B1165" s="90" t="s">
        <v>1814</v>
      </c>
      <c r="C1165" s="90" t="s">
        <v>1800</v>
      </c>
    </row>
    <row r="1166" spans="1:3" ht="14.4" x14ac:dyDescent="0.3">
      <c r="A1166" s="90" t="s">
        <v>4108</v>
      </c>
      <c r="B1166" s="90" t="s">
        <v>1417</v>
      </c>
      <c r="C1166" s="90" t="s">
        <v>1392</v>
      </c>
    </row>
    <row r="1167" spans="1:3" ht="14.4" x14ac:dyDescent="0.3">
      <c r="A1167" s="90" t="s">
        <v>4109</v>
      </c>
      <c r="B1167" s="90" t="s">
        <v>535</v>
      </c>
      <c r="C1167" s="90" t="s">
        <v>449</v>
      </c>
    </row>
    <row r="1168" spans="1:3" ht="14.4" x14ac:dyDescent="0.3">
      <c r="A1168" s="90" t="s">
        <v>4110</v>
      </c>
      <c r="B1168" s="90" t="s">
        <v>1525</v>
      </c>
      <c r="C1168" s="90" t="s">
        <v>1513</v>
      </c>
    </row>
    <row r="1169" spans="1:3" ht="14.4" x14ac:dyDescent="0.3">
      <c r="A1169" s="90" t="s">
        <v>4111</v>
      </c>
      <c r="B1169" s="90" t="s">
        <v>2043</v>
      </c>
      <c r="C1169" s="90" t="s">
        <v>2015</v>
      </c>
    </row>
    <row r="1170" spans="1:3" ht="14.4" x14ac:dyDescent="0.3">
      <c r="A1170" s="90" t="s">
        <v>4112</v>
      </c>
      <c r="B1170" s="90" t="s">
        <v>878</v>
      </c>
      <c r="C1170" s="90" t="s">
        <v>874</v>
      </c>
    </row>
    <row r="1171" spans="1:3" ht="14.4" x14ac:dyDescent="0.3">
      <c r="A1171" s="90" t="s">
        <v>4113</v>
      </c>
      <c r="B1171" s="90" t="s">
        <v>1722</v>
      </c>
      <c r="C1171" s="90" t="s">
        <v>1715</v>
      </c>
    </row>
    <row r="1172" spans="1:3" ht="14.4" x14ac:dyDescent="0.3">
      <c r="A1172" s="90" t="s">
        <v>4114</v>
      </c>
      <c r="B1172" s="90" t="s">
        <v>335</v>
      </c>
      <c r="C1172" s="90" t="s">
        <v>203</v>
      </c>
    </row>
    <row r="1173" spans="1:3" ht="14.4" x14ac:dyDescent="0.3">
      <c r="A1173" s="90" t="s">
        <v>4115</v>
      </c>
      <c r="B1173" s="90" t="s">
        <v>2347</v>
      </c>
      <c r="C1173" s="90" t="s">
        <v>2328</v>
      </c>
    </row>
    <row r="1174" spans="1:3" ht="14.4" x14ac:dyDescent="0.3">
      <c r="A1174" s="90" t="s">
        <v>4116</v>
      </c>
      <c r="B1174" s="90" t="s">
        <v>327</v>
      </c>
      <c r="C1174" s="90" t="s">
        <v>203</v>
      </c>
    </row>
    <row r="1175" spans="1:3" ht="14.4" x14ac:dyDescent="0.3">
      <c r="A1175" s="90" t="s">
        <v>4117</v>
      </c>
      <c r="B1175" s="90" t="s">
        <v>78</v>
      </c>
      <c r="C1175" s="90" t="s">
        <v>72</v>
      </c>
    </row>
    <row r="1176" spans="1:3" ht="14.4" x14ac:dyDescent="0.3">
      <c r="A1176" s="90" t="s">
        <v>4118</v>
      </c>
      <c r="B1176" s="90" t="s">
        <v>334</v>
      </c>
      <c r="C1176" s="90" t="s">
        <v>203</v>
      </c>
    </row>
    <row r="1177" spans="1:3" ht="14.4" x14ac:dyDescent="0.3">
      <c r="A1177" s="90" t="s">
        <v>4119</v>
      </c>
      <c r="B1177" s="90" t="s">
        <v>1607</v>
      </c>
      <c r="C1177" s="90" t="s">
        <v>1606</v>
      </c>
    </row>
    <row r="1178" spans="1:3" ht="14.4" x14ac:dyDescent="0.3">
      <c r="A1178" s="90" t="s">
        <v>4120</v>
      </c>
      <c r="B1178" s="90" t="s">
        <v>1954</v>
      </c>
      <c r="C1178" s="90" t="s">
        <v>1949</v>
      </c>
    </row>
    <row r="1179" spans="1:3" ht="14.4" x14ac:dyDescent="0.3">
      <c r="A1179" s="90" t="s">
        <v>4121</v>
      </c>
      <c r="B1179" s="90" t="s">
        <v>2786</v>
      </c>
      <c r="C1179" s="90" t="s">
        <v>2767</v>
      </c>
    </row>
    <row r="1180" spans="1:3" ht="14.4" x14ac:dyDescent="0.3">
      <c r="A1180" s="90" t="s">
        <v>4122</v>
      </c>
      <c r="B1180" s="90" t="s">
        <v>1418</v>
      </c>
      <c r="C1180" s="90" t="s">
        <v>1392</v>
      </c>
    </row>
    <row r="1181" spans="1:3" ht="14.4" x14ac:dyDescent="0.3">
      <c r="A1181" s="90" t="s">
        <v>4123</v>
      </c>
      <c r="B1181" s="90" t="s">
        <v>735</v>
      </c>
      <c r="C1181" s="90" t="s">
        <v>675</v>
      </c>
    </row>
    <row r="1182" spans="1:3" ht="14.4" x14ac:dyDescent="0.3">
      <c r="A1182" s="90" t="s">
        <v>4124</v>
      </c>
      <c r="B1182" s="90" t="s">
        <v>2086</v>
      </c>
      <c r="C1182" s="90" t="s">
        <v>2066</v>
      </c>
    </row>
    <row r="1183" spans="1:3" ht="14.4" x14ac:dyDescent="0.3">
      <c r="A1183" s="90" t="s">
        <v>4125</v>
      </c>
      <c r="B1183" s="90" t="s">
        <v>2785</v>
      </c>
      <c r="C1183" s="90" t="s">
        <v>2767</v>
      </c>
    </row>
    <row r="1184" spans="1:3" ht="14.4" x14ac:dyDescent="0.3">
      <c r="A1184" s="90" t="s">
        <v>4126</v>
      </c>
      <c r="B1184" s="90" t="s">
        <v>2072</v>
      </c>
      <c r="C1184" s="90" t="s">
        <v>2066</v>
      </c>
    </row>
    <row r="1185" spans="1:3" ht="14.4" x14ac:dyDescent="0.3">
      <c r="A1185" s="90" t="s">
        <v>4127</v>
      </c>
      <c r="B1185" s="90" t="s">
        <v>709</v>
      </c>
      <c r="C1185" s="90" t="s">
        <v>675</v>
      </c>
    </row>
    <row r="1186" spans="1:3" ht="14.4" x14ac:dyDescent="0.3">
      <c r="A1186" s="90" t="s">
        <v>4128</v>
      </c>
      <c r="B1186" s="90" t="s">
        <v>1290</v>
      </c>
      <c r="C1186" s="90" t="s">
        <v>1286</v>
      </c>
    </row>
    <row r="1187" spans="1:3" ht="14.4" x14ac:dyDescent="0.3">
      <c r="A1187" s="90" t="s">
        <v>4129</v>
      </c>
      <c r="B1187" s="90" t="s">
        <v>2821</v>
      </c>
      <c r="C1187" s="90" t="s">
        <v>2819</v>
      </c>
    </row>
    <row r="1188" spans="1:3" ht="14.4" x14ac:dyDescent="0.3">
      <c r="A1188" s="90" t="s">
        <v>4130</v>
      </c>
      <c r="B1188" s="90" t="s">
        <v>2610</v>
      </c>
      <c r="C1188" s="90" t="s">
        <v>2589</v>
      </c>
    </row>
    <row r="1189" spans="1:3" ht="14.4" x14ac:dyDescent="0.3">
      <c r="A1189" s="90" t="s">
        <v>4131</v>
      </c>
      <c r="B1189" s="90" t="s">
        <v>1320</v>
      </c>
      <c r="C1189" s="90" t="s">
        <v>1313</v>
      </c>
    </row>
    <row r="1190" spans="1:3" ht="14.4" x14ac:dyDescent="0.3">
      <c r="A1190" s="90" t="s">
        <v>4132</v>
      </c>
      <c r="B1190" s="90" t="s">
        <v>2889</v>
      </c>
      <c r="C1190" s="90" t="s">
        <v>2874</v>
      </c>
    </row>
    <row r="1191" spans="1:3" ht="14.4" x14ac:dyDescent="0.3">
      <c r="A1191" s="90" t="s">
        <v>4133</v>
      </c>
      <c r="B1191" s="90" t="s">
        <v>2223</v>
      </c>
      <c r="C1191" s="90" t="s">
        <v>2214</v>
      </c>
    </row>
    <row r="1192" spans="1:3" ht="14.4" x14ac:dyDescent="0.3">
      <c r="A1192" s="90" t="s">
        <v>4134</v>
      </c>
      <c r="B1192" s="90" t="s">
        <v>26</v>
      </c>
      <c r="C1192" s="90" t="s">
        <v>7</v>
      </c>
    </row>
    <row r="1193" spans="1:3" ht="14.4" x14ac:dyDescent="0.3">
      <c r="A1193" s="90" t="s">
        <v>4135</v>
      </c>
      <c r="B1193" s="90" t="s">
        <v>12</v>
      </c>
      <c r="C1193" s="90" t="s">
        <v>7</v>
      </c>
    </row>
    <row r="1194" spans="1:3" ht="14.4" x14ac:dyDescent="0.3">
      <c r="A1194" s="90" t="s">
        <v>4136</v>
      </c>
      <c r="B1194" s="90" t="s">
        <v>1300</v>
      </c>
      <c r="C1194" s="90" t="s">
        <v>1292</v>
      </c>
    </row>
    <row r="1195" spans="1:3" ht="14.4" x14ac:dyDescent="0.3">
      <c r="A1195" s="90" t="s">
        <v>4137</v>
      </c>
      <c r="B1195" s="90" t="s">
        <v>1779</v>
      </c>
      <c r="C1195" s="90" t="s">
        <v>1741</v>
      </c>
    </row>
    <row r="1196" spans="1:3" ht="14.4" x14ac:dyDescent="0.3">
      <c r="A1196" s="90" t="s">
        <v>4138</v>
      </c>
      <c r="B1196" s="90" t="s">
        <v>1995</v>
      </c>
      <c r="C1196" s="90" t="s">
        <v>1988</v>
      </c>
    </row>
    <row r="1197" spans="1:3" ht="14.4" x14ac:dyDescent="0.3">
      <c r="A1197" s="90" t="s">
        <v>4139</v>
      </c>
      <c r="B1197" s="90" t="s">
        <v>1854</v>
      </c>
      <c r="C1197" s="90" t="s">
        <v>1848</v>
      </c>
    </row>
    <row r="1198" spans="1:3" ht="14.4" x14ac:dyDescent="0.3">
      <c r="A1198" s="90" t="s">
        <v>4140</v>
      </c>
      <c r="B1198" s="90" t="s">
        <v>330</v>
      </c>
      <c r="C1198" s="90" t="s">
        <v>203</v>
      </c>
    </row>
    <row r="1199" spans="1:3" ht="14.4" x14ac:dyDescent="0.3">
      <c r="A1199" s="90" t="s">
        <v>4141</v>
      </c>
      <c r="B1199" s="90" t="s">
        <v>2267</v>
      </c>
      <c r="C1199" s="90" t="s">
        <v>2257</v>
      </c>
    </row>
    <row r="1200" spans="1:3" ht="14.4" x14ac:dyDescent="0.3">
      <c r="A1200" s="90" t="s">
        <v>4142</v>
      </c>
      <c r="B1200" s="90" t="s">
        <v>1985</v>
      </c>
      <c r="C1200" s="90" t="s">
        <v>1977</v>
      </c>
    </row>
    <row r="1201" spans="1:3" ht="14.4" x14ac:dyDescent="0.3">
      <c r="A1201" s="90" t="s">
        <v>4143</v>
      </c>
      <c r="B1201" s="90" t="s">
        <v>1004</v>
      </c>
      <c r="C1201" s="90" t="s">
        <v>972</v>
      </c>
    </row>
    <row r="1202" spans="1:3" ht="14.4" x14ac:dyDescent="0.3">
      <c r="A1202" s="90" t="s">
        <v>4144</v>
      </c>
      <c r="B1202" s="90" t="s">
        <v>2689</v>
      </c>
      <c r="C1202" s="90" t="s">
        <v>2683</v>
      </c>
    </row>
    <row r="1203" spans="1:3" ht="14.4" x14ac:dyDescent="0.3">
      <c r="A1203" s="90" t="s">
        <v>4145</v>
      </c>
      <c r="B1203" s="90" t="s">
        <v>2044</v>
      </c>
      <c r="C1203" s="90" t="s">
        <v>2015</v>
      </c>
    </row>
    <row r="1204" spans="1:3" ht="14.4" x14ac:dyDescent="0.3">
      <c r="A1204" s="90" t="s">
        <v>4146</v>
      </c>
      <c r="B1204" s="90" t="s">
        <v>2346</v>
      </c>
      <c r="C1204" s="90" t="s">
        <v>2328</v>
      </c>
    </row>
    <row r="1205" spans="1:3" ht="14.4" x14ac:dyDescent="0.3">
      <c r="A1205" s="90" t="s">
        <v>4147</v>
      </c>
      <c r="B1205" s="90" t="s">
        <v>1373</v>
      </c>
      <c r="C1205" s="90" t="s">
        <v>1363</v>
      </c>
    </row>
    <row r="1206" spans="1:3" ht="14.4" x14ac:dyDescent="0.3">
      <c r="A1206" s="90" t="s">
        <v>4148</v>
      </c>
      <c r="B1206" s="90" t="s">
        <v>13</v>
      </c>
      <c r="C1206" s="90" t="s">
        <v>7</v>
      </c>
    </row>
    <row r="1207" spans="1:3" ht="14.4" x14ac:dyDescent="0.3">
      <c r="A1207" s="90" t="s">
        <v>4149</v>
      </c>
      <c r="B1207" s="90" t="s">
        <v>710</v>
      </c>
      <c r="C1207" s="90" t="s">
        <v>675</v>
      </c>
    </row>
    <row r="1208" spans="1:3" ht="14.4" x14ac:dyDescent="0.3">
      <c r="A1208" s="90" t="s">
        <v>4150</v>
      </c>
      <c r="B1208" s="90" t="s">
        <v>804</v>
      </c>
      <c r="C1208" s="90" t="s">
        <v>800</v>
      </c>
    </row>
    <row r="1209" spans="1:3" ht="14.4" x14ac:dyDescent="0.3">
      <c r="A1209" s="90" t="s">
        <v>4151</v>
      </c>
      <c r="B1209" s="90" t="s">
        <v>2140</v>
      </c>
      <c r="C1209" s="90" t="s">
        <v>2124</v>
      </c>
    </row>
    <row r="1210" spans="1:3" ht="14.4" x14ac:dyDescent="0.3">
      <c r="A1210" s="90" t="s">
        <v>4152</v>
      </c>
      <c r="B1210" s="90" t="s">
        <v>2487</v>
      </c>
      <c r="C1210" s="90" t="s">
        <v>2486</v>
      </c>
    </row>
    <row r="1211" spans="1:3" ht="14.4" x14ac:dyDescent="0.3">
      <c r="A1211" s="90" t="s">
        <v>4153</v>
      </c>
      <c r="B1211" s="90" t="s">
        <v>1301</v>
      </c>
      <c r="C1211" s="90" t="s">
        <v>1292</v>
      </c>
    </row>
    <row r="1212" spans="1:3" ht="14.4" x14ac:dyDescent="0.3">
      <c r="A1212" s="90" t="s">
        <v>4154</v>
      </c>
      <c r="B1212" s="90" t="s">
        <v>757</v>
      </c>
      <c r="C1212" s="90" t="s">
        <v>744</v>
      </c>
    </row>
    <row r="1213" spans="1:3" ht="14.4" x14ac:dyDescent="0.3">
      <c r="A1213" s="90" t="s">
        <v>4155</v>
      </c>
      <c r="B1213" s="90" t="s">
        <v>818</v>
      </c>
      <c r="C1213" s="90" t="s">
        <v>800</v>
      </c>
    </row>
    <row r="1214" spans="1:3" ht="14.4" x14ac:dyDescent="0.3">
      <c r="A1214" s="90" t="s">
        <v>4156</v>
      </c>
      <c r="B1214" s="90" t="s">
        <v>1619</v>
      </c>
      <c r="C1214" s="90" t="s">
        <v>1606</v>
      </c>
    </row>
    <row r="1215" spans="1:3" ht="14.4" x14ac:dyDescent="0.3">
      <c r="A1215" s="90" t="s">
        <v>4157</v>
      </c>
      <c r="B1215" s="90" t="s">
        <v>1548</v>
      </c>
      <c r="C1215" s="90" t="s">
        <v>1544</v>
      </c>
    </row>
    <row r="1216" spans="1:3" ht="14.4" x14ac:dyDescent="0.3">
      <c r="A1216" s="90" t="s">
        <v>4158</v>
      </c>
      <c r="B1216" s="90" t="s">
        <v>1815</v>
      </c>
      <c r="C1216" s="90" t="s">
        <v>1800</v>
      </c>
    </row>
    <row r="1217" spans="1:3" ht="14.4" x14ac:dyDescent="0.3">
      <c r="A1217" s="90" t="s">
        <v>4159</v>
      </c>
      <c r="B1217" s="90" t="s">
        <v>1103</v>
      </c>
      <c r="C1217" s="90" t="s">
        <v>1090</v>
      </c>
    </row>
    <row r="1218" spans="1:3" ht="14.4" x14ac:dyDescent="0.3">
      <c r="A1218" s="90" t="s">
        <v>4160</v>
      </c>
      <c r="B1218" s="90" t="s">
        <v>1364</v>
      </c>
      <c r="C1218" s="90" t="s">
        <v>1363</v>
      </c>
    </row>
    <row r="1219" spans="1:3" ht="14.4" x14ac:dyDescent="0.3">
      <c r="A1219" s="90" t="s">
        <v>4161</v>
      </c>
      <c r="B1219" s="90" t="s">
        <v>2348</v>
      </c>
      <c r="C1219" s="90" t="s">
        <v>2328</v>
      </c>
    </row>
    <row r="1220" spans="1:3" ht="14.4" x14ac:dyDescent="0.3">
      <c r="A1220" s="90" t="s">
        <v>4162</v>
      </c>
      <c r="B1220" s="90" t="s">
        <v>711</v>
      </c>
      <c r="C1220" s="90" t="s">
        <v>675</v>
      </c>
    </row>
    <row r="1221" spans="1:3" ht="14.4" x14ac:dyDescent="0.3">
      <c r="A1221" s="90" t="s">
        <v>4163</v>
      </c>
      <c r="B1221" s="90" t="s">
        <v>1930</v>
      </c>
      <c r="C1221" s="90" t="s">
        <v>1926</v>
      </c>
    </row>
    <row r="1222" spans="1:3" ht="14.4" x14ac:dyDescent="0.3">
      <c r="A1222" s="90" t="s">
        <v>4164</v>
      </c>
      <c r="B1222" s="90" t="s">
        <v>2758</v>
      </c>
      <c r="C1222" s="90" t="s">
        <v>2754</v>
      </c>
    </row>
    <row r="1223" spans="1:3" ht="14.4" x14ac:dyDescent="0.3">
      <c r="A1223" s="90" t="s">
        <v>4165</v>
      </c>
      <c r="B1223" s="90" t="s">
        <v>662</v>
      </c>
      <c r="C1223" s="90" t="s">
        <v>661</v>
      </c>
    </row>
    <row r="1224" spans="1:3" ht="14.4" x14ac:dyDescent="0.3">
      <c r="A1224" s="90" t="s">
        <v>4166</v>
      </c>
      <c r="B1224" s="90" t="s">
        <v>1278</v>
      </c>
      <c r="C1224" s="90" t="s">
        <v>1268</v>
      </c>
    </row>
    <row r="1225" spans="1:3" ht="14.4" x14ac:dyDescent="0.3">
      <c r="A1225" s="90" t="s">
        <v>4167</v>
      </c>
      <c r="B1225" s="90" t="s">
        <v>2004</v>
      </c>
      <c r="C1225" s="90" t="s">
        <v>2003</v>
      </c>
    </row>
    <row r="1226" spans="1:3" ht="14.4" x14ac:dyDescent="0.3">
      <c r="A1226" s="90" t="s">
        <v>4168</v>
      </c>
      <c r="B1226" s="90" t="s">
        <v>1697</v>
      </c>
      <c r="C1226" s="90" t="s">
        <v>1681</v>
      </c>
    </row>
    <row r="1227" spans="1:3" ht="14.4" x14ac:dyDescent="0.3">
      <c r="A1227" s="90" t="s">
        <v>4169</v>
      </c>
      <c r="B1227" s="90" t="s">
        <v>331</v>
      </c>
      <c r="C1227" s="90" t="s">
        <v>203</v>
      </c>
    </row>
    <row r="1228" spans="1:3" ht="14.4" x14ac:dyDescent="0.3">
      <c r="A1228" s="90" t="s">
        <v>4170</v>
      </c>
      <c r="B1228" s="90" t="s">
        <v>2696</v>
      </c>
      <c r="C1228" s="90" t="s">
        <v>2683</v>
      </c>
    </row>
    <row r="1229" spans="1:3" ht="14.4" x14ac:dyDescent="0.3">
      <c r="A1229" s="90" t="s">
        <v>4171</v>
      </c>
      <c r="B1229" s="90" t="s">
        <v>1005</v>
      </c>
      <c r="C1229" s="90" t="s">
        <v>972</v>
      </c>
    </row>
    <row r="1230" spans="1:3" ht="14.4" x14ac:dyDescent="0.3">
      <c r="A1230" s="90" t="s">
        <v>4172</v>
      </c>
      <c r="B1230" s="90" t="s">
        <v>2345</v>
      </c>
      <c r="C1230" s="90" t="s">
        <v>2328</v>
      </c>
    </row>
    <row r="1231" spans="1:3" ht="14.4" x14ac:dyDescent="0.3">
      <c r="A1231" s="90" t="s">
        <v>4173</v>
      </c>
      <c r="B1231" s="90" t="s">
        <v>333</v>
      </c>
      <c r="C1231" s="90" t="s">
        <v>203</v>
      </c>
    </row>
    <row r="1232" spans="1:3" ht="14.4" x14ac:dyDescent="0.3">
      <c r="A1232" s="90" t="s">
        <v>4174</v>
      </c>
      <c r="B1232" s="90" t="s">
        <v>2242</v>
      </c>
      <c r="C1232" s="90" t="s">
        <v>2234</v>
      </c>
    </row>
    <row r="1233" spans="1:3" ht="14.4" x14ac:dyDescent="0.3">
      <c r="A1233" s="90" t="s">
        <v>4175</v>
      </c>
      <c r="B1233" s="90" t="s">
        <v>1734</v>
      </c>
      <c r="C1233" s="90" t="s">
        <v>1727</v>
      </c>
    </row>
    <row r="1234" spans="1:3" ht="14.4" x14ac:dyDescent="0.3">
      <c r="A1234" s="90" t="s">
        <v>4176</v>
      </c>
      <c r="B1234" s="90" t="s">
        <v>820</v>
      </c>
      <c r="C1234" s="90" t="s">
        <v>800</v>
      </c>
    </row>
    <row r="1235" spans="1:3" ht="14.4" x14ac:dyDescent="0.3">
      <c r="A1235" s="90" t="s">
        <v>4177</v>
      </c>
      <c r="B1235" s="90" t="s">
        <v>2141</v>
      </c>
      <c r="C1235" s="90" t="s">
        <v>2124</v>
      </c>
    </row>
    <row r="1236" spans="1:3" ht="14.4" x14ac:dyDescent="0.3">
      <c r="A1236" s="90" t="s">
        <v>4178</v>
      </c>
      <c r="B1236" s="90" t="s">
        <v>847</v>
      </c>
      <c r="C1236" s="90" t="s">
        <v>841</v>
      </c>
    </row>
    <row r="1237" spans="1:3" ht="14.4" x14ac:dyDescent="0.3">
      <c r="A1237" s="90" t="s">
        <v>4179</v>
      </c>
      <c r="B1237" s="90" t="s">
        <v>2098</v>
      </c>
      <c r="C1237" s="90" t="s">
        <v>2087</v>
      </c>
    </row>
    <row r="1238" spans="1:3" ht="14.4" x14ac:dyDescent="0.3">
      <c r="A1238" s="90" t="s">
        <v>4180</v>
      </c>
      <c r="B1238" s="90" t="s">
        <v>1256</v>
      </c>
      <c r="C1238" s="90" t="s">
        <v>1251</v>
      </c>
    </row>
    <row r="1239" spans="1:3" ht="14.4" x14ac:dyDescent="0.3">
      <c r="A1239" s="90" t="s">
        <v>4181</v>
      </c>
      <c r="B1239" s="90" t="s">
        <v>2073</v>
      </c>
      <c r="C1239" s="90" t="s">
        <v>2066</v>
      </c>
    </row>
    <row r="1240" spans="1:3" ht="14.4" x14ac:dyDescent="0.3">
      <c r="A1240" s="90" t="s">
        <v>4182</v>
      </c>
      <c r="B1240" s="90" t="s">
        <v>1940</v>
      </c>
      <c r="C1240" s="90" t="s">
        <v>1933</v>
      </c>
    </row>
    <row r="1241" spans="1:3" ht="14.4" x14ac:dyDescent="0.3">
      <c r="A1241" s="90" t="s">
        <v>4183</v>
      </c>
      <c r="B1241" s="90" t="s">
        <v>1696</v>
      </c>
      <c r="C1241" s="90" t="s">
        <v>1681</v>
      </c>
    </row>
    <row r="1242" spans="1:3" ht="14.4" x14ac:dyDescent="0.3">
      <c r="A1242" s="90" t="s">
        <v>4184</v>
      </c>
      <c r="B1242" s="90" t="s">
        <v>1270</v>
      </c>
      <c r="C1242" s="90" t="s">
        <v>1268</v>
      </c>
    </row>
    <row r="1243" spans="1:3" ht="14.4" x14ac:dyDescent="0.3">
      <c r="A1243" s="90" t="s">
        <v>4185</v>
      </c>
      <c r="B1243" s="90" t="s">
        <v>2215</v>
      </c>
      <c r="C1243" s="90" t="s">
        <v>2214</v>
      </c>
    </row>
    <row r="1244" spans="1:3" ht="14.4" x14ac:dyDescent="0.3">
      <c r="A1244" s="90" t="s">
        <v>4186</v>
      </c>
      <c r="B1244" s="90" t="s">
        <v>1878</v>
      </c>
      <c r="C1244" s="90" t="s">
        <v>1863</v>
      </c>
    </row>
    <row r="1245" spans="1:3" ht="14.4" x14ac:dyDescent="0.3">
      <c r="A1245" s="90" t="s">
        <v>4187</v>
      </c>
      <c r="B1245" s="90" t="s">
        <v>819</v>
      </c>
      <c r="C1245" s="90" t="s">
        <v>800</v>
      </c>
    </row>
    <row r="1246" spans="1:3" ht="14.4" x14ac:dyDescent="0.3">
      <c r="A1246" s="90" t="s">
        <v>4188</v>
      </c>
      <c r="B1246" s="90" t="s">
        <v>1419</v>
      </c>
      <c r="C1246" s="90" t="s">
        <v>1392</v>
      </c>
    </row>
    <row r="1247" spans="1:3" ht="14.4" x14ac:dyDescent="0.3">
      <c r="A1247" s="90" t="s">
        <v>4189</v>
      </c>
      <c r="B1247" s="90" t="s">
        <v>1052</v>
      </c>
      <c r="C1247" s="90" t="s">
        <v>1050</v>
      </c>
    </row>
    <row r="1248" spans="1:3" ht="14.4" x14ac:dyDescent="0.3">
      <c r="A1248" s="90" t="s">
        <v>4190</v>
      </c>
      <c r="B1248" s="90" t="s">
        <v>1336</v>
      </c>
      <c r="C1248" s="90" t="s">
        <v>1331</v>
      </c>
    </row>
    <row r="1249" spans="1:3" ht="14.4" x14ac:dyDescent="0.3">
      <c r="A1249" s="90" t="s">
        <v>4191</v>
      </c>
      <c r="B1249" s="90" t="s">
        <v>1675</v>
      </c>
      <c r="C1249" s="90" t="s">
        <v>1672</v>
      </c>
    </row>
    <row r="1250" spans="1:3" ht="14.4" x14ac:dyDescent="0.3">
      <c r="A1250" s="90" t="s">
        <v>4192</v>
      </c>
      <c r="B1250" s="90" t="s">
        <v>2745</v>
      </c>
      <c r="C1250" s="90" t="s">
        <v>2740</v>
      </c>
    </row>
    <row r="1251" spans="1:3" ht="14.4" x14ac:dyDescent="0.3">
      <c r="A1251" s="90" t="s">
        <v>4193</v>
      </c>
      <c r="B1251" s="90" t="s">
        <v>936</v>
      </c>
      <c r="C1251" s="90" t="s">
        <v>916</v>
      </c>
    </row>
    <row r="1252" spans="1:3" ht="14.4" x14ac:dyDescent="0.3">
      <c r="A1252" s="90" t="s">
        <v>4194</v>
      </c>
      <c r="B1252" s="90" t="s">
        <v>2690</v>
      </c>
      <c r="C1252" s="90" t="s">
        <v>2683</v>
      </c>
    </row>
    <row r="1253" spans="1:3" ht="14.4" x14ac:dyDescent="0.3">
      <c r="A1253" s="90" t="s">
        <v>4195</v>
      </c>
      <c r="B1253" s="90" t="s">
        <v>2099</v>
      </c>
      <c r="C1253" s="90" t="s">
        <v>2087</v>
      </c>
    </row>
    <row r="1254" spans="1:3" ht="14.4" x14ac:dyDescent="0.3">
      <c r="A1254" s="90" t="s">
        <v>4196</v>
      </c>
      <c r="B1254" s="90" t="s">
        <v>1257</v>
      </c>
      <c r="C1254" s="90" t="s">
        <v>1251</v>
      </c>
    </row>
    <row r="1255" spans="1:3" ht="14.4" x14ac:dyDescent="0.3">
      <c r="A1255" s="90" t="s">
        <v>4197</v>
      </c>
      <c r="B1255" s="90" t="s">
        <v>854</v>
      </c>
      <c r="C1255" s="90" t="s">
        <v>852</v>
      </c>
    </row>
    <row r="1256" spans="1:3" ht="14.4" x14ac:dyDescent="0.3">
      <c r="A1256" s="90" t="s">
        <v>4198</v>
      </c>
      <c r="B1256" s="90" t="s">
        <v>2097</v>
      </c>
      <c r="C1256" s="90" t="s">
        <v>2087</v>
      </c>
    </row>
    <row r="1257" spans="1:3" ht="14.4" x14ac:dyDescent="0.3">
      <c r="A1257" s="90" t="s">
        <v>4199</v>
      </c>
      <c r="B1257" s="90" t="s">
        <v>2074</v>
      </c>
      <c r="C1257" s="90" t="s">
        <v>2066</v>
      </c>
    </row>
    <row r="1258" spans="1:3" ht="14.4" x14ac:dyDescent="0.3">
      <c r="A1258" s="90" t="s">
        <v>4200</v>
      </c>
      <c r="B1258" s="90" t="s">
        <v>332</v>
      </c>
      <c r="C1258" s="90" t="s">
        <v>203</v>
      </c>
    </row>
    <row r="1259" spans="1:3" ht="14.4" x14ac:dyDescent="0.3">
      <c r="A1259" s="90" t="s">
        <v>4201</v>
      </c>
      <c r="B1259" s="90" t="s">
        <v>329</v>
      </c>
      <c r="C1259" s="90" t="s">
        <v>203</v>
      </c>
    </row>
    <row r="1260" spans="1:3" ht="14.4" x14ac:dyDescent="0.3">
      <c r="A1260" s="90" t="s">
        <v>4202</v>
      </c>
      <c r="B1260" s="90" t="s">
        <v>2673</v>
      </c>
      <c r="C1260" s="90" t="s">
        <v>2669</v>
      </c>
    </row>
    <row r="1261" spans="1:3" ht="14.4" x14ac:dyDescent="0.3">
      <c r="A1261" s="90" t="s">
        <v>4203</v>
      </c>
      <c r="B1261" s="90" t="s">
        <v>2840</v>
      </c>
      <c r="C1261" s="90" t="s">
        <v>2839</v>
      </c>
    </row>
    <row r="1262" spans="1:3" ht="14.4" x14ac:dyDescent="0.3">
      <c r="A1262" s="90" t="s">
        <v>4204</v>
      </c>
      <c r="B1262" s="90" t="s">
        <v>215</v>
      </c>
      <c r="C1262" s="90" t="s">
        <v>203</v>
      </c>
    </row>
    <row r="1263" spans="1:3" ht="14.4" x14ac:dyDescent="0.3">
      <c r="A1263" s="90" t="s">
        <v>4205</v>
      </c>
      <c r="B1263" s="90" t="s">
        <v>2224</v>
      </c>
      <c r="C1263" s="90" t="s">
        <v>2214</v>
      </c>
    </row>
    <row r="1264" spans="1:3" ht="14.4" x14ac:dyDescent="0.3">
      <c r="A1264" s="90" t="s">
        <v>4206</v>
      </c>
      <c r="B1264" s="90" t="s">
        <v>1006</v>
      </c>
      <c r="C1264" s="90" t="s">
        <v>972</v>
      </c>
    </row>
    <row r="1265" spans="1:3" ht="14.4" x14ac:dyDescent="0.3">
      <c r="A1265" s="90" t="s">
        <v>4207</v>
      </c>
      <c r="B1265" s="90" t="s">
        <v>1475</v>
      </c>
      <c r="C1265" s="90" t="s">
        <v>1472</v>
      </c>
    </row>
    <row r="1266" spans="1:3" ht="14.4" x14ac:dyDescent="0.3">
      <c r="A1266" s="90" t="s">
        <v>4208</v>
      </c>
      <c r="B1266" s="90" t="s">
        <v>2538</v>
      </c>
      <c r="C1266" s="90" t="s">
        <v>2489</v>
      </c>
    </row>
    <row r="1267" spans="1:3" ht="14.4" x14ac:dyDescent="0.3">
      <c r="A1267" s="90" t="s">
        <v>4209</v>
      </c>
      <c r="B1267" s="90" t="s">
        <v>1246</v>
      </c>
      <c r="C1267" s="90" t="s">
        <v>1239</v>
      </c>
    </row>
    <row r="1268" spans="1:3" ht="14.4" x14ac:dyDescent="0.3">
      <c r="A1268" s="90" t="s">
        <v>4210</v>
      </c>
      <c r="B1268" s="90" t="s">
        <v>788</v>
      </c>
      <c r="C1268" s="90" t="s">
        <v>776</v>
      </c>
    </row>
    <row r="1269" spans="1:3" ht="14.4" x14ac:dyDescent="0.3">
      <c r="A1269" s="90" t="s">
        <v>4211</v>
      </c>
      <c r="B1269" s="90" t="s">
        <v>2375</v>
      </c>
      <c r="C1269" s="90" t="s">
        <v>2365</v>
      </c>
    </row>
    <row r="1270" spans="1:3" ht="14.4" x14ac:dyDescent="0.3">
      <c r="A1270" s="90" t="s">
        <v>4212</v>
      </c>
      <c r="B1270" s="90" t="s">
        <v>712</v>
      </c>
      <c r="C1270" s="90" t="s">
        <v>675</v>
      </c>
    </row>
    <row r="1271" spans="1:3" ht="14.4" x14ac:dyDescent="0.3">
      <c r="A1271" s="90" t="s">
        <v>4213</v>
      </c>
      <c r="B1271" s="90" t="s">
        <v>1288</v>
      </c>
      <c r="C1271" s="90" t="s">
        <v>1286</v>
      </c>
    </row>
    <row r="1272" spans="1:3" ht="14.4" x14ac:dyDescent="0.3">
      <c r="A1272" s="90" t="s">
        <v>4214</v>
      </c>
      <c r="B1272" s="90" t="s">
        <v>2643</v>
      </c>
      <c r="C1272" s="90" t="s">
        <v>2633</v>
      </c>
    </row>
    <row r="1273" spans="1:3" ht="14.4" x14ac:dyDescent="0.3">
      <c r="A1273" s="90" t="s">
        <v>4215</v>
      </c>
      <c r="B1273" s="90" t="s">
        <v>27</v>
      </c>
      <c r="C1273" s="90" t="s">
        <v>7</v>
      </c>
    </row>
    <row r="1274" spans="1:3" ht="14.4" x14ac:dyDescent="0.3">
      <c r="A1274" s="90" t="s">
        <v>4216</v>
      </c>
      <c r="B1274" s="90" t="s">
        <v>2833</v>
      </c>
      <c r="C1274" s="90" t="s">
        <v>2831</v>
      </c>
    </row>
    <row r="1275" spans="1:3" ht="14.4" x14ac:dyDescent="0.3">
      <c r="A1275" s="90" t="s">
        <v>4217</v>
      </c>
      <c r="B1275" s="90" t="s">
        <v>1695</v>
      </c>
      <c r="C1275" s="90" t="s">
        <v>1681</v>
      </c>
    </row>
    <row r="1276" spans="1:3" ht="14.4" x14ac:dyDescent="0.3">
      <c r="A1276" s="90" t="s">
        <v>4218</v>
      </c>
      <c r="B1276" s="90" t="s">
        <v>1321</v>
      </c>
      <c r="C1276" s="90" t="s">
        <v>1313</v>
      </c>
    </row>
    <row r="1277" spans="1:3" ht="14.4" x14ac:dyDescent="0.3">
      <c r="A1277" s="90" t="s">
        <v>4219</v>
      </c>
      <c r="B1277" s="90" t="s">
        <v>1067</v>
      </c>
      <c r="C1277" s="90" t="s">
        <v>1050</v>
      </c>
    </row>
    <row r="1278" spans="1:3" ht="14.4" x14ac:dyDescent="0.3">
      <c r="A1278" s="90" t="s">
        <v>4220</v>
      </c>
      <c r="B1278" s="90" t="s">
        <v>2716</v>
      </c>
      <c r="C1278" s="90" t="s">
        <v>2683</v>
      </c>
    </row>
    <row r="1279" spans="1:3" ht="14.4" x14ac:dyDescent="0.3">
      <c r="A1279" s="90" t="s">
        <v>4221</v>
      </c>
      <c r="B1279" s="90" t="s">
        <v>2788</v>
      </c>
      <c r="C1279" s="90" t="s">
        <v>2767</v>
      </c>
    </row>
    <row r="1280" spans="1:3" ht="14.4" x14ac:dyDescent="0.3">
      <c r="A1280" s="90" t="s">
        <v>4222</v>
      </c>
      <c r="B1280" s="90" t="s">
        <v>1496</v>
      </c>
      <c r="C1280" s="90" t="s">
        <v>1485</v>
      </c>
    </row>
    <row r="1281" spans="1:3" ht="14.4" x14ac:dyDescent="0.3">
      <c r="A1281" s="90" t="s">
        <v>4223</v>
      </c>
      <c r="B1281" s="90" t="s">
        <v>1651</v>
      </c>
      <c r="C1281" s="90" t="s">
        <v>1631</v>
      </c>
    </row>
    <row r="1282" spans="1:3" ht="14.4" x14ac:dyDescent="0.3">
      <c r="A1282" s="90" t="s">
        <v>4224</v>
      </c>
      <c r="B1282" s="90" t="s">
        <v>338</v>
      </c>
      <c r="C1282" s="90" t="s">
        <v>203</v>
      </c>
    </row>
    <row r="1283" spans="1:3" ht="14.4" x14ac:dyDescent="0.3">
      <c r="A1283" s="90" t="s">
        <v>4225</v>
      </c>
      <c r="B1283" s="90" t="s">
        <v>336</v>
      </c>
      <c r="C1283" s="90" t="s">
        <v>203</v>
      </c>
    </row>
    <row r="1284" spans="1:3" ht="14.4" x14ac:dyDescent="0.3">
      <c r="A1284" s="90" t="s">
        <v>4226</v>
      </c>
      <c r="B1284" s="90" t="s">
        <v>758</v>
      </c>
      <c r="C1284" s="90" t="s">
        <v>744</v>
      </c>
    </row>
    <row r="1285" spans="1:3" ht="14.4" x14ac:dyDescent="0.3">
      <c r="A1285" s="90" t="s">
        <v>4227</v>
      </c>
      <c r="B1285" s="90" t="s">
        <v>1351</v>
      </c>
      <c r="C1285" s="90" t="s">
        <v>1338</v>
      </c>
    </row>
    <row r="1286" spans="1:3" ht="14.4" x14ac:dyDescent="0.3">
      <c r="A1286" s="90" t="s">
        <v>4228</v>
      </c>
      <c r="B1286" s="90" t="s">
        <v>340</v>
      </c>
      <c r="C1286" s="90" t="s">
        <v>203</v>
      </c>
    </row>
    <row r="1287" spans="1:3" ht="14.4" x14ac:dyDescent="0.3">
      <c r="A1287" s="90" t="s">
        <v>4229</v>
      </c>
      <c r="B1287" s="90" t="s">
        <v>643</v>
      </c>
      <c r="C1287" s="90" t="s">
        <v>627</v>
      </c>
    </row>
    <row r="1288" spans="1:3" ht="14.4" x14ac:dyDescent="0.3">
      <c r="A1288" s="90" t="s">
        <v>4230</v>
      </c>
      <c r="B1288" s="90" t="s">
        <v>339</v>
      </c>
      <c r="C1288" s="90" t="s">
        <v>203</v>
      </c>
    </row>
    <row r="1289" spans="1:3" ht="14.4" x14ac:dyDescent="0.3">
      <c r="A1289" s="90" t="s">
        <v>4231</v>
      </c>
      <c r="B1289" s="90" t="s">
        <v>2329</v>
      </c>
      <c r="C1289" s="90" t="s">
        <v>2328</v>
      </c>
    </row>
    <row r="1290" spans="1:3" ht="14.4" x14ac:dyDescent="0.3">
      <c r="A1290" s="90" t="s">
        <v>4232</v>
      </c>
      <c r="B1290" s="90" t="s">
        <v>1735</v>
      </c>
      <c r="C1290" s="90" t="s">
        <v>1727</v>
      </c>
    </row>
    <row r="1291" spans="1:3" ht="14.4" x14ac:dyDescent="0.3">
      <c r="A1291" s="90" t="s">
        <v>4233</v>
      </c>
      <c r="B1291" s="90" t="s">
        <v>1198</v>
      </c>
      <c r="C1291" s="90" t="s">
        <v>1194</v>
      </c>
    </row>
    <row r="1292" spans="1:3" ht="14.4" x14ac:dyDescent="0.3">
      <c r="A1292" s="90" t="s">
        <v>4234</v>
      </c>
      <c r="B1292" s="90" t="s">
        <v>713</v>
      </c>
      <c r="C1292" s="90" t="s">
        <v>675</v>
      </c>
    </row>
    <row r="1293" spans="1:3" ht="14.4" x14ac:dyDescent="0.3">
      <c r="A1293" s="90" t="s">
        <v>4235</v>
      </c>
      <c r="B1293" s="90" t="s">
        <v>2405</v>
      </c>
      <c r="C1293" s="90" t="s">
        <v>2397</v>
      </c>
    </row>
    <row r="1294" spans="1:3" ht="14.4" x14ac:dyDescent="0.3">
      <c r="A1294" s="90" t="s">
        <v>4236</v>
      </c>
      <c r="B1294" s="90" t="s">
        <v>79</v>
      </c>
      <c r="C1294" s="90" t="s">
        <v>72</v>
      </c>
    </row>
    <row r="1295" spans="1:3" ht="14.4" x14ac:dyDescent="0.3">
      <c r="A1295" s="90" t="s">
        <v>4237</v>
      </c>
      <c r="B1295" s="90" t="s">
        <v>546</v>
      </c>
      <c r="C1295" s="90" t="s">
        <v>449</v>
      </c>
    </row>
    <row r="1296" spans="1:3" ht="14.4" x14ac:dyDescent="0.3">
      <c r="A1296" s="90" t="s">
        <v>4238</v>
      </c>
      <c r="B1296" s="90" t="s">
        <v>1698</v>
      </c>
      <c r="C1296" s="90" t="s">
        <v>1681</v>
      </c>
    </row>
    <row r="1297" spans="1:3" ht="14.4" x14ac:dyDescent="0.3">
      <c r="A1297" s="90" t="s">
        <v>4239</v>
      </c>
      <c r="B1297" s="90" t="s">
        <v>2890</v>
      </c>
      <c r="C1297" s="90" t="s">
        <v>2874</v>
      </c>
    </row>
    <row r="1298" spans="1:3" ht="14.4" x14ac:dyDescent="0.3">
      <c r="A1298" s="90" t="s">
        <v>4240</v>
      </c>
      <c r="B1298" s="90" t="s">
        <v>2789</v>
      </c>
      <c r="C1298" s="90" t="s">
        <v>2767</v>
      </c>
    </row>
    <row r="1299" spans="1:3" ht="14.4" x14ac:dyDescent="0.3">
      <c r="A1299" s="90" t="s">
        <v>4241</v>
      </c>
      <c r="B1299" s="90" t="s">
        <v>466</v>
      </c>
      <c r="C1299" s="90" t="s">
        <v>449</v>
      </c>
    </row>
    <row r="1300" spans="1:3" ht="14.4" x14ac:dyDescent="0.3">
      <c r="A1300" s="90" t="s">
        <v>4242</v>
      </c>
      <c r="B1300" s="90" t="s">
        <v>2787</v>
      </c>
      <c r="C1300" s="90" t="s">
        <v>2767</v>
      </c>
    </row>
    <row r="1301" spans="1:3" ht="14.4" x14ac:dyDescent="0.3">
      <c r="A1301" s="90" t="s">
        <v>4243</v>
      </c>
      <c r="B1301" s="90" t="s">
        <v>2441</v>
      </c>
      <c r="C1301" s="90" t="s">
        <v>2421</v>
      </c>
    </row>
    <row r="1302" spans="1:3" ht="14.4" x14ac:dyDescent="0.3">
      <c r="A1302" s="90" t="s">
        <v>4244</v>
      </c>
      <c r="B1302" s="90" t="s">
        <v>937</v>
      </c>
      <c r="C1302" s="90" t="s">
        <v>916</v>
      </c>
    </row>
    <row r="1303" spans="1:3" ht="14.4" x14ac:dyDescent="0.3">
      <c r="A1303" s="90" t="s">
        <v>4245</v>
      </c>
      <c r="B1303" s="90" t="s">
        <v>1160</v>
      </c>
      <c r="C1303" s="90" t="s">
        <v>1147</v>
      </c>
    </row>
    <row r="1304" spans="1:3" ht="14.4" x14ac:dyDescent="0.3">
      <c r="A1304" s="90" t="s">
        <v>4246</v>
      </c>
      <c r="B1304" s="90" t="s">
        <v>1007</v>
      </c>
      <c r="C1304" s="90" t="s">
        <v>972</v>
      </c>
    </row>
    <row r="1305" spans="1:3" ht="14.4" x14ac:dyDescent="0.3">
      <c r="A1305" s="90" t="s">
        <v>4247</v>
      </c>
      <c r="B1305" s="90" t="s">
        <v>2647</v>
      </c>
      <c r="C1305" s="90" t="s">
        <v>2633</v>
      </c>
    </row>
    <row r="1306" spans="1:3" ht="14.4" x14ac:dyDescent="0.3">
      <c r="A1306" s="90" t="s">
        <v>4248</v>
      </c>
      <c r="B1306" s="90" t="s">
        <v>1221</v>
      </c>
      <c r="C1306" s="90" t="s">
        <v>1220</v>
      </c>
    </row>
    <row r="1307" spans="1:3" ht="14.4" x14ac:dyDescent="0.3">
      <c r="A1307" s="90" t="s">
        <v>4249</v>
      </c>
      <c r="B1307" s="90" t="s">
        <v>1384</v>
      </c>
      <c r="C1307" s="90" t="s">
        <v>1375</v>
      </c>
    </row>
    <row r="1308" spans="1:3" ht="14.4" x14ac:dyDescent="0.3">
      <c r="A1308" s="90" t="s">
        <v>4250</v>
      </c>
      <c r="B1308" s="90" t="s">
        <v>714</v>
      </c>
      <c r="C1308" s="90" t="s">
        <v>675</v>
      </c>
    </row>
    <row r="1309" spans="1:3" ht="14.4" x14ac:dyDescent="0.3">
      <c r="A1309" s="90" t="s">
        <v>4251</v>
      </c>
      <c r="B1309" s="90" t="s">
        <v>2755</v>
      </c>
      <c r="C1309" s="90" t="s">
        <v>2754</v>
      </c>
    </row>
    <row r="1310" spans="1:3" ht="14.4" x14ac:dyDescent="0.3">
      <c r="A1310" s="90" t="s">
        <v>4252</v>
      </c>
      <c r="B1310" s="90" t="s">
        <v>2376</v>
      </c>
      <c r="C1310" s="90" t="s">
        <v>2365</v>
      </c>
    </row>
    <row r="1311" spans="1:3" ht="14.4" x14ac:dyDescent="0.3">
      <c r="A1311" s="90" t="s">
        <v>4253</v>
      </c>
      <c r="B1311" s="90" t="s">
        <v>1526</v>
      </c>
      <c r="C1311" s="90" t="s">
        <v>1513</v>
      </c>
    </row>
    <row r="1312" spans="1:3" ht="14.4" x14ac:dyDescent="0.3">
      <c r="A1312" s="90" t="s">
        <v>4254</v>
      </c>
      <c r="B1312" s="90" t="s">
        <v>1699</v>
      </c>
      <c r="C1312" s="90" t="s">
        <v>1681</v>
      </c>
    </row>
    <row r="1313" spans="1:3" ht="14.4" x14ac:dyDescent="0.3">
      <c r="A1313" s="90" t="s">
        <v>4255</v>
      </c>
      <c r="B1313" s="90" t="s">
        <v>1583</v>
      </c>
      <c r="C1313" s="90" t="s">
        <v>1580</v>
      </c>
    </row>
    <row r="1314" spans="1:3" ht="14.4" x14ac:dyDescent="0.3">
      <c r="A1314" s="90" t="s">
        <v>4256</v>
      </c>
      <c r="B1314" s="90" t="s">
        <v>537</v>
      </c>
      <c r="C1314" s="90" t="s">
        <v>449</v>
      </c>
    </row>
    <row r="1315" spans="1:3" ht="14.4" x14ac:dyDescent="0.3">
      <c r="A1315" s="90" t="s">
        <v>4257</v>
      </c>
      <c r="B1315" s="90" t="s">
        <v>538</v>
      </c>
      <c r="C1315" s="90" t="s">
        <v>449</v>
      </c>
    </row>
    <row r="1316" spans="1:3" ht="14.4" x14ac:dyDescent="0.3">
      <c r="A1316" s="90" t="s">
        <v>4258</v>
      </c>
      <c r="B1316" s="90" t="s">
        <v>2674</v>
      </c>
      <c r="C1316" s="90" t="s">
        <v>2669</v>
      </c>
    </row>
    <row r="1317" spans="1:3" ht="14.4" x14ac:dyDescent="0.3">
      <c r="A1317" s="90" t="s">
        <v>4259</v>
      </c>
      <c r="B1317" s="90" t="s">
        <v>2539</v>
      </c>
      <c r="C1317" s="90" t="s">
        <v>2489</v>
      </c>
    </row>
    <row r="1318" spans="1:3" ht="14.4" x14ac:dyDescent="0.3">
      <c r="A1318" s="90" t="s">
        <v>4260</v>
      </c>
      <c r="B1318" s="90" t="s">
        <v>539</v>
      </c>
      <c r="C1318" s="90" t="s">
        <v>449</v>
      </c>
    </row>
    <row r="1319" spans="1:3" ht="14.4" x14ac:dyDescent="0.3">
      <c r="A1319" s="90" t="s">
        <v>4261</v>
      </c>
      <c r="B1319" s="90" t="s">
        <v>2540</v>
      </c>
      <c r="C1319" s="90" t="s">
        <v>2489</v>
      </c>
    </row>
    <row r="1320" spans="1:3" ht="14.4" x14ac:dyDescent="0.3">
      <c r="A1320" s="90" t="s">
        <v>4262</v>
      </c>
      <c r="B1320" s="90" t="s">
        <v>312</v>
      </c>
      <c r="C1320" s="90" t="s">
        <v>203</v>
      </c>
    </row>
    <row r="1321" spans="1:3" ht="14.4" x14ac:dyDescent="0.3">
      <c r="A1321" s="90" t="s">
        <v>4263</v>
      </c>
      <c r="B1321" s="90" t="s">
        <v>938</v>
      </c>
      <c r="C1321" s="90" t="s">
        <v>916</v>
      </c>
    </row>
    <row r="1322" spans="1:3" ht="14.4" x14ac:dyDescent="0.3">
      <c r="A1322" s="90" t="s">
        <v>4264</v>
      </c>
      <c r="B1322" s="90" t="s">
        <v>540</v>
      </c>
      <c r="C1322" s="90" t="s">
        <v>449</v>
      </c>
    </row>
    <row r="1323" spans="1:3" ht="14.4" x14ac:dyDescent="0.3">
      <c r="A1323" s="90" t="s">
        <v>4265</v>
      </c>
      <c r="B1323" s="90" t="s">
        <v>337</v>
      </c>
      <c r="C1323" s="90" t="s">
        <v>203</v>
      </c>
    </row>
    <row r="1324" spans="1:3" ht="14.4" x14ac:dyDescent="0.3">
      <c r="A1324" s="90" t="s">
        <v>4266</v>
      </c>
      <c r="B1324" s="90" t="s">
        <v>821</v>
      </c>
      <c r="C1324" s="90" t="s">
        <v>800</v>
      </c>
    </row>
    <row r="1325" spans="1:3" ht="14.4" x14ac:dyDescent="0.3">
      <c r="A1325" s="90" t="s">
        <v>4267</v>
      </c>
      <c r="B1325" s="90" t="s">
        <v>1649</v>
      </c>
      <c r="C1325" s="90" t="s">
        <v>1631</v>
      </c>
    </row>
    <row r="1326" spans="1:3" ht="14.4" x14ac:dyDescent="0.3">
      <c r="A1326" s="90" t="s">
        <v>4268</v>
      </c>
      <c r="B1326" s="90" t="s">
        <v>1879</v>
      </c>
      <c r="C1326" s="90" t="s">
        <v>1863</v>
      </c>
    </row>
    <row r="1327" spans="1:3" ht="14.4" x14ac:dyDescent="0.3">
      <c r="A1327" s="90" t="s">
        <v>4269</v>
      </c>
      <c r="B1327" s="90" t="s">
        <v>2103</v>
      </c>
      <c r="C1327" s="90" t="s">
        <v>2087</v>
      </c>
    </row>
    <row r="1328" spans="1:3" ht="14.4" x14ac:dyDescent="0.3">
      <c r="A1328" s="90" t="s">
        <v>4270</v>
      </c>
      <c r="B1328" s="90" t="s">
        <v>542</v>
      </c>
      <c r="C1328" s="90" t="s">
        <v>449</v>
      </c>
    </row>
    <row r="1329" spans="1:3" ht="14.4" x14ac:dyDescent="0.3">
      <c r="A1329" s="90" t="s">
        <v>4271</v>
      </c>
      <c r="B1329" s="90" t="s">
        <v>1258</v>
      </c>
      <c r="C1329" s="90" t="s">
        <v>1251</v>
      </c>
    </row>
    <row r="1330" spans="1:3" ht="14.4" x14ac:dyDescent="0.3">
      <c r="A1330" s="90" t="s">
        <v>4272</v>
      </c>
      <c r="B1330" s="90" t="s">
        <v>543</v>
      </c>
      <c r="C1330" s="90" t="s">
        <v>449</v>
      </c>
    </row>
    <row r="1331" spans="1:3" ht="14.4" x14ac:dyDescent="0.3">
      <c r="A1331" s="90" t="s">
        <v>4273</v>
      </c>
      <c r="B1331" s="90" t="s">
        <v>2541</v>
      </c>
      <c r="C1331" s="90" t="s">
        <v>2489</v>
      </c>
    </row>
    <row r="1332" spans="1:3" ht="14.4" x14ac:dyDescent="0.3">
      <c r="A1332" s="90" t="s">
        <v>4274</v>
      </c>
      <c r="B1332" s="90" t="s">
        <v>2477</v>
      </c>
      <c r="C1332" s="90" t="s">
        <v>2468</v>
      </c>
    </row>
    <row r="1333" spans="1:3" ht="14.4" x14ac:dyDescent="0.3">
      <c r="A1333" s="90" t="s">
        <v>4275</v>
      </c>
      <c r="B1333" s="90" t="s">
        <v>544</v>
      </c>
      <c r="C1333" s="90" t="s">
        <v>449</v>
      </c>
    </row>
    <row r="1334" spans="1:3" ht="14.4" x14ac:dyDescent="0.3">
      <c r="A1334" s="90" t="s">
        <v>4276</v>
      </c>
      <c r="B1334" s="90" t="s">
        <v>1862</v>
      </c>
      <c r="C1334" s="90" t="s">
        <v>1848</v>
      </c>
    </row>
    <row r="1335" spans="1:3" ht="14.4" x14ac:dyDescent="0.3">
      <c r="A1335" s="90" t="s">
        <v>4277</v>
      </c>
      <c r="B1335" s="90" t="s">
        <v>2442</v>
      </c>
      <c r="C1335" s="90" t="s">
        <v>2421</v>
      </c>
    </row>
    <row r="1336" spans="1:3" ht="14.4" x14ac:dyDescent="0.3">
      <c r="A1336" s="90" t="s">
        <v>4278</v>
      </c>
      <c r="B1336" s="90" t="s">
        <v>759</v>
      </c>
      <c r="C1336" s="90" t="s">
        <v>744</v>
      </c>
    </row>
    <row r="1337" spans="1:3" ht="14.4" x14ac:dyDescent="0.3">
      <c r="A1337" s="90" t="s">
        <v>4279</v>
      </c>
      <c r="B1337" s="90" t="s">
        <v>2542</v>
      </c>
      <c r="C1337" s="90" t="s">
        <v>2489</v>
      </c>
    </row>
    <row r="1338" spans="1:3" ht="14.4" x14ac:dyDescent="0.3">
      <c r="A1338" s="90" t="s">
        <v>4280</v>
      </c>
      <c r="B1338" s="90" t="s">
        <v>541</v>
      </c>
      <c r="C1338" s="90" t="s">
        <v>449</v>
      </c>
    </row>
    <row r="1339" spans="1:3" ht="14.4" x14ac:dyDescent="0.3">
      <c r="A1339" s="90" t="s">
        <v>4281</v>
      </c>
      <c r="B1339" s="90" t="s">
        <v>1990</v>
      </c>
      <c r="C1339" s="90" t="s">
        <v>1988</v>
      </c>
    </row>
    <row r="1340" spans="1:3" ht="14.4" x14ac:dyDescent="0.3">
      <c r="A1340" s="90" t="s">
        <v>4282</v>
      </c>
      <c r="B1340" s="90" t="s">
        <v>1577</v>
      </c>
      <c r="C1340" s="90" t="s">
        <v>1573</v>
      </c>
    </row>
    <row r="1341" spans="1:3" ht="14.4" x14ac:dyDescent="0.3">
      <c r="A1341" s="90" t="s">
        <v>4283</v>
      </c>
      <c r="B1341" s="90" t="s">
        <v>549</v>
      </c>
      <c r="C1341" s="90" t="s">
        <v>449</v>
      </c>
    </row>
    <row r="1342" spans="1:3" ht="14.4" x14ac:dyDescent="0.3">
      <c r="A1342" s="90" t="s">
        <v>4284</v>
      </c>
      <c r="B1342" s="90" t="s">
        <v>2646</v>
      </c>
      <c r="C1342" s="90" t="s">
        <v>2633</v>
      </c>
    </row>
    <row r="1343" spans="1:3" ht="14.4" x14ac:dyDescent="0.3">
      <c r="A1343" s="90" t="s">
        <v>4285</v>
      </c>
      <c r="B1343" s="90" t="s">
        <v>1913</v>
      </c>
      <c r="C1343" s="90" t="s">
        <v>1901</v>
      </c>
    </row>
    <row r="1344" spans="1:3" ht="14.4" x14ac:dyDescent="0.3">
      <c r="A1344" s="90" t="s">
        <v>4286</v>
      </c>
      <c r="B1344" s="90" t="s">
        <v>1302</v>
      </c>
      <c r="C1344" s="90" t="s">
        <v>1292</v>
      </c>
    </row>
    <row r="1345" spans="1:3" ht="14.4" x14ac:dyDescent="0.3">
      <c r="A1345" s="90" t="s">
        <v>4287</v>
      </c>
      <c r="B1345" s="90" t="s">
        <v>1420</v>
      </c>
      <c r="C1345" s="90" t="s">
        <v>1392</v>
      </c>
    </row>
    <row r="1346" spans="1:3" ht="14.4" x14ac:dyDescent="0.3">
      <c r="A1346" s="90" t="s">
        <v>4288</v>
      </c>
      <c r="B1346" s="90" t="s">
        <v>6</v>
      </c>
      <c r="C1346" s="90" t="s">
        <v>4</v>
      </c>
    </row>
    <row r="1347" spans="1:3" ht="14.4" x14ac:dyDescent="0.3">
      <c r="A1347" s="90" t="s">
        <v>4289</v>
      </c>
      <c r="B1347" s="90" t="s">
        <v>2406</v>
      </c>
      <c r="C1347" s="90" t="s">
        <v>2397</v>
      </c>
    </row>
    <row r="1348" spans="1:3" ht="14.4" x14ac:dyDescent="0.3">
      <c r="A1348" s="90" t="s">
        <v>4290</v>
      </c>
      <c r="B1348" s="90" t="s">
        <v>2423</v>
      </c>
      <c r="C1348" s="90" t="s">
        <v>2421</v>
      </c>
    </row>
    <row r="1349" spans="1:3" ht="14.4" x14ac:dyDescent="0.3">
      <c r="A1349" s="90" t="s">
        <v>4291</v>
      </c>
      <c r="B1349" s="90" t="s">
        <v>2645</v>
      </c>
      <c r="C1349" s="90" t="s">
        <v>2633</v>
      </c>
    </row>
    <row r="1350" spans="1:3" ht="14.4" x14ac:dyDescent="0.3">
      <c r="A1350" s="90" t="s">
        <v>4292</v>
      </c>
      <c r="B1350" s="90" t="s">
        <v>1068</v>
      </c>
      <c r="C1350" s="90" t="s">
        <v>1050</v>
      </c>
    </row>
    <row r="1351" spans="1:3" ht="14.4" x14ac:dyDescent="0.3">
      <c r="A1351" s="90" t="s">
        <v>4293</v>
      </c>
      <c r="B1351" s="90" t="s">
        <v>1009</v>
      </c>
      <c r="C1351" s="90" t="s">
        <v>972</v>
      </c>
    </row>
    <row r="1352" spans="1:3" ht="14.4" x14ac:dyDescent="0.3">
      <c r="A1352" s="90" t="s">
        <v>4294</v>
      </c>
      <c r="B1352" s="90" t="s">
        <v>864</v>
      </c>
      <c r="C1352" s="90" t="s">
        <v>859</v>
      </c>
    </row>
    <row r="1353" spans="1:3" ht="14.4" x14ac:dyDescent="0.3">
      <c r="A1353" s="90" t="s">
        <v>4295</v>
      </c>
      <c r="B1353" s="90" t="s">
        <v>2790</v>
      </c>
      <c r="C1353" s="90" t="s">
        <v>2767</v>
      </c>
    </row>
    <row r="1354" spans="1:3" ht="14.4" x14ac:dyDescent="0.3">
      <c r="A1354" s="90" t="s">
        <v>4296</v>
      </c>
      <c r="B1354" s="90" t="s">
        <v>2172</v>
      </c>
      <c r="C1354" s="90" t="s">
        <v>2153</v>
      </c>
    </row>
    <row r="1355" spans="1:3" ht="14.4" x14ac:dyDescent="0.3">
      <c r="A1355" s="90" t="s">
        <v>4297</v>
      </c>
      <c r="B1355" s="90" t="s">
        <v>716</v>
      </c>
      <c r="C1355" s="90" t="s">
        <v>675</v>
      </c>
    </row>
    <row r="1356" spans="1:3" ht="14.4" x14ac:dyDescent="0.3">
      <c r="A1356" s="90" t="s">
        <v>4298</v>
      </c>
      <c r="B1356" s="90" t="s">
        <v>2171</v>
      </c>
      <c r="C1356" s="90" t="s">
        <v>2153</v>
      </c>
    </row>
    <row r="1357" spans="1:3" ht="14.4" x14ac:dyDescent="0.3">
      <c r="A1357" s="90" t="s">
        <v>4299</v>
      </c>
      <c r="B1357" s="90" t="s">
        <v>1701</v>
      </c>
      <c r="C1357" s="90" t="s">
        <v>1681</v>
      </c>
    </row>
    <row r="1358" spans="1:3" ht="14.4" x14ac:dyDescent="0.3">
      <c r="A1358" s="90" t="s">
        <v>4300</v>
      </c>
      <c r="B1358" s="90" t="s">
        <v>1069</v>
      </c>
      <c r="C1358" s="90" t="s">
        <v>1050</v>
      </c>
    </row>
    <row r="1359" spans="1:3" ht="14.4" x14ac:dyDescent="0.3">
      <c r="A1359" s="90" t="s">
        <v>4301</v>
      </c>
      <c r="B1359" s="90" t="s">
        <v>2349</v>
      </c>
      <c r="C1359" s="90" t="s">
        <v>2328</v>
      </c>
    </row>
    <row r="1360" spans="1:3" ht="14.4" x14ac:dyDescent="0.3">
      <c r="A1360" s="90" t="s">
        <v>4302</v>
      </c>
      <c r="B1360" s="90" t="s">
        <v>1527</v>
      </c>
      <c r="C1360" s="90" t="s">
        <v>1513</v>
      </c>
    </row>
    <row r="1361" spans="1:3" ht="14.4" x14ac:dyDescent="0.3">
      <c r="A1361" s="90" t="s">
        <v>4303</v>
      </c>
      <c r="B1361" s="90" t="s">
        <v>1653</v>
      </c>
      <c r="C1361" s="90" t="s">
        <v>1631</v>
      </c>
    </row>
    <row r="1362" spans="1:3" ht="14.4" x14ac:dyDescent="0.3">
      <c r="A1362" s="90" t="s">
        <v>4304</v>
      </c>
      <c r="B1362" s="90" t="s">
        <v>1780</v>
      </c>
      <c r="C1362" s="90" t="s">
        <v>1741</v>
      </c>
    </row>
    <row r="1363" spans="1:3" ht="14.4" x14ac:dyDescent="0.3">
      <c r="A1363" s="90" t="s">
        <v>4305</v>
      </c>
      <c r="B1363" s="90" t="s">
        <v>1349</v>
      </c>
      <c r="C1363" s="90" t="s">
        <v>1338</v>
      </c>
    </row>
    <row r="1364" spans="1:3" ht="14.4" x14ac:dyDescent="0.3">
      <c r="A1364" s="90" t="s">
        <v>4306</v>
      </c>
      <c r="B1364" s="90" t="s">
        <v>547</v>
      </c>
      <c r="C1364" s="90" t="s">
        <v>449</v>
      </c>
    </row>
    <row r="1365" spans="1:3" ht="14.4" x14ac:dyDescent="0.3">
      <c r="A1365" s="90" t="s">
        <v>4307</v>
      </c>
      <c r="B1365" s="90" t="s">
        <v>760</v>
      </c>
      <c r="C1365" s="90" t="s">
        <v>744</v>
      </c>
    </row>
    <row r="1366" spans="1:3" ht="14.4" x14ac:dyDescent="0.3">
      <c r="A1366" s="90" t="s">
        <v>4308</v>
      </c>
      <c r="B1366" s="90" t="s">
        <v>1650</v>
      </c>
      <c r="C1366" s="90" t="s">
        <v>1631</v>
      </c>
    </row>
    <row r="1367" spans="1:3" ht="14.4" x14ac:dyDescent="0.3">
      <c r="A1367" s="90" t="s">
        <v>4309</v>
      </c>
      <c r="B1367" s="90" t="s">
        <v>1460</v>
      </c>
      <c r="C1367" s="90" t="s">
        <v>1451</v>
      </c>
    </row>
    <row r="1368" spans="1:3" ht="14.4" x14ac:dyDescent="0.3">
      <c r="A1368" s="90" t="s">
        <v>4310</v>
      </c>
      <c r="B1368" s="90" t="s">
        <v>2377</v>
      </c>
      <c r="C1368" s="90" t="s">
        <v>2365</v>
      </c>
    </row>
    <row r="1369" spans="1:3" ht="14.4" x14ac:dyDescent="0.3">
      <c r="A1369" s="90" t="s">
        <v>4311</v>
      </c>
      <c r="B1369" s="90" t="s">
        <v>1010</v>
      </c>
      <c r="C1369" s="90" t="s">
        <v>972</v>
      </c>
    </row>
    <row r="1370" spans="1:3" ht="14.4" x14ac:dyDescent="0.3">
      <c r="A1370" s="90" t="s">
        <v>4312</v>
      </c>
      <c r="B1370" s="90" t="s">
        <v>1008</v>
      </c>
      <c r="C1370" s="90" t="s">
        <v>972</v>
      </c>
    </row>
    <row r="1371" spans="1:3" ht="14.4" x14ac:dyDescent="0.3">
      <c r="A1371" s="90" t="s">
        <v>4313</v>
      </c>
      <c r="B1371" s="90" t="s">
        <v>1654</v>
      </c>
      <c r="C1371" s="90" t="s">
        <v>1631</v>
      </c>
    </row>
    <row r="1372" spans="1:3" ht="14.4" x14ac:dyDescent="0.3">
      <c r="A1372" s="90" t="s">
        <v>4314</v>
      </c>
      <c r="B1372" s="90" t="s">
        <v>2045</v>
      </c>
      <c r="C1372" s="90" t="s">
        <v>2015</v>
      </c>
    </row>
    <row r="1373" spans="1:3" ht="14.4" x14ac:dyDescent="0.3">
      <c r="A1373" s="90" t="s">
        <v>4315</v>
      </c>
      <c r="B1373" s="90" t="s">
        <v>133</v>
      </c>
      <c r="C1373" s="90" t="s">
        <v>116</v>
      </c>
    </row>
    <row r="1374" spans="1:3" ht="14.4" x14ac:dyDescent="0.3">
      <c r="A1374" s="90" t="s">
        <v>4316</v>
      </c>
      <c r="B1374" s="90" t="s">
        <v>2443</v>
      </c>
      <c r="C1374" s="90" t="s">
        <v>2421</v>
      </c>
    </row>
    <row r="1375" spans="1:3" ht="14.4" x14ac:dyDescent="0.3">
      <c r="A1375" s="90" t="s">
        <v>4317</v>
      </c>
      <c r="B1375" s="90" t="s">
        <v>2283</v>
      </c>
      <c r="C1375" s="90" t="s">
        <v>2275</v>
      </c>
    </row>
    <row r="1376" spans="1:3" ht="14.4" x14ac:dyDescent="0.3">
      <c r="A1376" s="90" t="s">
        <v>4318</v>
      </c>
      <c r="B1376" s="90" t="s">
        <v>1781</v>
      </c>
      <c r="C1376" s="90" t="s">
        <v>1741</v>
      </c>
    </row>
    <row r="1377" spans="1:3" ht="14.4" x14ac:dyDescent="0.3">
      <c r="A1377" s="90" t="s">
        <v>4319</v>
      </c>
      <c r="B1377" s="90" t="s">
        <v>2304</v>
      </c>
      <c r="C1377" s="90" t="s">
        <v>2275</v>
      </c>
    </row>
    <row r="1378" spans="1:3" ht="14.4" x14ac:dyDescent="0.3">
      <c r="A1378" s="90" t="s">
        <v>4320</v>
      </c>
      <c r="B1378" s="90" t="s">
        <v>1476</v>
      </c>
      <c r="C1378" s="90" t="s">
        <v>1472</v>
      </c>
    </row>
    <row r="1379" spans="1:3" ht="14.4" x14ac:dyDescent="0.3">
      <c r="A1379" s="90" t="s">
        <v>4321</v>
      </c>
      <c r="B1379" s="90" t="s">
        <v>868</v>
      </c>
      <c r="C1379" s="90" t="s">
        <v>866</v>
      </c>
    </row>
    <row r="1380" spans="1:3" ht="14.4" x14ac:dyDescent="0.3">
      <c r="A1380" s="90" t="s">
        <v>4322</v>
      </c>
      <c r="B1380" s="90" t="s">
        <v>57</v>
      </c>
      <c r="C1380" s="90" t="s">
        <v>50</v>
      </c>
    </row>
    <row r="1381" spans="1:3" ht="14.4" x14ac:dyDescent="0.3">
      <c r="A1381" s="90" t="s">
        <v>4323</v>
      </c>
      <c r="B1381" s="90" t="s">
        <v>1882</v>
      </c>
      <c r="C1381" s="90" t="s">
        <v>1863</v>
      </c>
    </row>
    <row r="1382" spans="1:3" ht="14.4" x14ac:dyDescent="0.3">
      <c r="A1382" s="90" t="s">
        <v>4324</v>
      </c>
      <c r="B1382" s="90" t="s">
        <v>1011</v>
      </c>
      <c r="C1382" s="90" t="s">
        <v>972</v>
      </c>
    </row>
    <row r="1383" spans="1:3" ht="14.4" x14ac:dyDescent="0.3">
      <c r="A1383" s="90" t="s">
        <v>4325</v>
      </c>
      <c r="B1383" s="90" t="s">
        <v>645</v>
      </c>
      <c r="C1383" s="90" t="s">
        <v>627</v>
      </c>
    </row>
    <row r="1384" spans="1:3" ht="14.4" x14ac:dyDescent="0.3">
      <c r="A1384" s="90" t="s">
        <v>4326</v>
      </c>
      <c r="B1384" s="90" t="s">
        <v>2611</v>
      </c>
      <c r="C1384" s="90" t="s">
        <v>2589</v>
      </c>
    </row>
    <row r="1385" spans="1:3" ht="14.4" x14ac:dyDescent="0.3">
      <c r="A1385" s="90" t="s">
        <v>4327</v>
      </c>
      <c r="B1385" s="90" t="s">
        <v>910</v>
      </c>
      <c r="C1385" s="90" t="s">
        <v>909</v>
      </c>
    </row>
    <row r="1386" spans="1:3" ht="14.4" x14ac:dyDescent="0.3">
      <c r="A1386" s="90" t="s">
        <v>4328</v>
      </c>
      <c r="B1386" s="90" t="s">
        <v>1161</v>
      </c>
      <c r="C1386" s="90" t="s">
        <v>1147</v>
      </c>
    </row>
    <row r="1387" spans="1:3" ht="14.4" x14ac:dyDescent="0.3">
      <c r="A1387" s="90" t="s">
        <v>4329</v>
      </c>
      <c r="B1387" s="90" t="s">
        <v>644</v>
      </c>
      <c r="C1387" s="90" t="s">
        <v>627</v>
      </c>
    </row>
    <row r="1388" spans="1:3" ht="14.4" x14ac:dyDescent="0.3">
      <c r="A1388" s="90" t="s">
        <v>4330</v>
      </c>
      <c r="B1388" s="90" t="s">
        <v>1880</v>
      </c>
      <c r="C1388" s="90" t="s">
        <v>1863</v>
      </c>
    </row>
    <row r="1389" spans="1:3" ht="14.4" x14ac:dyDescent="0.3">
      <c r="A1389" s="90" t="s">
        <v>4331</v>
      </c>
      <c r="B1389" s="90" t="s">
        <v>717</v>
      </c>
      <c r="C1389" s="90" t="s">
        <v>675</v>
      </c>
    </row>
    <row r="1390" spans="1:3" ht="14.4" x14ac:dyDescent="0.3">
      <c r="A1390" s="90" t="s">
        <v>4332</v>
      </c>
      <c r="B1390" s="90" t="s">
        <v>1996</v>
      </c>
      <c r="C1390" s="90" t="s">
        <v>1988</v>
      </c>
    </row>
    <row r="1391" spans="1:3" ht="14.4" x14ac:dyDescent="0.3">
      <c r="A1391" s="90" t="s">
        <v>4333</v>
      </c>
      <c r="B1391" s="90" t="s">
        <v>550</v>
      </c>
      <c r="C1391" s="90" t="s">
        <v>449</v>
      </c>
    </row>
    <row r="1392" spans="1:3" ht="14.4" x14ac:dyDescent="0.3">
      <c r="A1392" s="90" t="s">
        <v>4334</v>
      </c>
      <c r="B1392" s="90" t="s">
        <v>1044</v>
      </c>
      <c r="C1392" s="90" t="s">
        <v>1038</v>
      </c>
    </row>
    <row r="1393" spans="1:3" ht="14.4" x14ac:dyDescent="0.3">
      <c r="A1393" s="90" t="s">
        <v>4335</v>
      </c>
      <c r="B1393" s="90" t="s">
        <v>822</v>
      </c>
      <c r="C1393" s="90" t="s">
        <v>800</v>
      </c>
    </row>
    <row r="1394" spans="1:3" ht="14.4" x14ac:dyDescent="0.3">
      <c r="A1394" s="90" t="s">
        <v>4336</v>
      </c>
      <c r="B1394" s="90" t="s">
        <v>1986</v>
      </c>
      <c r="C1394" s="90" t="s">
        <v>1977</v>
      </c>
    </row>
    <row r="1395" spans="1:3" ht="14.4" x14ac:dyDescent="0.3">
      <c r="A1395" s="90" t="s">
        <v>4337</v>
      </c>
      <c r="B1395" s="90" t="s">
        <v>1782</v>
      </c>
      <c r="C1395" s="90" t="s">
        <v>1741</v>
      </c>
    </row>
    <row r="1396" spans="1:3" ht="14.4" x14ac:dyDescent="0.3">
      <c r="A1396" s="90" t="s">
        <v>4338</v>
      </c>
      <c r="B1396" s="90" t="s">
        <v>1528</v>
      </c>
      <c r="C1396" s="90" t="s">
        <v>1513</v>
      </c>
    </row>
    <row r="1397" spans="1:3" ht="14.4" x14ac:dyDescent="0.3">
      <c r="A1397" s="90" t="s">
        <v>4339</v>
      </c>
      <c r="B1397" s="90" t="s">
        <v>200</v>
      </c>
      <c r="C1397" s="90" t="s">
        <v>195</v>
      </c>
    </row>
    <row r="1398" spans="1:3" ht="14.4" x14ac:dyDescent="0.3">
      <c r="A1398" s="90" t="s">
        <v>4340</v>
      </c>
      <c r="B1398" s="90" t="s">
        <v>1421</v>
      </c>
      <c r="C1398" s="90" t="s">
        <v>1392</v>
      </c>
    </row>
    <row r="1399" spans="1:3" ht="14.4" x14ac:dyDescent="0.3">
      <c r="A1399" s="90" t="s">
        <v>4341</v>
      </c>
      <c r="B1399" s="90" t="s">
        <v>551</v>
      </c>
      <c r="C1399" s="90" t="s">
        <v>449</v>
      </c>
    </row>
    <row r="1400" spans="1:3" ht="14.4" x14ac:dyDescent="0.3">
      <c r="A1400" s="90" t="s">
        <v>4342</v>
      </c>
      <c r="B1400" s="90" t="s">
        <v>1958</v>
      </c>
      <c r="C1400" s="90" t="s">
        <v>1955</v>
      </c>
    </row>
    <row r="1401" spans="1:3" ht="14.4" x14ac:dyDescent="0.3">
      <c r="A1401" s="90" t="s">
        <v>4343</v>
      </c>
      <c r="B1401" s="90" t="s">
        <v>914</v>
      </c>
      <c r="C1401" s="90" t="s">
        <v>909</v>
      </c>
    </row>
    <row r="1402" spans="1:3" ht="14.4" x14ac:dyDescent="0.3">
      <c r="A1402" s="90" t="s">
        <v>4344</v>
      </c>
      <c r="B1402" s="90" t="s">
        <v>1883</v>
      </c>
      <c r="C1402" s="90" t="s">
        <v>1863</v>
      </c>
    </row>
    <row r="1403" spans="1:3" ht="14.4" x14ac:dyDescent="0.3">
      <c r="A1403" s="90" t="s">
        <v>4345</v>
      </c>
      <c r="B1403" s="90" t="s">
        <v>1012</v>
      </c>
      <c r="C1403" s="90" t="s">
        <v>972</v>
      </c>
    </row>
    <row r="1404" spans="1:3" ht="14.4" x14ac:dyDescent="0.3">
      <c r="A1404" s="90" t="s">
        <v>4346</v>
      </c>
      <c r="B1404" s="90" t="s">
        <v>71</v>
      </c>
      <c r="C1404" s="90" t="s">
        <v>68</v>
      </c>
    </row>
    <row r="1405" spans="1:3" ht="14.4" x14ac:dyDescent="0.3">
      <c r="A1405" s="90" t="s">
        <v>4347</v>
      </c>
      <c r="B1405" s="90" t="s">
        <v>28</v>
      </c>
      <c r="C1405" s="90" t="s">
        <v>7</v>
      </c>
    </row>
    <row r="1406" spans="1:3" ht="14.4" x14ac:dyDescent="0.3">
      <c r="A1406" s="90" t="s">
        <v>4348</v>
      </c>
      <c r="B1406" s="90" t="s">
        <v>2691</v>
      </c>
      <c r="C1406" s="90" t="s">
        <v>2683</v>
      </c>
    </row>
    <row r="1407" spans="1:3" ht="14.4" x14ac:dyDescent="0.3">
      <c r="A1407" s="90" t="s">
        <v>4349</v>
      </c>
      <c r="B1407" s="90" t="s">
        <v>80</v>
      </c>
      <c r="C1407" s="90" t="s">
        <v>72</v>
      </c>
    </row>
    <row r="1408" spans="1:3" ht="14.4" x14ac:dyDescent="0.3">
      <c r="A1408" s="90" t="s">
        <v>4350</v>
      </c>
      <c r="B1408" s="90" t="s">
        <v>670</v>
      </c>
      <c r="C1408" s="90" t="s">
        <v>661</v>
      </c>
    </row>
    <row r="1409" spans="1:3" ht="14.4" x14ac:dyDescent="0.3">
      <c r="A1409" s="90" t="s">
        <v>4351</v>
      </c>
      <c r="B1409" s="90" t="s">
        <v>2243</v>
      </c>
      <c r="C1409" s="90" t="s">
        <v>2234</v>
      </c>
    </row>
    <row r="1410" spans="1:3" ht="14.4" x14ac:dyDescent="0.3">
      <c r="A1410" s="90" t="s">
        <v>4352</v>
      </c>
      <c r="B1410" s="90" t="s">
        <v>1162</v>
      </c>
      <c r="C1410" s="90" t="s">
        <v>1147</v>
      </c>
    </row>
    <row r="1411" spans="1:3" ht="14.4" x14ac:dyDescent="0.3">
      <c r="A1411" s="90" t="s">
        <v>4353</v>
      </c>
      <c r="B1411" s="90" t="s">
        <v>761</v>
      </c>
      <c r="C1411" s="90" t="s">
        <v>744</v>
      </c>
    </row>
    <row r="1412" spans="1:3" ht="14.4" x14ac:dyDescent="0.3">
      <c r="A1412" s="90" t="s">
        <v>4354</v>
      </c>
      <c r="B1412" s="90" t="s">
        <v>1126</v>
      </c>
      <c r="C1412" s="90" t="s">
        <v>1106</v>
      </c>
    </row>
    <row r="1413" spans="1:3" ht="14.4" x14ac:dyDescent="0.3">
      <c r="A1413" s="90" t="s">
        <v>4355</v>
      </c>
      <c r="B1413" s="90" t="s">
        <v>2746</v>
      </c>
      <c r="C1413" s="90" t="s">
        <v>2740</v>
      </c>
    </row>
    <row r="1414" spans="1:3" ht="14.4" x14ac:dyDescent="0.3">
      <c r="A1414" s="90" t="s">
        <v>4356</v>
      </c>
      <c r="B1414" s="90" t="s">
        <v>552</v>
      </c>
      <c r="C1414" s="90" t="s">
        <v>449</v>
      </c>
    </row>
    <row r="1415" spans="1:3" ht="14.4" x14ac:dyDescent="0.3">
      <c r="A1415" s="90" t="s">
        <v>4357</v>
      </c>
      <c r="B1415" s="90" t="s">
        <v>2478</v>
      </c>
      <c r="C1415" s="90" t="s">
        <v>2468</v>
      </c>
    </row>
    <row r="1416" spans="1:3" ht="14.4" x14ac:dyDescent="0.3">
      <c r="A1416" s="90" t="s">
        <v>4358</v>
      </c>
      <c r="B1416" s="90" t="s">
        <v>341</v>
      </c>
      <c r="C1416" s="90" t="s">
        <v>203</v>
      </c>
    </row>
    <row r="1417" spans="1:3" ht="14.4" x14ac:dyDescent="0.3">
      <c r="A1417" s="90" t="s">
        <v>4359</v>
      </c>
      <c r="B1417" s="90" t="s">
        <v>2378</v>
      </c>
      <c r="C1417" s="90" t="s">
        <v>2365</v>
      </c>
    </row>
    <row r="1418" spans="1:3" ht="14.4" x14ac:dyDescent="0.3">
      <c r="A1418" s="90" t="s">
        <v>4360</v>
      </c>
      <c r="B1418" s="90" t="s">
        <v>2543</v>
      </c>
      <c r="C1418" s="90" t="s">
        <v>2489</v>
      </c>
    </row>
    <row r="1419" spans="1:3" ht="14.4" x14ac:dyDescent="0.3">
      <c r="A1419" s="90" t="s">
        <v>4361</v>
      </c>
      <c r="B1419" s="90" t="s">
        <v>2747</v>
      </c>
      <c r="C1419" s="90" t="s">
        <v>2740</v>
      </c>
    </row>
    <row r="1420" spans="1:3" ht="14.4" x14ac:dyDescent="0.3">
      <c r="A1420" s="90" t="s">
        <v>4362</v>
      </c>
      <c r="B1420" s="90" t="s">
        <v>2748</v>
      </c>
      <c r="C1420" s="90" t="s">
        <v>2740</v>
      </c>
    </row>
    <row r="1421" spans="1:3" ht="14.4" x14ac:dyDescent="0.3">
      <c r="A1421" s="90" t="s">
        <v>4363</v>
      </c>
      <c r="B1421" s="90" t="s">
        <v>1899</v>
      </c>
      <c r="C1421" s="90" t="s">
        <v>1863</v>
      </c>
    </row>
    <row r="1422" spans="1:3" ht="14.4" x14ac:dyDescent="0.3">
      <c r="A1422" s="90" t="s">
        <v>4364</v>
      </c>
      <c r="B1422" s="90" t="s">
        <v>2197</v>
      </c>
      <c r="C1422" s="90" t="s">
        <v>2182</v>
      </c>
    </row>
    <row r="1423" spans="1:3" ht="14.4" x14ac:dyDescent="0.3">
      <c r="A1423" s="90" t="s">
        <v>4365</v>
      </c>
      <c r="B1423" s="90" t="s">
        <v>2713</v>
      </c>
      <c r="C1423" s="90" t="s">
        <v>2683</v>
      </c>
    </row>
    <row r="1424" spans="1:3" ht="14.4" x14ac:dyDescent="0.3">
      <c r="A1424" s="90" t="s">
        <v>4366</v>
      </c>
      <c r="B1424" s="90" t="s">
        <v>553</v>
      </c>
      <c r="C1424" s="90" t="s">
        <v>449</v>
      </c>
    </row>
    <row r="1425" spans="1:3" ht="14.4" x14ac:dyDescent="0.3">
      <c r="A1425" s="90" t="s">
        <v>4367</v>
      </c>
      <c r="B1425" s="90" t="s">
        <v>2401</v>
      </c>
      <c r="C1425" s="90" t="s">
        <v>2397</v>
      </c>
    </row>
    <row r="1426" spans="1:3" ht="14.4" x14ac:dyDescent="0.3">
      <c r="A1426" s="90" t="s">
        <v>4368</v>
      </c>
      <c r="B1426" s="90" t="s">
        <v>29</v>
      </c>
      <c r="C1426" s="90" t="s">
        <v>7</v>
      </c>
    </row>
    <row r="1427" spans="1:3" ht="14.4" x14ac:dyDescent="0.3">
      <c r="A1427" s="90" t="s">
        <v>4369</v>
      </c>
      <c r="B1427" s="90" t="s">
        <v>1303</v>
      </c>
      <c r="C1427" s="90" t="s">
        <v>1292</v>
      </c>
    </row>
    <row r="1428" spans="1:3" ht="14.4" x14ac:dyDescent="0.3">
      <c r="A1428" s="90" t="s">
        <v>4370</v>
      </c>
      <c r="B1428" s="90" t="s">
        <v>2648</v>
      </c>
      <c r="C1428" s="90" t="s">
        <v>2633</v>
      </c>
    </row>
    <row r="1429" spans="1:3" ht="14.4" x14ac:dyDescent="0.3">
      <c r="A1429" s="90" t="s">
        <v>4371</v>
      </c>
      <c r="B1429" s="90" t="s">
        <v>1841</v>
      </c>
      <c r="C1429" s="90" t="s">
        <v>1840</v>
      </c>
    </row>
    <row r="1430" spans="1:3" ht="14.4" x14ac:dyDescent="0.3">
      <c r="A1430" s="90" t="s">
        <v>4372</v>
      </c>
      <c r="B1430" s="90" t="s">
        <v>1365</v>
      </c>
      <c r="C1430" s="90" t="s">
        <v>1363</v>
      </c>
    </row>
    <row r="1431" spans="1:3" ht="14.4" x14ac:dyDescent="0.3">
      <c r="A1431" s="90" t="s">
        <v>4373</v>
      </c>
      <c r="B1431" s="90" t="s">
        <v>2822</v>
      </c>
      <c r="C1431" s="90" t="s">
        <v>2819</v>
      </c>
    </row>
    <row r="1432" spans="1:3" ht="14.4" x14ac:dyDescent="0.3">
      <c r="A1432" s="90" t="s">
        <v>4374</v>
      </c>
      <c r="B1432" s="90" t="s">
        <v>155</v>
      </c>
      <c r="C1432" s="90" t="s">
        <v>151</v>
      </c>
    </row>
    <row r="1433" spans="1:3" ht="14.4" x14ac:dyDescent="0.3">
      <c r="A1433" s="90" t="s">
        <v>4375</v>
      </c>
      <c r="B1433" s="90" t="s">
        <v>823</v>
      </c>
      <c r="C1433" s="90" t="s">
        <v>800</v>
      </c>
    </row>
    <row r="1434" spans="1:3" ht="14.4" x14ac:dyDescent="0.3">
      <c r="A1434" s="90" t="s">
        <v>4376</v>
      </c>
      <c r="B1434" s="90" t="s">
        <v>1560</v>
      </c>
      <c r="C1434" s="90" t="s">
        <v>1554</v>
      </c>
    </row>
    <row r="1435" spans="1:3" ht="14.4" x14ac:dyDescent="0.3">
      <c r="A1435" s="90" t="s">
        <v>4377</v>
      </c>
      <c r="B1435" s="90" t="s">
        <v>663</v>
      </c>
      <c r="C1435" s="90" t="s">
        <v>661</v>
      </c>
    </row>
    <row r="1436" spans="1:3" ht="14.4" x14ac:dyDescent="0.3">
      <c r="A1436" s="90" t="s">
        <v>4378</v>
      </c>
      <c r="B1436" s="90" t="s">
        <v>1422</v>
      </c>
      <c r="C1436" s="90" t="s">
        <v>1392</v>
      </c>
    </row>
    <row r="1437" spans="1:3" ht="14.4" x14ac:dyDescent="0.3">
      <c r="A1437" s="90" t="s">
        <v>4379</v>
      </c>
      <c r="B1437" s="90" t="s">
        <v>2843</v>
      </c>
      <c r="C1437" s="90" t="s">
        <v>2839</v>
      </c>
    </row>
    <row r="1438" spans="1:3" ht="14.4" x14ac:dyDescent="0.3">
      <c r="A1438" s="90" t="s">
        <v>4380</v>
      </c>
      <c r="B1438" s="90" t="s">
        <v>440</v>
      </c>
      <c r="C1438" s="90" t="s">
        <v>437</v>
      </c>
    </row>
    <row r="1439" spans="1:3" ht="14.4" x14ac:dyDescent="0.3">
      <c r="A1439" s="90" t="s">
        <v>4381</v>
      </c>
      <c r="B1439" s="90" t="s">
        <v>861</v>
      </c>
      <c r="C1439" s="90" t="s">
        <v>859</v>
      </c>
    </row>
    <row r="1440" spans="1:3" ht="14.4" x14ac:dyDescent="0.3">
      <c r="A1440" s="90" t="s">
        <v>4382</v>
      </c>
      <c r="B1440" s="90" t="s">
        <v>2636</v>
      </c>
      <c r="C1440" s="90" t="s">
        <v>2633</v>
      </c>
    </row>
    <row r="1441" spans="1:3" ht="14.4" x14ac:dyDescent="0.3">
      <c r="A1441" s="90" t="s">
        <v>4383</v>
      </c>
      <c r="B1441" s="90" t="s">
        <v>2444</v>
      </c>
      <c r="C1441" s="90" t="s">
        <v>2421</v>
      </c>
    </row>
    <row r="1442" spans="1:3" ht="14.4" x14ac:dyDescent="0.3">
      <c r="A1442" s="90" t="s">
        <v>4384</v>
      </c>
      <c r="B1442" s="90" t="s">
        <v>81</v>
      </c>
      <c r="C1442" s="90" t="s">
        <v>72</v>
      </c>
    </row>
    <row r="1443" spans="1:3" ht="14.4" x14ac:dyDescent="0.3">
      <c r="A1443" s="90" t="s">
        <v>4385</v>
      </c>
      <c r="B1443" s="90" t="s">
        <v>1783</v>
      </c>
      <c r="C1443" s="90" t="s">
        <v>1741</v>
      </c>
    </row>
    <row r="1444" spans="1:3" ht="14.4" x14ac:dyDescent="0.3">
      <c r="A1444" s="90" t="s">
        <v>4386</v>
      </c>
      <c r="B1444" s="90" t="s">
        <v>1070</v>
      </c>
      <c r="C1444" s="90" t="s">
        <v>1050</v>
      </c>
    </row>
    <row r="1445" spans="1:3" ht="14.4" x14ac:dyDescent="0.3">
      <c r="A1445" s="90" t="s">
        <v>4387</v>
      </c>
      <c r="B1445" s="90" t="s">
        <v>1235</v>
      </c>
      <c r="C1445" s="90" t="s">
        <v>1229</v>
      </c>
    </row>
    <row r="1446" spans="1:3" ht="14.4" x14ac:dyDescent="0.3">
      <c r="A1446" s="90" t="s">
        <v>4388</v>
      </c>
      <c r="B1446" s="90" t="s">
        <v>2649</v>
      </c>
      <c r="C1446" s="90" t="s">
        <v>2633</v>
      </c>
    </row>
    <row r="1447" spans="1:3" ht="14.4" x14ac:dyDescent="0.3">
      <c r="A1447" s="90" t="s">
        <v>4389</v>
      </c>
      <c r="B1447" s="90" t="s">
        <v>2142</v>
      </c>
      <c r="C1447" s="90" t="s">
        <v>2124</v>
      </c>
    </row>
    <row r="1448" spans="1:3" ht="14.4" x14ac:dyDescent="0.3">
      <c r="A1448" s="90" t="s">
        <v>4390</v>
      </c>
      <c r="B1448" s="90" t="s">
        <v>2198</v>
      </c>
      <c r="C1448" s="90" t="s">
        <v>2182</v>
      </c>
    </row>
    <row r="1449" spans="1:3" ht="14.4" x14ac:dyDescent="0.3">
      <c r="A1449" s="90" t="s">
        <v>4391</v>
      </c>
      <c r="B1449" s="90" t="s">
        <v>2350</v>
      </c>
      <c r="C1449" s="90" t="s">
        <v>2328</v>
      </c>
    </row>
    <row r="1450" spans="1:3" ht="14.4" x14ac:dyDescent="0.3">
      <c r="A1450" s="90" t="s">
        <v>4392</v>
      </c>
      <c r="B1450" s="90" t="s">
        <v>2650</v>
      </c>
      <c r="C1450" s="90" t="s">
        <v>2633</v>
      </c>
    </row>
    <row r="1451" spans="1:3" ht="14.4" x14ac:dyDescent="0.3">
      <c r="A1451" s="90" t="s">
        <v>4393</v>
      </c>
      <c r="B1451" s="90" t="s">
        <v>1922</v>
      </c>
      <c r="C1451" s="90" t="s">
        <v>1919</v>
      </c>
    </row>
    <row r="1452" spans="1:3" ht="14.4" x14ac:dyDescent="0.3">
      <c r="A1452" s="90" t="s">
        <v>4394</v>
      </c>
      <c r="B1452" s="90" t="s">
        <v>913</v>
      </c>
      <c r="C1452" s="90" t="s">
        <v>909</v>
      </c>
    </row>
    <row r="1453" spans="1:3" ht="14.4" x14ac:dyDescent="0.3">
      <c r="A1453" s="90" t="s">
        <v>4395</v>
      </c>
      <c r="B1453" s="90" t="s">
        <v>1973</v>
      </c>
      <c r="C1453" s="90" t="s">
        <v>1966</v>
      </c>
    </row>
    <row r="1454" spans="1:3" ht="14.4" x14ac:dyDescent="0.3">
      <c r="A1454" s="90" t="s">
        <v>4396</v>
      </c>
      <c r="B1454" s="90" t="s">
        <v>2393</v>
      </c>
      <c r="C1454" s="90" t="s">
        <v>2388</v>
      </c>
    </row>
    <row r="1455" spans="1:3" ht="14.4" x14ac:dyDescent="0.3">
      <c r="A1455" s="90" t="s">
        <v>4397</v>
      </c>
      <c r="B1455" s="90" t="s">
        <v>1655</v>
      </c>
      <c r="C1455" s="90" t="s">
        <v>1631</v>
      </c>
    </row>
    <row r="1456" spans="1:3" ht="14.4" x14ac:dyDescent="0.3">
      <c r="A1456" s="90" t="s">
        <v>4398</v>
      </c>
      <c r="B1456" s="90" t="s">
        <v>824</v>
      </c>
      <c r="C1456" s="90" t="s">
        <v>800</v>
      </c>
    </row>
    <row r="1457" spans="1:3" ht="14.4" x14ac:dyDescent="0.3">
      <c r="A1457" s="90" t="s">
        <v>4399</v>
      </c>
      <c r="B1457" s="90" t="s">
        <v>1991</v>
      </c>
      <c r="C1457" s="90" t="s">
        <v>1988</v>
      </c>
    </row>
    <row r="1458" spans="1:3" ht="14.4" x14ac:dyDescent="0.3">
      <c r="A1458" s="90" t="s">
        <v>4400</v>
      </c>
      <c r="B1458" s="90" t="s">
        <v>2660</v>
      </c>
      <c r="C1458" s="90" t="s">
        <v>2633</v>
      </c>
    </row>
    <row r="1459" spans="1:3" ht="14.4" x14ac:dyDescent="0.3">
      <c r="A1459" s="90" t="s">
        <v>4401</v>
      </c>
      <c r="B1459" s="90" t="s">
        <v>1400</v>
      </c>
      <c r="C1459" s="90" t="s">
        <v>1392</v>
      </c>
    </row>
    <row r="1460" spans="1:3" ht="14.4" x14ac:dyDescent="0.3">
      <c r="A1460" s="90" t="s">
        <v>4402</v>
      </c>
      <c r="B1460" s="90" t="s">
        <v>721</v>
      </c>
      <c r="C1460" s="90" t="s">
        <v>675</v>
      </c>
    </row>
    <row r="1461" spans="1:3" ht="14.4" x14ac:dyDescent="0.3">
      <c r="A1461" s="90" t="s">
        <v>4403</v>
      </c>
      <c r="B1461" s="90" t="s">
        <v>158</v>
      </c>
      <c r="C1461" s="90" t="s">
        <v>151</v>
      </c>
    </row>
    <row r="1462" spans="1:3" ht="14.4" x14ac:dyDescent="0.3">
      <c r="A1462" s="90" t="s">
        <v>4404</v>
      </c>
      <c r="B1462" s="90" t="s">
        <v>2018</v>
      </c>
      <c r="C1462" s="90" t="s">
        <v>2015</v>
      </c>
    </row>
    <row r="1463" spans="1:3" ht="14.4" x14ac:dyDescent="0.3">
      <c r="A1463" s="90" t="s">
        <v>4405</v>
      </c>
      <c r="B1463" s="90" t="s">
        <v>2047</v>
      </c>
      <c r="C1463" s="90" t="s">
        <v>2015</v>
      </c>
    </row>
    <row r="1464" spans="1:3" ht="14.4" x14ac:dyDescent="0.3">
      <c r="A1464" s="90" t="s">
        <v>4406</v>
      </c>
      <c r="B1464" s="90" t="s">
        <v>1885</v>
      </c>
      <c r="C1464" s="90" t="s">
        <v>1863</v>
      </c>
    </row>
    <row r="1465" spans="1:3" ht="14.4" x14ac:dyDescent="0.3">
      <c r="A1465" s="90" t="s">
        <v>4407</v>
      </c>
      <c r="B1465" s="90" t="s">
        <v>1104</v>
      </c>
      <c r="C1465" s="90" t="s">
        <v>1090</v>
      </c>
    </row>
    <row r="1466" spans="1:3" ht="14.4" x14ac:dyDescent="0.3">
      <c r="A1466" s="90" t="s">
        <v>4408</v>
      </c>
      <c r="B1466" s="90" t="s">
        <v>1322</v>
      </c>
      <c r="C1466" s="90" t="s">
        <v>1313</v>
      </c>
    </row>
    <row r="1467" spans="1:3" ht="14.4" x14ac:dyDescent="0.3">
      <c r="A1467" s="90" t="s">
        <v>4409</v>
      </c>
      <c r="B1467" s="90" t="s">
        <v>1163</v>
      </c>
      <c r="C1467" s="90" t="s">
        <v>1147</v>
      </c>
    </row>
    <row r="1468" spans="1:3" ht="14.4" x14ac:dyDescent="0.3">
      <c r="A1468" s="90" t="s">
        <v>4410</v>
      </c>
      <c r="B1468" s="90" t="s">
        <v>763</v>
      </c>
      <c r="C1468" s="90" t="s">
        <v>744</v>
      </c>
    </row>
    <row r="1469" spans="1:3" ht="14.4" x14ac:dyDescent="0.3">
      <c r="A1469" s="90" t="s">
        <v>4411</v>
      </c>
      <c r="B1469" s="90" t="s">
        <v>108</v>
      </c>
      <c r="C1469" s="90" t="s">
        <v>91</v>
      </c>
    </row>
    <row r="1470" spans="1:3" ht="14.4" x14ac:dyDescent="0.3">
      <c r="A1470" s="90" t="s">
        <v>4412</v>
      </c>
      <c r="B1470" s="90" t="s">
        <v>342</v>
      </c>
      <c r="C1470" s="90" t="s">
        <v>203</v>
      </c>
    </row>
    <row r="1471" spans="1:3" ht="14.4" x14ac:dyDescent="0.3">
      <c r="A1471" s="90" t="s">
        <v>4413</v>
      </c>
      <c r="B1471" s="90" t="s">
        <v>1931</v>
      </c>
      <c r="C1471" s="90" t="s">
        <v>1926</v>
      </c>
    </row>
    <row r="1472" spans="1:3" ht="14.4" x14ac:dyDescent="0.3">
      <c r="A1472" s="90" t="s">
        <v>4414</v>
      </c>
      <c r="B1472" s="90" t="s">
        <v>1932</v>
      </c>
      <c r="C1472" s="90" t="s">
        <v>1926</v>
      </c>
    </row>
    <row r="1473" spans="1:3" ht="14.4" x14ac:dyDescent="0.3">
      <c r="A1473" s="90" t="s">
        <v>4415</v>
      </c>
      <c r="B1473" s="90" t="s">
        <v>1272</v>
      </c>
      <c r="C1473" s="90" t="s">
        <v>1268</v>
      </c>
    </row>
    <row r="1474" spans="1:3" ht="14.4" x14ac:dyDescent="0.3">
      <c r="A1474" s="90" t="s">
        <v>4416</v>
      </c>
      <c r="B1474" s="90" t="s">
        <v>887</v>
      </c>
      <c r="C1474" s="90" t="s">
        <v>874</v>
      </c>
    </row>
    <row r="1475" spans="1:3" ht="14.4" x14ac:dyDescent="0.3">
      <c r="A1475" s="90" t="s">
        <v>4417</v>
      </c>
      <c r="B1475" s="90" t="s">
        <v>1071</v>
      </c>
      <c r="C1475" s="90" t="s">
        <v>1050</v>
      </c>
    </row>
    <row r="1476" spans="1:3" ht="14.4" x14ac:dyDescent="0.3">
      <c r="A1476" s="90" t="s">
        <v>4418</v>
      </c>
      <c r="B1476" s="90" t="s">
        <v>2007</v>
      </c>
      <c r="C1476" s="90" t="s">
        <v>2003</v>
      </c>
    </row>
    <row r="1477" spans="1:3" ht="14.4" x14ac:dyDescent="0.3">
      <c r="A1477" s="90" t="s">
        <v>4419</v>
      </c>
      <c r="B1477" s="90" t="s">
        <v>216</v>
      </c>
      <c r="C1477" s="90" t="s">
        <v>203</v>
      </c>
    </row>
    <row r="1478" spans="1:3" ht="14.4" x14ac:dyDescent="0.3">
      <c r="A1478" s="90" t="s">
        <v>4420</v>
      </c>
      <c r="B1478" s="90" t="s">
        <v>1273</v>
      </c>
      <c r="C1478" s="90" t="s">
        <v>1268</v>
      </c>
    </row>
    <row r="1479" spans="1:3" ht="14.4" x14ac:dyDescent="0.3">
      <c r="A1479" s="90" t="s">
        <v>4421</v>
      </c>
      <c r="B1479" s="90" t="s">
        <v>186</v>
      </c>
      <c r="C1479" s="90" t="s">
        <v>168</v>
      </c>
    </row>
    <row r="1480" spans="1:3" ht="14.4" x14ac:dyDescent="0.3">
      <c r="A1480" s="90" t="s">
        <v>4422</v>
      </c>
      <c r="B1480" s="90" t="s">
        <v>1352</v>
      </c>
      <c r="C1480" s="90" t="s">
        <v>1338</v>
      </c>
    </row>
    <row r="1481" spans="1:3" ht="14.4" x14ac:dyDescent="0.3">
      <c r="A1481" s="90" t="s">
        <v>4423</v>
      </c>
      <c r="B1481" s="90" t="s">
        <v>2379</v>
      </c>
      <c r="C1481" s="90" t="s">
        <v>2365</v>
      </c>
    </row>
    <row r="1482" spans="1:3" ht="14.4" x14ac:dyDescent="0.3">
      <c r="A1482" s="90" t="s">
        <v>4424</v>
      </c>
      <c r="B1482" s="90" t="s">
        <v>2714</v>
      </c>
      <c r="C1482" s="90" t="s">
        <v>2683</v>
      </c>
    </row>
    <row r="1483" spans="1:3" ht="14.4" x14ac:dyDescent="0.3">
      <c r="A1483" s="90" t="s">
        <v>4425</v>
      </c>
      <c r="B1483" s="90" t="s">
        <v>184</v>
      </c>
      <c r="C1483" s="90" t="s">
        <v>168</v>
      </c>
    </row>
    <row r="1484" spans="1:3" ht="14.4" x14ac:dyDescent="0.3">
      <c r="A1484" s="90" t="s">
        <v>4426</v>
      </c>
      <c r="B1484" s="90" t="s">
        <v>2823</v>
      </c>
      <c r="C1484" s="90" t="s">
        <v>2819</v>
      </c>
    </row>
    <row r="1485" spans="1:3" ht="14.4" x14ac:dyDescent="0.3">
      <c r="A1485" s="90" t="s">
        <v>4427</v>
      </c>
      <c r="B1485" s="90" t="s">
        <v>1271</v>
      </c>
      <c r="C1485" s="90" t="s">
        <v>1268</v>
      </c>
    </row>
    <row r="1486" spans="1:3" ht="14.4" x14ac:dyDescent="0.3">
      <c r="A1486" s="90" t="s">
        <v>4428</v>
      </c>
      <c r="B1486" s="90" t="s">
        <v>2237</v>
      </c>
      <c r="C1486" s="90" t="s">
        <v>2234</v>
      </c>
    </row>
    <row r="1487" spans="1:3" ht="14.4" x14ac:dyDescent="0.3">
      <c r="A1487" s="90" t="s">
        <v>4429</v>
      </c>
      <c r="B1487" s="90" t="s">
        <v>2244</v>
      </c>
      <c r="C1487" s="90" t="s">
        <v>2234</v>
      </c>
    </row>
    <row r="1488" spans="1:3" ht="14.4" x14ac:dyDescent="0.3">
      <c r="A1488" s="90" t="s">
        <v>4430</v>
      </c>
      <c r="B1488" s="90" t="s">
        <v>1497</v>
      </c>
      <c r="C1488" s="90" t="s">
        <v>1485</v>
      </c>
    </row>
    <row r="1489" spans="1:3" ht="14.4" x14ac:dyDescent="0.3">
      <c r="A1489" s="90" t="s">
        <v>4431</v>
      </c>
      <c r="B1489" s="90" t="s">
        <v>1145</v>
      </c>
      <c r="C1489" s="90" t="s">
        <v>1142</v>
      </c>
    </row>
    <row r="1490" spans="1:3" ht="14.4" x14ac:dyDescent="0.3">
      <c r="A1490" s="90" t="s">
        <v>4432</v>
      </c>
      <c r="B1490" s="90" t="s">
        <v>1592</v>
      </c>
      <c r="C1490" s="90" t="s">
        <v>1580</v>
      </c>
    </row>
    <row r="1491" spans="1:3" ht="14.4" x14ac:dyDescent="0.3">
      <c r="A1491" s="90" t="s">
        <v>4433</v>
      </c>
      <c r="B1491" s="90" t="s">
        <v>1593</v>
      </c>
      <c r="C1491" s="90" t="s">
        <v>1580</v>
      </c>
    </row>
    <row r="1492" spans="1:3" ht="14.4" x14ac:dyDescent="0.3">
      <c r="A1492" s="90" t="s">
        <v>4434</v>
      </c>
      <c r="B1492" s="90" t="s">
        <v>2245</v>
      </c>
      <c r="C1492" s="90" t="s">
        <v>2234</v>
      </c>
    </row>
    <row r="1493" spans="1:3" ht="14.4" x14ac:dyDescent="0.3">
      <c r="A1493" s="90" t="s">
        <v>4435</v>
      </c>
      <c r="B1493" s="90" t="s">
        <v>556</v>
      </c>
      <c r="C1493" s="90" t="s">
        <v>449</v>
      </c>
    </row>
    <row r="1494" spans="1:3" ht="14.4" x14ac:dyDescent="0.3">
      <c r="A1494" s="90" t="s">
        <v>4436</v>
      </c>
      <c r="B1494" s="90" t="s">
        <v>940</v>
      </c>
      <c r="C1494" s="90" t="s">
        <v>916</v>
      </c>
    </row>
    <row r="1495" spans="1:3" ht="14.4" x14ac:dyDescent="0.3">
      <c r="A1495" s="90" t="s">
        <v>4437</v>
      </c>
      <c r="B1495" s="90" t="s">
        <v>1620</v>
      </c>
      <c r="C1495" s="90" t="s">
        <v>1606</v>
      </c>
    </row>
    <row r="1496" spans="1:3" ht="14.4" x14ac:dyDescent="0.3">
      <c r="A1496" s="90" t="s">
        <v>4438</v>
      </c>
      <c r="B1496" s="90" t="s">
        <v>2100</v>
      </c>
      <c r="C1496" s="90" t="s">
        <v>2087</v>
      </c>
    </row>
    <row r="1497" spans="1:3" ht="14.4" x14ac:dyDescent="0.3">
      <c r="A1497" s="90" t="s">
        <v>4439</v>
      </c>
      <c r="B1497" s="90" t="s">
        <v>1013</v>
      </c>
      <c r="C1497" s="90" t="s">
        <v>972</v>
      </c>
    </row>
    <row r="1498" spans="1:3" ht="14.4" x14ac:dyDescent="0.3">
      <c r="A1498" s="90" t="s">
        <v>4440</v>
      </c>
      <c r="B1498" s="90" t="s">
        <v>1531</v>
      </c>
      <c r="C1498" s="90" t="s">
        <v>1513</v>
      </c>
    </row>
    <row r="1499" spans="1:3" ht="14.4" x14ac:dyDescent="0.3">
      <c r="A1499" s="90" t="s">
        <v>4441</v>
      </c>
      <c r="B1499" s="90" t="s">
        <v>294</v>
      </c>
      <c r="C1499" s="90" t="s">
        <v>203</v>
      </c>
    </row>
    <row r="1500" spans="1:3" ht="14.4" x14ac:dyDescent="0.3">
      <c r="A1500" s="90" t="s">
        <v>4442</v>
      </c>
      <c r="B1500" s="90" t="s">
        <v>826</v>
      </c>
      <c r="C1500" s="90" t="s">
        <v>800</v>
      </c>
    </row>
    <row r="1501" spans="1:3" ht="14.4" x14ac:dyDescent="0.3">
      <c r="A1501" s="90" t="s">
        <v>4443</v>
      </c>
      <c r="B1501" s="90" t="s">
        <v>554</v>
      </c>
      <c r="C1501" s="90" t="s">
        <v>449</v>
      </c>
    </row>
    <row r="1502" spans="1:3" ht="14.4" x14ac:dyDescent="0.3">
      <c r="A1502" s="90" t="s">
        <v>4444</v>
      </c>
      <c r="B1502" s="90" t="s">
        <v>343</v>
      </c>
      <c r="C1502" s="90" t="s">
        <v>203</v>
      </c>
    </row>
    <row r="1503" spans="1:3" ht="14.4" x14ac:dyDescent="0.3">
      <c r="A1503" s="90" t="s">
        <v>4445</v>
      </c>
      <c r="B1503" s="90" t="s">
        <v>185</v>
      </c>
      <c r="C1503" s="90" t="s">
        <v>168</v>
      </c>
    </row>
    <row r="1504" spans="1:3" ht="14.4" x14ac:dyDescent="0.3">
      <c r="A1504" s="90" t="s">
        <v>4446</v>
      </c>
      <c r="B1504" s="90" t="s">
        <v>718</v>
      </c>
      <c r="C1504" s="90" t="s">
        <v>675</v>
      </c>
    </row>
    <row r="1505" spans="1:3" ht="14.4" x14ac:dyDescent="0.3">
      <c r="A1505" s="90" t="s">
        <v>4447</v>
      </c>
      <c r="B1505" s="90" t="s">
        <v>1289</v>
      </c>
      <c r="C1505" s="90" t="s">
        <v>1286</v>
      </c>
    </row>
    <row r="1506" spans="1:3" ht="14.4" x14ac:dyDescent="0.3">
      <c r="A1506" s="90" t="s">
        <v>4448</v>
      </c>
      <c r="B1506" s="90" t="s">
        <v>30</v>
      </c>
      <c r="C1506" s="90" t="s">
        <v>7</v>
      </c>
    </row>
    <row r="1507" spans="1:3" ht="14.4" x14ac:dyDescent="0.3">
      <c r="A1507" s="90" t="s">
        <v>4449</v>
      </c>
      <c r="B1507" s="90" t="s">
        <v>1500</v>
      </c>
      <c r="C1507" s="90" t="s">
        <v>1485</v>
      </c>
    </row>
    <row r="1508" spans="1:3" ht="14.4" x14ac:dyDescent="0.3">
      <c r="A1508" s="90" t="s">
        <v>4450</v>
      </c>
      <c r="B1508" s="90" t="s">
        <v>1043</v>
      </c>
      <c r="C1508" s="90" t="s">
        <v>1038</v>
      </c>
    </row>
    <row r="1509" spans="1:3" ht="14.4" x14ac:dyDescent="0.3">
      <c r="A1509" s="90" t="s">
        <v>4451</v>
      </c>
      <c r="B1509" s="90" t="s">
        <v>134</v>
      </c>
      <c r="C1509" s="90" t="s">
        <v>116</v>
      </c>
    </row>
    <row r="1510" spans="1:3" ht="14.4" x14ac:dyDescent="0.3">
      <c r="A1510" s="90" t="s">
        <v>4452</v>
      </c>
      <c r="B1510" s="90" t="s">
        <v>1702</v>
      </c>
      <c r="C1510" s="90" t="s">
        <v>1681</v>
      </c>
    </row>
    <row r="1511" spans="1:3" ht="14.4" x14ac:dyDescent="0.3">
      <c r="A1511" s="90" t="s">
        <v>4453</v>
      </c>
      <c r="B1511" s="90" t="s">
        <v>1192</v>
      </c>
      <c r="C1511" s="90" t="s">
        <v>1185</v>
      </c>
    </row>
    <row r="1512" spans="1:3" ht="14.4" x14ac:dyDescent="0.3">
      <c r="A1512" s="90" t="s">
        <v>4454</v>
      </c>
      <c r="B1512" s="90" t="s">
        <v>1703</v>
      </c>
      <c r="C1512" s="90" t="s">
        <v>1681</v>
      </c>
    </row>
    <row r="1513" spans="1:3" ht="14.4" x14ac:dyDescent="0.3">
      <c r="A1513" s="90" t="s">
        <v>4455</v>
      </c>
      <c r="B1513" s="90" t="s">
        <v>2792</v>
      </c>
      <c r="C1513" s="90" t="s">
        <v>2767</v>
      </c>
    </row>
    <row r="1514" spans="1:3" ht="14.4" x14ac:dyDescent="0.3">
      <c r="A1514" s="90" t="s">
        <v>4456</v>
      </c>
      <c r="B1514" s="90" t="s">
        <v>31</v>
      </c>
      <c r="C1514" s="90" t="s">
        <v>7</v>
      </c>
    </row>
    <row r="1515" spans="1:3" ht="14.4" x14ac:dyDescent="0.3">
      <c r="A1515" s="90" t="s">
        <v>4457</v>
      </c>
      <c r="B1515" s="90" t="s">
        <v>1385</v>
      </c>
      <c r="C1515" s="90" t="s">
        <v>1375</v>
      </c>
    </row>
    <row r="1516" spans="1:3" ht="14.4" x14ac:dyDescent="0.3">
      <c r="A1516" s="90" t="s">
        <v>4458</v>
      </c>
      <c r="B1516" s="90" t="s">
        <v>1897</v>
      </c>
      <c r="C1516" s="90" t="s">
        <v>1863</v>
      </c>
    </row>
    <row r="1517" spans="1:3" ht="14.4" x14ac:dyDescent="0.3">
      <c r="A1517" s="90" t="s">
        <v>4459</v>
      </c>
      <c r="B1517" s="90" t="s">
        <v>1191</v>
      </c>
      <c r="C1517" s="90" t="s">
        <v>1185</v>
      </c>
    </row>
    <row r="1518" spans="1:3" ht="14.4" x14ac:dyDescent="0.3">
      <c r="A1518" s="90" t="s">
        <v>4460</v>
      </c>
      <c r="B1518" s="90" t="s">
        <v>1843</v>
      </c>
      <c r="C1518" s="90" t="s">
        <v>1840</v>
      </c>
    </row>
    <row r="1519" spans="1:3" ht="14.4" x14ac:dyDescent="0.3">
      <c r="A1519" s="90" t="s">
        <v>4461</v>
      </c>
      <c r="B1519" s="90" t="s">
        <v>1181</v>
      </c>
      <c r="C1519" s="90" t="s">
        <v>1173</v>
      </c>
    </row>
    <row r="1520" spans="1:3" ht="14.4" x14ac:dyDescent="0.3">
      <c r="A1520" s="90" t="s">
        <v>4462</v>
      </c>
      <c r="B1520" s="90" t="s">
        <v>2879</v>
      </c>
      <c r="C1520" s="90" t="s">
        <v>2874</v>
      </c>
    </row>
    <row r="1521" spans="1:3" ht="14.4" x14ac:dyDescent="0.3">
      <c r="A1521" s="90" t="s">
        <v>4463</v>
      </c>
      <c r="B1521" s="90" t="s">
        <v>2351</v>
      </c>
      <c r="C1521" s="90" t="s">
        <v>2328</v>
      </c>
    </row>
    <row r="1522" spans="1:3" ht="14.4" x14ac:dyDescent="0.3">
      <c r="A1522" s="90" t="s">
        <v>4464</v>
      </c>
      <c r="B1522" s="90" t="s">
        <v>2302</v>
      </c>
      <c r="C1522" s="90" t="s">
        <v>2275</v>
      </c>
    </row>
    <row r="1523" spans="1:3" ht="14.4" x14ac:dyDescent="0.3">
      <c r="A1523" s="90" t="s">
        <v>4465</v>
      </c>
      <c r="B1523" s="90" t="s">
        <v>2544</v>
      </c>
      <c r="C1523" s="90" t="s">
        <v>2489</v>
      </c>
    </row>
    <row r="1524" spans="1:3" ht="14.4" x14ac:dyDescent="0.3">
      <c r="A1524" s="90" t="s">
        <v>4466</v>
      </c>
      <c r="B1524" s="90" t="s">
        <v>1102</v>
      </c>
      <c r="C1524" s="90" t="s">
        <v>1090</v>
      </c>
    </row>
    <row r="1525" spans="1:3" ht="14.4" x14ac:dyDescent="0.3">
      <c r="A1525" s="90" t="s">
        <v>4467</v>
      </c>
      <c r="B1525" s="90" t="s">
        <v>825</v>
      </c>
      <c r="C1525" s="90" t="s">
        <v>800</v>
      </c>
    </row>
    <row r="1526" spans="1:3" ht="14.4" x14ac:dyDescent="0.3">
      <c r="A1526" s="90" t="s">
        <v>4468</v>
      </c>
      <c r="B1526" s="90" t="s">
        <v>1287</v>
      </c>
      <c r="C1526" s="90" t="s">
        <v>1286</v>
      </c>
    </row>
    <row r="1527" spans="1:3" ht="14.4" x14ac:dyDescent="0.3">
      <c r="A1527" s="90" t="s">
        <v>4469</v>
      </c>
      <c r="B1527" s="90" t="s">
        <v>557</v>
      </c>
      <c r="C1527" s="90" t="s">
        <v>449</v>
      </c>
    </row>
    <row r="1528" spans="1:3" ht="14.4" x14ac:dyDescent="0.3">
      <c r="A1528" s="90" t="s">
        <v>4470</v>
      </c>
      <c r="B1528" s="90" t="s">
        <v>2472</v>
      </c>
      <c r="C1528" s="90" t="s">
        <v>2468</v>
      </c>
    </row>
    <row r="1529" spans="1:3" ht="14.4" x14ac:dyDescent="0.3">
      <c r="A1529" s="90" t="s">
        <v>4471</v>
      </c>
      <c r="B1529" s="90" t="s">
        <v>1748</v>
      </c>
      <c r="C1529" s="90" t="s">
        <v>1741</v>
      </c>
    </row>
    <row r="1530" spans="1:3" ht="14.4" x14ac:dyDescent="0.3">
      <c r="A1530" s="90" t="s">
        <v>4472</v>
      </c>
      <c r="B1530" s="90" t="s">
        <v>764</v>
      </c>
      <c r="C1530" s="90" t="s">
        <v>744</v>
      </c>
    </row>
    <row r="1531" spans="1:3" ht="14.4" x14ac:dyDescent="0.3">
      <c r="A1531" s="90" t="s">
        <v>4473</v>
      </c>
      <c r="B1531" s="90" t="s">
        <v>1621</v>
      </c>
      <c r="C1531" s="90" t="s">
        <v>1606</v>
      </c>
    </row>
    <row r="1532" spans="1:3" ht="14.4" x14ac:dyDescent="0.3">
      <c r="A1532" s="90" t="s">
        <v>4474</v>
      </c>
      <c r="B1532" s="90" t="s">
        <v>2612</v>
      </c>
      <c r="C1532" s="90" t="s">
        <v>2589</v>
      </c>
    </row>
    <row r="1533" spans="1:3" ht="14.4" x14ac:dyDescent="0.3">
      <c r="A1533" s="90" t="s">
        <v>4475</v>
      </c>
      <c r="B1533" s="90" t="s">
        <v>2143</v>
      </c>
      <c r="C1533" s="90" t="s">
        <v>2124</v>
      </c>
    </row>
    <row r="1534" spans="1:3" ht="14.4" x14ac:dyDescent="0.3">
      <c r="A1534" s="90" t="s">
        <v>4476</v>
      </c>
      <c r="B1534" s="90" t="s">
        <v>646</v>
      </c>
      <c r="C1534" s="90" t="s">
        <v>627</v>
      </c>
    </row>
    <row r="1535" spans="1:3" ht="14.4" x14ac:dyDescent="0.3">
      <c r="A1535" s="90" t="s">
        <v>4477</v>
      </c>
      <c r="B1535" s="90" t="s">
        <v>2268</v>
      </c>
      <c r="C1535" s="90" t="s">
        <v>2257</v>
      </c>
    </row>
    <row r="1536" spans="1:3" ht="14.4" x14ac:dyDescent="0.3">
      <c r="A1536" s="90" t="s">
        <v>4478</v>
      </c>
      <c r="B1536" s="90" t="s">
        <v>2715</v>
      </c>
      <c r="C1536" s="90" t="s">
        <v>2683</v>
      </c>
    </row>
    <row r="1537" spans="1:3" ht="14.4" x14ac:dyDescent="0.3">
      <c r="A1537" s="90" t="s">
        <v>4479</v>
      </c>
      <c r="B1537" s="90" t="s">
        <v>2407</v>
      </c>
      <c r="C1537" s="90" t="s">
        <v>2397</v>
      </c>
    </row>
    <row r="1538" spans="1:3" ht="14.4" x14ac:dyDescent="0.3">
      <c r="A1538" s="90" t="s">
        <v>4480</v>
      </c>
      <c r="B1538" s="90" t="s">
        <v>1093</v>
      </c>
      <c r="C1538" s="90" t="s">
        <v>1090</v>
      </c>
    </row>
    <row r="1539" spans="1:3" ht="14.4" x14ac:dyDescent="0.3">
      <c r="A1539" s="90" t="s">
        <v>4481</v>
      </c>
      <c r="B1539" s="90" t="s">
        <v>2445</v>
      </c>
      <c r="C1539" s="90" t="s">
        <v>2421</v>
      </c>
    </row>
    <row r="1540" spans="1:3" ht="14.4" x14ac:dyDescent="0.3">
      <c r="A1540" s="90" t="s">
        <v>4482</v>
      </c>
      <c r="B1540" s="90" t="s">
        <v>2108</v>
      </c>
      <c r="C1540" s="90" t="s">
        <v>2106</v>
      </c>
    </row>
    <row r="1541" spans="1:3" ht="14.4" x14ac:dyDescent="0.3">
      <c r="A1541" s="90" t="s">
        <v>4483</v>
      </c>
      <c r="B1541" s="90" t="s">
        <v>1481</v>
      </c>
      <c r="C1541" s="90" t="s">
        <v>1472</v>
      </c>
    </row>
    <row r="1542" spans="1:3" ht="14.4" x14ac:dyDescent="0.3">
      <c r="A1542" s="90" t="s">
        <v>4484</v>
      </c>
      <c r="B1542" s="90" t="s">
        <v>607</v>
      </c>
      <c r="C1542" s="90" t="s">
        <v>604</v>
      </c>
    </row>
    <row r="1543" spans="1:3" ht="14.4" x14ac:dyDescent="0.3">
      <c r="A1543" s="90" t="s">
        <v>4485</v>
      </c>
      <c r="B1543" s="90" t="s">
        <v>608</v>
      </c>
      <c r="C1543" s="90" t="s">
        <v>604</v>
      </c>
    </row>
    <row r="1544" spans="1:3" ht="14.4" x14ac:dyDescent="0.3">
      <c r="A1544" s="90" t="s">
        <v>4486</v>
      </c>
      <c r="B1544" s="90" t="s">
        <v>2075</v>
      </c>
      <c r="C1544" s="90" t="s">
        <v>2066</v>
      </c>
    </row>
    <row r="1545" spans="1:3" ht="14.4" x14ac:dyDescent="0.3">
      <c r="A1545" s="90" t="s">
        <v>4487</v>
      </c>
      <c r="B1545" s="90" t="s">
        <v>1498</v>
      </c>
      <c r="C1545" s="90" t="s">
        <v>1485</v>
      </c>
    </row>
    <row r="1546" spans="1:3" ht="14.4" x14ac:dyDescent="0.3">
      <c r="A1546" s="90" t="s">
        <v>4488</v>
      </c>
      <c r="B1546" s="90" t="s">
        <v>762</v>
      </c>
      <c r="C1546" s="90" t="s">
        <v>744</v>
      </c>
    </row>
    <row r="1547" spans="1:3" ht="14.4" x14ac:dyDescent="0.3">
      <c r="A1547" s="90" t="s">
        <v>4489</v>
      </c>
      <c r="B1547" s="90" t="s">
        <v>344</v>
      </c>
      <c r="C1547" s="90" t="s">
        <v>203</v>
      </c>
    </row>
    <row r="1548" spans="1:3" ht="14.4" x14ac:dyDescent="0.3">
      <c r="A1548" s="90" t="s">
        <v>4490</v>
      </c>
      <c r="B1548" s="90" t="s">
        <v>1886</v>
      </c>
      <c r="C1548" s="90" t="s">
        <v>1863</v>
      </c>
    </row>
    <row r="1549" spans="1:3" ht="14.4" x14ac:dyDescent="0.3">
      <c r="A1549" s="90" t="s">
        <v>4491</v>
      </c>
      <c r="B1549" s="90" t="s">
        <v>109</v>
      </c>
      <c r="C1549" s="90" t="s">
        <v>91</v>
      </c>
    </row>
    <row r="1550" spans="1:3" ht="14.4" x14ac:dyDescent="0.3">
      <c r="A1550" s="90" t="s">
        <v>4492</v>
      </c>
      <c r="B1550" s="90" t="s">
        <v>59</v>
      </c>
      <c r="C1550" s="90" t="s">
        <v>50</v>
      </c>
    </row>
    <row r="1551" spans="1:3" ht="14.4" x14ac:dyDescent="0.3">
      <c r="A1551" s="90" t="s">
        <v>4493</v>
      </c>
      <c r="B1551" s="90" t="s">
        <v>2791</v>
      </c>
      <c r="C1551" s="90" t="s">
        <v>2767</v>
      </c>
    </row>
    <row r="1552" spans="1:3" ht="14.4" x14ac:dyDescent="0.3">
      <c r="A1552" s="90" t="s">
        <v>4494</v>
      </c>
      <c r="B1552" s="90" t="s">
        <v>1499</v>
      </c>
      <c r="C1552" s="90" t="s">
        <v>1485</v>
      </c>
    </row>
    <row r="1553" spans="1:3" ht="14.4" x14ac:dyDescent="0.3">
      <c r="A1553" s="90" t="s">
        <v>4495</v>
      </c>
      <c r="B1553" s="90" t="s">
        <v>2269</v>
      </c>
      <c r="C1553" s="90" t="s">
        <v>2257</v>
      </c>
    </row>
    <row r="1554" spans="1:3" ht="14.4" x14ac:dyDescent="0.3">
      <c r="A1554" s="90" t="s">
        <v>4496</v>
      </c>
      <c r="B1554" s="90" t="s">
        <v>1884</v>
      </c>
      <c r="C1554" s="90" t="s">
        <v>1863</v>
      </c>
    </row>
    <row r="1555" spans="1:3" ht="14.4" x14ac:dyDescent="0.3">
      <c r="A1555" s="90" t="s">
        <v>4497</v>
      </c>
      <c r="B1555" s="90" t="s">
        <v>1887</v>
      </c>
      <c r="C1555" s="90" t="s">
        <v>1863</v>
      </c>
    </row>
    <row r="1556" spans="1:3" ht="14.4" x14ac:dyDescent="0.3">
      <c r="A1556" s="90" t="s">
        <v>4498</v>
      </c>
      <c r="B1556" s="90" t="s">
        <v>2048</v>
      </c>
      <c r="C1556" s="90" t="s">
        <v>2015</v>
      </c>
    </row>
    <row r="1557" spans="1:3" ht="14.4" x14ac:dyDescent="0.3">
      <c r="A1557" s="90" t="s">
        <v>4499</v>
      </c>
      <c r="B1557" s="90" t="s">
        <v>555</v>
      </c>
      <c r="C1557" s="90" t="s">
        <v>449</v>
      </c>
    </row>
    <row r="1558" spans="1:3" ht="14.4" x14ac:dyDescent="0.3">
      <c r="A1558" s="90" t="s">
        <v>4500</v>
      </c>
      <c r="B1558" s="90" t="s">
        <v>789</v>
      </c>
      <c r="C1558" s="90" t="s">
        <v>776</v>
      </c>
    </row>
    <row r="1559" spans="1:3" ht="14.4" x14ac:dyDescent="0.3">
      <c r="A1559" s="90" t="s">
        <v>4501</v>
      </c>
      <c r="B1559" s="90" t="s">
        <v>2651</v>
      </c>
      <c r="C1559" s="90" t="s">
        <v>2633</v>
      </c>
    </row>
    <row r="1560" spans="1:3" ht="14.4" x14ac:dyDescent="0.3">
      <c r="A1560" s="90" t="s">
        <v>4502</v>
      </c>
      <c r="B1560" s="90" t="s">
        <v>1107</v>
      </c>
      <c r="C1560" s="90" t="s">
        <v>1106</v>
      </c>
    </row>
    <row r="1561" spans="1:3" ht="14.4" x14ac:dyDescent="0.3">
      <c r="A1561" s="90" t="s">
        <v>4503</v>
      </c>
      <c r="B1561" s="90" t="s">
        <v>1594</v>
      </c>
      <c r="C1561" s="90" t="s">
        <v>1580</v>
      </c>
    </row>
    <row r="1562" spans="1:3" ht="14.4" x14ac:dyDescent="0.3">
      <c r="A1562" s="90" t="s">
        <v>4504</v>
      </c>
      <c r="B1562" s="90" t="s">
        <v>1279</v>
      </c>
      <c r="C1562" s="90" t="s">
        <v>1268</v>
      </c>
    </row>
    <row r="1563" spans="1:3" ht="14.4" x14ac:dyDescent="0.3">
      <c r="A1563" s="90" t="s">
        <v>4505</v>
      </c>
      <c r="B1563" s="90" t="s">
        <v>911</v>
      </c>
      <c r="C1563" s="90" t="s">
        <v>909</v>
      </c>
    </row>
    <row r="1564" spans="1:3" ht="14.4" x14ac:dyDescent="0.3">
      <c r="A1564" s="90" t="s">
        <v>4506</v>
      </c>
      <c r="B1564" s="90" t="s">
        <v>888</v>
      </c>
      <c r="C1564" s="90" t="s">
        <v>874</v>
      </c>
    </row>
    <row r="1565" spans="1:3" ht="14.4" x14ac:dyDescent="0.3">
      <c r="A1565" s="90" t="s">
        <v>4507</v>
      </c>
      <c r="B1565" s="90" t="s">
        <v>2173</v>
      </c>
      <c r="C1565" s="90" t="s">
        <v>2153</v>
      </c>
    </row>
    <row r="1566" spans="1:3" ht="14.4" x14ac:dyDescent="0.3">
      <c r="A1566" s="90" t="s">
        <v>4508</v>
      </c>
      <c r="B1566" s="90" t="s">
        <v>2199</v>
      </c>
      <c r="C1566" s="90" t="s">
        <v>2182</v>
      </c>
    </row>
    <row r="1567" spans="1:3" ht="14.4" x14ac:dyDescent="0.3">
      <c r="A1567" s="90" t="s">
        <v>4509</v>
      </c>
      <c r="B1567" s="90" t="s">
        <v>560</v>
      </c>
      <c r="C1567" s="90" t="s">
        <v>449</v>
      </c>
    </row>
    <row r="1568" spans="1:3" ht="14.4" x14ac:dyDescent="0.3">
      <c r="A1568" s="90" t="s">
        <v>4510</v>
      </c>
      <c r="B1568" s="90" t="s">
        <v>2749</v>
      </c>
      <c r="C1568" s="90" t="s">
        <v>2740</v>
      </c>
    </row>
    <row r="1569" spans="1:3" ht="14.4" x14ac:dyDescent="0.3">
      <c r="A1569" s="90" t="s">
        <v>4511</v>
      </c>
      <c r="B1569" s="90" t="s">
        <v>2546</v>
      </c>
      <c r="C1569" s="90" t="s">
        <v>2489</v>
      </c>
    </row>
    <row r="1570" spans="1:3" ht="14.4" x14ac:dyDescent="0.3">
      <c r="A1570" s="90" t="s">
        <v>4512</v>
      </c>
      <c r="B1570" s="90" t="s">
        <v>2547</v>
      </c>
      <c r="C1570" s="90" t="s">
        <v>2489</v>
      </c>
    </row>
    <row r="1571" spans="1:3" ht="14.4" x14ac:dyDescent="0.3">
      <c r="A1571" s="90" t="s">
        <v>4513</v>
      </c>
      <c r="B1571" s="90" t="s">
        <v>1550</v>
      </c>
      <c r="C1571" s="90" t="s">
        <v>1544</v>
      </c>
    </row>
    <row r="1572" spans="1:3" ht="14.4" x14ac:dyDescent="0.3">
      <c r="A1572" s="90" t="s">
        <v>4514</v>
      </c>
      <c r="B1572" s="90" t="s">
        <v>648</v>
      </c>
      <c r="C1572" s="90" t="s">
        <v>627</v>
      </c>
    </row>
    <row r="1573" spans="1:3" ht="14.4" x14ac:dyDescent="0.3">
      <c r="A1573" s="90" t="s">
        <v>4515</v>
      </c>
      <c r="B1573" s="90" t="s">
        <v>1656</v>
      </c>
      <c r="C1573" s="90" t="s">
        <v>1631</v>
      </c>
    </row>
    <row r="1574" spans="1:3" ht="14.4" x14ac:dyDescent="0.3">
      <c r="A1574" s="90" t="s">
        <v>4516</v>
      </c>
      <c r="B1574" s="90" t="s">
        <v>1532</v>
      </c>
      <c r="C1574" s="90" t="s">
        <v>1513</v>
      </c>
    </row>
    <row r="1575" spans="1:3" ht="14.4" x14ac:dyDescent="0.3">
      <c r="A1575" s="90" t="s">
        <v>4517</v>
      </c>
      <c r="B1575" s="90" t="s">
        <v>1936</v>
      </c>
      <c r="C1575" s="90" t="s">
        <v>1933</v>
      </c>
    </row>
    <row r="1576" spans="1:3" ht="14.4" x14ac:dyDescent="0.3">
      <c r="A1576" s="90" t="s">
        <v>4518</v>
      </c>
      <c r="B1576" s="90" t="s">
        <v>2479</v>
      </c>
      <c r="C1576" s="90" t="s">
        <v>2468</v>
      </c>
    </row>
    <row r="1577" spans="1:3" ht="14.4" x14ac:dyDescent="0.3">
      <c r="A1577" s="90" t="s">
        <v>4519</v>
      </c>
      <c r="B1577" s="90" t="s">
        <v>2493</v>
      </c>
      <c r="C1577" s="90" t="s">
        <v>2489</v>
      </c>
    </row>
    <row r="1578" spans="1:3" ht="14.4" x14ac:dyDescent="0.3">
      <c r="A1578" s="90" t="s">
        <v>4520</v>
      </c>
      <c r="B1578" s="90" t="s">
        <v>348</v>
      </c>
      <c r="C1578" s="90" t="s">
        <v>203</v>
      </c>
    </row>
    <row r="1579" spans="1:3" ht="14.4" x14ac:dyDescent="0.3">
      <c r="A1579" s="90" t="s">
        <v>4521</v>
      </c>
      <c r="B1579" s="90" t="s">
        <v>1423</v>
      </c>
      <c r="C1579" s="90" t="s">
        <v>1392</v>
      </c>
    </row>
    <row r="1580" spans="1:3" ht="14.4" x14ac:dyDescent="0.3">
      <c r="A1580" s="90" t="s">
        <v>4522</v>
      </c>
      <c r="B1580" s="90" t="s">
        <v>217</v>
      </c>
      <c r="C1580" s="90" t="s">
        <v>203</v>
      </c>
    </row>
    <row r="1581" spans="1:3" ht="14.4" x14ac:dyDescent="0.3">
      <c r="A1581" s="90" t="s">
        <v>4523</v>
      </c>
      <c r="B1581" s="90" t="s">
        <v>2008</v>
      </c>
      <c r="C1581" s="90" t="s">
        <v>2003</v>
      </c>
    </row>
    <row r="1582" spans="1:3" ht="14.4" x14ac:dyDescent="0.3">
      <c r="A1582" s="90" t="s">
        <v>4524</v>
      </c>
      <c r="B1582" s="90" t="s">
        <v>218</v>
      </c>
      <c r="C1582" s="90" t="s">
        <v>203</v>
      </c>
    </row>
    <row r="1583" spans="1:3" ht="14.4" x14ac:dyDescent="0.3">
      <c r="A1583" s="90" t="s">
        <v>4525</v>
      </c>
      <c r="B1583" s="90" t="s">
        <v>136</v>
      </c>
      <c r="C1583" s="90" t="s">
        <v>116</v>
      </c>
    </row>
    <row r="1584" spans="1:3" ht="14.4" x14ac:dyDescent="0.3">
      <c r="A1584" s="90" t="s">
        <v>4526</v>
      </c>
      <c r="B1584" s="90" t="s">
        <v>346</v>
      </c>
      <c r="C1584" s="90" t="s">
        <v>203</v>
      </c>
    </row>
    <row r="1585" spans="1:3" ht="14.4" x14ac:dyDescent="0.3">
      <c r="A1585" s="90" t="s">
        <v>4527</v>
      </c>
      <c r="B1585" s="90" t="s">
        <v>2305</v>
      </c>
      <c r="C1585" s="90" t="s">
        <v>2275</v>
      </c>
    </row>
    <row r="1586" spans="1:3" ht="14.4" x14ac:dyDescent="0.3">
      <c r="A1586" s="90" t="s">
        <v>4528</v>
      </c>
      <c r="B1586" s="90" t="s">
        <v>1766</v>
      </c>
      <c r="C1586" s="90" t="s">
        <v>1741</v>
      </c>
    </row>
    <row r="1587" spans="1:3" ht="14.4" x14ac:dyDescent="0.3">
      <c r="A1587" s="90" t="s">
        <v>4529</v>
      </c>
      <c r="B1587" s="90" t="s">
        <v>2010</v>
      </c>
      <c r="C1587" s="90" t="s">
        <v>2003</v>
      </c>
    </row>
    <row r="1588" spans="1:3" ht="14.4" x14ac:dyDescent="0.3">
      <c r="A1588" s="90" t="s">
        <v>4530</v>
      </c>
      <c r="B1588" s="90" t="s">
        <v>2450</v>
      </c>
      <c r="C1588" s="90" t="s">
        <v>2421</v>
      </c>
    </row>
    <row r="1589" spans="1:3" ht="14.4" x14ac:dyDescent="0.3">
      <c r="A1589" s="90" t="s">
        <v>4531</v>
      </c>
      <c r="B1589" s="90" t="s">
        <v>1676</v>
      </c>
      <c r="C1589" s="90" t="s">
        <v>1672</v>
      </c>
    </row>
    <row r="1590" spans="1:3" ht="14.4" x14ac:dyDescent="0.3">
      <c r="A1590" s="90" t="s">
        <v>4532</v>
      </c>
      <c r="B1590" s="90" t="s">
        <v>766</v>
      </c>
      <c r="C1590" s="90" t="s">
        <v>744</v>
      </c>
    </row>
    <row r="1591" spans="1:3" ht="14.4" x14ac:dyDescent="0.3">
      <c r="A1591" s="90" t="s">
        <v>4533</v>
      </c>
      <c r="B1591" s="90" t="s">
        <v>588</v>
      </c>
      <c r="C1591" s="90" t="s">
        <v>449</v>
      </c>
    </row>
    <row r="1592" spans="1:3" ht="14.4" x14ac:dyDescent="0.3">
      <c r="A1592" s="90" t="s">
        <v>4534</v>
      </c>
      <c r="B1592" s="90" t="s">
        <v>2259</v>
      </c>
      <c r="C1592" s="90" t="s">
        <v>2257</v>
      </c>
    </row>
    <row r="1593" spans="1:3" ht="14.4" x14ac:dyDescent="0.3">
      <c r="A1593" s="90" t="s">
        <v>4535</v>
      </c>
      <c r="B1593" s="90" t="s">
        <v>1014</v>
      </c>
      <c r="C1593" s="90" t="s">
        <v>972</v>
      </c>
    </row>
    <row r="1594" spans="1:3" ht="14.4" x14ac:dyDescent="0.3">
      <c r="A1594" s="90" t="s">
        <v>4536</v>
      </c>
      <c r="B1594" s="90" t="s">
        <v>1595</v>
      </c>
      <c r="C1594" s="90" t="s">
        <v>1580</v>
      </c>
    </row>
    <row r="1595" spans="1:3" ht="14.4" x14ac:dyDescent="0.3">
      <c r="A1595" s="90" t="s">
        <v>4537</v>
      </c>
      <c r="B1595" s="90" t="s">
        <v>1424</v>
      </c>
      <c r="C1595" s="90" t="s">
        <v>1392</v>
      </c>
    </row>
    <row r="1596" spans="1:3" ht="14.4" x14ac:dyDescent="0.3">
      <c r="A1596" s="90" t="s">
        <v>4538</v>
      </c>
      <c r="B1596" s="90" t="s">
        <v>1622</v>
      </c>
      <c r="C1596" s="90" t="s">
        <v>1606</v>
      </c>
    </row>
    <row r="1597" spans="1:3" ht="14.4" x14ac:dyDescent="0.3">
      <c r="A1597" s="90" t="s">
        <v>4539</v>
      </c>
      <c r="B1597" s="90" t="s">
        <v>2246</v>
      </c>
      <c r="C1597" s="90" t="s">
        <v>2234</v>
      </c>
    </row>
    <row r="1598" spans="1:3" ht="14.4" x14ac:dyDescent="0.3">
      <c r="A1598" s="90" t="s">
        <v>4540</v>
      </c>
      <c r="B1598" s="90" t="s">
        <v>1578</v>
      </c>
      <c r="C1598" s="90" t="s">
        <v>1573</v>
      </c>
    </row>
    <row r="1599" spans="1:3" ht="14.4" x14ac:dyDescent="0.3">
      <c r="A1599" s="90" t="s">
        <v>4541</v>
      </c>
      <c r="B1599" s="90" t="s">
        <v>1054</v>
      </c>
      <c r="C1599" s="90" t="s">
        <v>1050</v>
      </c>
    </row>
    <row r="1600" spans="1:3" ht="14.4" x14ac:dyDescent="0.3">
      <c r="A1600" s="90" t="s">
        <v>4542</v>
      </c>
      <c r="B1600" s="90" t="s">
        <v>135</v>
      </c>
      <c r="C1600" s="90" t="s">
        <v>116</v>
      </c>
    </row>
    <row r="1601" spans="1:3" ht="14.4" x14ac:dyDescent="0.3">
      <c r="A1601" s="90" t="s">
        <v>4543</v>
      </c>
      <c r="B1601" s="90" t="s">
        <v>853</v>
      </c>
      <c r="C1601" s="90" t="s">
        <v>852</v>
      </c>
    </row>
    <row r="1602" spans="1:3" ht="14.4" x14ac:dyDescent="0.3">
      <c r="A1602" s="90" t="s">
        <v>4544</v>
      </c>
      <c r="B1602" s="90" t="s">
        <v>1959</v>
      </c>
      <c r="C1602" s="90" t="s">
        <v>1955</v>
      </c>
    </row>
    <row r="1603" spans="1:3" ht="14.4" x14ac:dyDescent="0.3">
      <c r="A1603" s="90" t="s">
        <v>4545</v>
      </c>
      <c r="B1603" s="90" t="s">
        <v>1818</v>
      </c>
      <c r="C1603" s="90" t="s">
        <v>1800</v>
      </c>
    </row>
    <row r="1604" spans="1:3" ht="14.4" x14ac:dyDescent="0.3">
      <c r="A1604" s="90" t="s">
        <v>4546</v>
      </c>
      <c r="B1604" s="90" t="s">
        <v>2506</v>
      </c>
      <c r="C1604" s="90" t="s">
        <v>2489</v>
      </c>
    </row>
    <row r="1605" spans="1:3" ht="14.4" x14ac:dyDescent="0.3">
      <c r="A1605" s="90" t="s">
        <v>4547</v>
      </c>
      <c r="B1605" s="90" t="s">
        <v>1259</v>
      </c>
      <c r="C1605" s="90" t="s">
        <v>1251</v>
      </c>
    </row>
    <row r="1606" spans="1:3" ht="14.4" x14ac:dyDescent="0.3">
      <c r="A1606" s="90" t="s">
        <v>4548</v>
      </c>
      <c r="B1606" s="90" t="s">
        <v>1657</v>
      </c>
      <c r="C1606" s="90" t="s">
        <v>1631</v>
      </c>
    </row>
    <row r="1607" spans="1:3" ht="14.4" x14ac:dyDescent="0.3">
      <c r="A1607" s="90" t="s">
        <v>4549</v>
      </c>
      <c r="B1607" s="90" t="s">
        <v>650</v>
      </c>
      <c r="C1607" s="90" t="s">
        <v>627</v>
      </c>
    </row>
    <row r="1608" spans="1:3" ht="14.4" x14ac:dyDescent="0.3">
      <c r="A1608" s="90" t="s">
        <v>4550</v>
      </c>
      <c r="B1608" s="90" t="s">
        <v>1658</v>
      </c>
      <c r="C1608" s="90" t="s">
        <v>1631</v>
      </c>
    </row>
    <row r="1609" spans="1:3" ht="14.4" x14ac:dyDescent="0.3">
      <c r="A1609" s="90" t="s">
        <v>4551</v>
      </c>
      <c r="B1609" s="90" t="s">
        <v>2717</v>
      </c>
      <c r="C1609" s="90" t="s">
        <v>2683</v>
      </c>
    </row>
    <row r="1610" spans="1:3" ht="14.4" x14ac:dyDescent="0.3">
      <c r="A1610" s="90" t="s">
        <v>4552</v>
      </c>
      <c r="B1610" s="90" t="s">
        <v>941</v>
      </c>
      <c r="C1610" s="90" t="s">
        <v>916</v>
      </c>
    </row>
    <row r="1611" spans="1:3" ht="14.4" x14ac:dyDescent="0.3">
      <c r="A1611" s="90" t="s">
        <v>4553</v>
      </c>
      <c r="B1611" s="90" t="s">
        <v>1507</v>
      </c>
      <c r="C1611" s="90" t="s">
        <v>1485</v>
      </c>
    </row>
    <row r="1612" spans="1:3" ht="14.4" x14ac:dyDescent="0.3">
      <c r="A1612" s="90" t="s">
        <v>4554</v>
      </c>
      <c r="B1612" s="90" t="s">
        <v>1108</v>
      </c>
      <c r="C1612" s="90" t="s">
        <v>1106</v>
      </c>
    </row>
    <row r="1613" spans="1:3" ht="14.4" x14ac:dyDescent="0.3">
      <c r="A1613" s="90" t="s">
        <v>4555</v>
      </c>
      <c r="B1613" s="90" t="s">
        <v>1386</v>
      </c>
      <c r="C1613" s="90" t="s">
        <v>1375</v>
      </c>
    </row>
    <row r="1614" spans="1:3" ht="14.4" x14ac:dyDescent="0.3">
      <c r="A1614" s="90" t="s">
        <v>4556</v>
      </c>
      <c r="B1614" s="90" t="s">
        <v>797</v>
      </c>
      <c r="C1614" s="90" t="s">
        <v>796</v>
      </c>
    </row>
    <row r="1615" spans="1:3" ht="14.4" x14ac:dyDescent="0.3">
      <c r="A1615" s="90" t="s">
        <v>4557</v>
      </c>
      <c r="B1615" s="90" t="s">
        <v>2049</v>
      </c>
      <c r="C1615" s="90" t="s">
        <v>2015</v>
      </c>
    </row>
    <row r="1616" spans="1:3" ht="14.4" x14ac:dyDescent="0.3">
      <c r="A1616" s="90" t="s">
        <v>4558</v>
      </c>
      <c r="B1616" s="90" t="s">
        <v>351</v>
      </c>
      <c r="C1616" s="90" t="s">
        <v>203</v>
      </c>
    </row>
    <row r="1617" spans="1:3" ht="14.4" x14ac:dyDescent="0.3">
      <c r="A1617" s="90" t="s">
        <v>4559</v>
      </c>
      <c r="B1617" s="90" t="s">
        <v>2394</v>
      </c>
      <c r="C1617" s="90" t="s">
        <v>2388</v>
      </c>
    </row>
    <row r="1618" spans="1:3" ht="14.4" x14ac:dyDescent="0.3">
      <c r="A1618" s="90" t="s">
        <v>4560</v>
      </c>
      <c r="B1618" s="90" t="s">
        <v>2860</v>
      </c>
      <c r="C1618" s="90" t="s">
        <v>2852</v>
      </c>
    </row>
    <row r="1619" spans="1:3" ht="14.4" x14ac:dyDescent="0.3">
      <c r="A1619" s="90" t="s">
        <v>4561</v>
      </c>
      <c r="B1619" s="90" t="s">
        <v>889</v>
      </c>
      <c r="C1619" s="90" t="s">
        <v>874</v>
      </c>
    </row>
    <row r="1620" spans="1:3" ht="14.4" x14ac:dyDescent="0.3">
      <c r="A1620" s="90" t="s">
        <v>4562</v>
      </c>
      <c r="B1620" s="90" t="s">
        <v>1247</v>
      </c>
      <c r="C1620" s="90" t="s">
        <v>1239</v>
      </c>
    </row>
    <row r="1621" spans="1:3" ht="14.4" x14ac:dyDescent="0.3">
      <c r="A1621" s="90" t="s">
        <v>4563</v>
      </c>
      <c r="B1621" s="90" t="s">
        <v>2271</v>
      </c>
      <c r="C1621" s="90" t="s">
        <v>2257</v>
      </c>
    </row>
    <row r="1622" spans="1:3" ht="14.4" x14ac:dyDescent="0.3">
      <c r="A1622" s="90" t="s">
        <v>4564</v>
      </c>
      <c r="B1622" s="90" t="s">
        <v>558</v>
      </c>
      <c r="C1622" s="90" t="s">
        <v>449</v>
      </c>
    </row>
    <row r="1623" spans="1:3" ht="14.4" x14ac:dyDescent="0.3">
      <c r="A1623" s="90" t="s">
        <v>4565</v>
      </c>
      <c r="B1623" s="90" t="s">
        <v>1889</v>
      </c>
      <c r="C1623" s="90" t="s">
        <v>1863</v>
      </c>
    </row>
    <row r="1624" spans="1:3" ht="14.4" x14ac:dyDescent="0.3">
      <c r="A1624" s="90" t="s">
        <v>4566</v>
      </c>
      <c r="B1624" s="90" t="s">
        <v>2225</v>
      </c>
      <c r="C1624" s="90" t="s">
        <v>2214</v>
      </c>
    </row>
    <row r="1625" spans="1:3" ht="14.4" x14ac:dyDescent="0.3">
      <c r="A1625" s="90" t="s">
        <v>4567</v>
      </c>
      <c r="B1625" s="90" t="s">
        <v>1280</v>
      </c>
      <c r="C1625" s="90" t="s">
        <v>1268</v>
      </c>
    </row>
    <row r="1626" spans="1:3" ht="14.4" x14ac:dyDescent="0.3">
      <c r="A1626" s="90" t="s">
        <v>4568</v>
      </c>
      <c r="B1626" s="90" t="s">
        <v>1446</v>
      </c>
      <c r="C1626" s="90" t="s">
        <v>1440</v>
      </c>
    </row>
    <row r="1627" spans="1:3" ht="14.4" x14ac:dyDescent="0.3">
      <c r="A1627" s="90" t="s">
        <v>4569</v>
      </c>
      <c r="B1627" s="90" t="s">
        <v>2247</v>
      </c>
      <c r="C1627" s="90" t="s">
        <v>2234</v>
      </c>
    </row>
    <row r="1628" spans="1:3" ht="14.4" x14ac:dyDescent="0.3">
      <c r="A1628" s="90" t="s">
        <v>4570</v>
      </c>
      <c r="B1628" s="90" t="s">
        <v>66</v>
      </c>
      <c r="C1628" s="90" t="s">
        <v>62</v>
      </c>
    </row>
    <row r="1629" spans="1:3" ht="14.4" x14ac:dyDescent="0.3">
      <c r="A1629" s="90" t="s">
        <v>4571</v>
      </c>
      <c r="B1629" s="90" t="s">
        <v>975</v>
      </c>
      <c r="C1629" s="90" t="s">
        <v>972</v>
      </c>
    </row>
    <row r="1630" spans="1:3" ht="14.4" x14ac:dyDescent="0.3">
      <c r="A1630" s="90" t="s">
        <v>4572</v>
      </c>
      <c r="B1630" s="90" t="s">
        <v>2730</v>
      </c>
      <c r="C1630" s="90" t="s">
        <v>2683</v>
      </c>
    </row>
    <row r="1631" spans="1:3" ht="14.4" x14ac:dyDescent="0.3">
      <c r="A1631" s="90" t="s">
        <v>4573</v>
      </c>
      <c r="B1631" s="90" t="s">
        <v>2226</v>
      </c>
      <c r="C1631" s="90" t="s">
        <v>2214</v>
      </c>
    </row>
    <row r="1632" spans="1:3" ht="14.4" x14ac:dyDescent="0.3">
      <c r="A1632" s="90" t="s">
        <v>4574</v>
      </c>
      <c r="B1632" s="90" t="s">
        <v>2549</v>
      </c>
      <c r="C1632" s="90" t="s">
        <v>2489</v>
      </c>
    </row>
    <row r="1633" spans="1:3" ht="14.4" x14ac:dyDescent="0.3">
      <c r="A1633" s="90" t="s">
        <v>4575</v>
      </c>
      <c r="B1633" s="90" t="s">
        <v>2023</v>
      </c>
      <c r="C1633" s="90" t="s">
        <v>2015</v>
      </c>
    </row>
    <row r="1634" spans="1:3" ht="14.4" x14ac:dyDescent="0.3">
      <c r="A1634" s="90" t="s">
        <v>4576</v>
      </c>
      <c r="B1634" s="90" t="s">
        <v>2545</v>
      </c>
      <c r="C1634" s="90" t="s">
        <v>2489</v>
      </c>
    </row>
    <row r="1635" spans="1:3" ht="14.4" x14ac:dyDescent="0.3">
      <c r="A1635" s="90" t="s">
        <v>4577</v>
      </c>
      <c r="B1635" s="90" t="s">
        <v>1888</v>
      </c>
      <c r="C1635" s="90" t="s">
        <v>1863</v>
      </c>
    </row>
    <row r="1636" spans="1:3" ht="14.4" x14ac:dyDescent="0.3">
      <c r="A1636" s="90" t="s">
        <v>4578</v>
      </c>
      <c r="B1636" s="90" t="s">
        <v>1401</v>
      </c>
      <c r="C1636" s="90" t="s">
        <v>1392</v>
      </c>
    </row>
    <row r="1637" spans="1:3" ht="14.4" x14ac:dyDescent="0.3">
      <c r="A1637" s="90" t="s">
        <v>4579</v>
      </c>
      <c r="B1637" s="90" t="s">
        <v>2381</v>
      </c>
      <c r="C1637" s="90" t="s">
        <v>2365</v>
      </c>
    </row>
    <row r="1638" spans="1:3" ht="14.4" x14ac:dyDescent="0.3">
      <c r="A1638" s="90" t="s">
        <v>4580</v>
      </c>
      <c r="B1638" s="90" t="s">
        <v>765</v>
      </c>
      <c r="C1638" s="90" t="s">
        <v>744</v>
      </c>
    </row>
    <row r="1639" spans="1:3" ht="14.4" x14ac:dyDescent="0.3">
      <c r="A1639" s="90" t="s">
        <v>4581</v>
      </c>
      <c r="B1639" s="90" t="s">
        <v>2380</v>
      </c>
      <c r="C1639" s="90" t="s">
        <v>2365</v>
      </c>
    </row>
    <row r="1640" spans="1:3" ht="14.4" x14ac:dyDescent="0.3">
      <c r="A1640" s="90" t="s">
        <v>4582</v>
      </c>
      <c r="B1640" s="90" t="s">
        <v>669</v>
      </c>
      <c r="C1640" s="90" t="s">
        <v>661</v>
      </c>
    </row>
    <row r="1641" spans="1:3" ht="14.4" x14ac:dyDescent="0.3">
      <c r="A1641" s="90" t="s">
        <v>4583</v>
      </c>
      <c r="B1641" s="90" t="s">
        <v>1723</v>
      </c>
      <c r="C1641" s="90" t="s">
        <v>1715</v>
      </c>
    </row>
    <row r="1642" spans="1:3" ht="14.4" x14ac:dyDescent="0.3">
      <c r="A1642" s="90" t="s">
        <v>4584</v>
      </c>
      <c r="B1642" s="90" t="s">
        <v>647</v>
      </c>
      <c r="C1642" s="90" t="s">
        <v>627</v>
      </c>
    </row>
    <row r="1643" spans="1:3" ht="14.4" x14ac:dyDescent="0.3">
      <c r="A1643" s="90" t="s">
        <v>4585</v>
      </c>
      <c r="B1643" s="90" t="s">
        <v>173</v>
      </c>
      <c r="C1643" s="90" t="s">
        <v>168</v>
      </c>
    </row>
    <row r="1644" spans="1:3" ht="14.4" x14ac:dyDescent="0.3">
      <c r="A1644" s="90" t="s">
        <v>4586</v>
      </c>
      <c r="B1644" s="90" t="s">
        <v>1466</v>
      </c>
      <c r="C1644" s="90" t="s">
        <v>1464</v>
      </c>
    </row>
    <row r="1645" spans="1:3" ht="14.4" x14ac:dyDescent="0.3">
      <c r="A1645" s="90" t="s">
        <v>4587</v>
      </c>
      <c r="B1645" s="90" t="s">
        <v>1997</v>
      </c>
      <c r="C1645" s="90" t="s">
        <v>1988</v>
      </c>
    </row>
    <row r="1646" spans="1:3" ht="14.4" x14ac:dyDescent="0.3">
      <c r="A1646" s="90" t="s">
        <v>4588</v>
      </c>
      <c r="B1646" s="90" t="s">
        <v>976</v>
      </c>
      <c r="C1646" s="90" t="s">
        <v>972</v>
      </c>
    </row>
    <row r="1647" spans="1:3" ht="14.4" x14ac:dyDescent="0.3">
      <c r="A1647" s="90" t="s">
        <v>4589</v>
      </c>
      <c r="B1647" s="90" t="s">
        <v>719</v>
      </c>
      <c r="C1647" s="90" t="s">
        <v>675</v>
      </c>
    </row>
    <row r="1648" spans="1:3" ht="14.4" x14ac:dyDescent="0.3">
      <c r="A1648" s="90" t="s">
        <v>4590</v>
      </c>
      <c r="B1648" s="90" t="s">
        <v>1704</v>
      </c>
      <c r="C1648" s="90" t="s">
        <v>1681</v>
      </c>
    </row>
    <row r="1649" spans="1:3" ht="14.4" x14ac:dyDescent="0.3">
      <c r="A1649" s="90" t="s">
        <v>4591</v>
      </c>
      <c r="B1649" s="90" t="s">
        <v>1072</v>
      </c>
      <c r="C1649" s="90" t="s">
        <v>1050</v>
      </c>
    </row>
    <row r="1650" spans="1:3" ht="14.4" x14ac:dyDescent="0.3">
      <c r="A1650" s="90" t="s">
        <v>4592</v>
      </c>
      <c r="B1650" s="90" t="s">
        <v>559</v>
      </c>
      <c r="C1650" s="90" t="s">
        <v>449</v>
      </c>
    </row>
    <row r="1651" spans="1:3" ht="14.4" x14ac:dyDescent="0.3">
      <c r="A1651" s="90" t="s">
        <v>4593</v>
      </c>
      <c r="B1651" s="90" t="s">
        <v>2115</v>
      </c>
      <c r="C1651" s="90" t="s">
        <v>2106</v>
      </c>
    </row>
    <row r="1652" spans="1:3" ht="14.4" x14ac:dyDescent="0.3">
      <c r="A1652" s="90" t="s">
        <v>4594</v>
      </c>
      <c r="B1652" s="90" t="s">
        <v>174</v>
      </c>
      <c r="C1652" s="90" t="s">
        <v>168</v>
      </c>
    </row>
    <row r="1653" spans="1:3" ht="14.4" x14ac:dyDescent="0.3">
      <c r="A1653" s="90" t="s">
        <v>4595</v>
      </c>
      <c r="B1653" s="90" t="s">
        <v>441</v>
      </c>
      <c r="C1653" s="90" t="s">
        <v>437</v>
      </c>
    </row>
    <row r="1654" spans="1:3" ht="14.4" x14ac:dyDescent="0.3">
      <c r="A1654" s="90" t="s">
        <v>4596</v>
      </c>
      <c r="B1654" s="90" t="s">
        <v>1073</v>
      </c>
      <c r="C1654" s="90" t="s">
        <v>1050</v>
      </c>
    </row>
    <row r="1655" spans="1:3" ht="14.4" x14ac:dyDescent="0.3">
      <c r="A1655" s="90" t="s">
        <v>4597</v>
      </c>
      <c r="B1655" s="90" t="s">
        <v>2813</v>
      </c>
      <c r="C1655" s="90" t="s">
        <v>2812</v>
      </c>
    </row>
    <row r="1656" spans="1:3" ht="14.4" x14ac:dyDescent="0.3">
      <c r="A1656" s="90" t="s">
        <v>4598</v>
      </c>
      <c r="B1656" s="90" t="s">
        <v>2550</v>
      </c>
      <c r="C1656" s="90" t="s">
        <v>2489</v>
      </c>
    </row>
    <row r="1657" spans="1:3" ht="14.4" x14ac:dyDescent="0.3">
      <c r="A1657" s="90" t="s">
        <v>4599</v>
      </c>
      <c r="B1657" s="90" t="s">
        <v>188</v>
      </c>
      <c r="C1657" s="90" t="s">
        <v>168</v>
      </c>
    </row>
    <row r="1658" spans="1:3" ht="14.4" x14ac:dyDescent="0.3">
      <c r="A1658" s="90" t="s">
        <v>4600</v>
      </c>
      <c r="B1658" s="90" t="s">
        <v>2551</v>
      </c>
      <c r="C1658" s="90" t="s">
        <v>2489</v>
      </c>
    </row>
    <row r="1659" spans="1:3" ht="14.4" x14ac:dyDescent="0.3">
      <c r="A1659" s="90" t="s">
        <v>4601</v>
      </c>
      <c r="B1659" s="90" t="s">
        <v>350</v>
      </c>
      <c r="C1659" s="90" t="s">
        <v>203</v>
      </c>
    </row>
    <row r="1660" spans="1:3" ht="14.4" x14ac:dyDescent="0.3">
      <c r="A1660" s="90" t="s">
        <v>4602</v>
      </c>
      <c r="B1660" s="90" t="s">
        <v>32</v>
      </c>
      <c r="C1660" s="90" t="s">
        <v>7</v>
      </c>
    </row>
    <row r="1661" spans="1:3" ht="14.4" x14ac:dyDescent="0.3">
      <c r="A1661" s="90" t="s">
        <v>4603</v>
      </c>
      <c r="B1661" s="90" t="s">
        <v>1248</v>
      </c>
      <c r="C1661" s="90" t="s">
        <v>1239</v>
      </c>
    </row>
    <row r="1662" spans="1:3" ht="14.4" x14ac:dyDescent="0.3">
      <c r="A1662" s="90" t="s">
        <v>4604</v>
      </c>
      <c r="B1662" s="90" t="s">
        <v>48</v>
      </c>
      <c r="C1662" s="90" t="s">
        <v>42</v>
      </c>
    </row>
    <row r="1663" spans="1:3" ht="14.4" x14ac:dyDescent="0.3">
      <c r="A1663" s="90" t="s">
        <v>4605</v>
      </c>
      <c r="B1663" s="90" t="s">
        <v>2174</v>
      </c>
      <c r="C1663" s="90" t="s">
        <v>2153</v>
      </c>
    </row>
    <row r="1664" spans="1:3" ht="14.4" x14ac:dyDescent="0.3">
      <c r="A1664" s="90" t="s">
        <v>4606</v>
      </c>
      <c r="B1664" s="90" t="s">
        <v>720</v>
      </c>
      <c r="C1664" s="90" t="s">
        <v>675</v>
      </c>
    </row>
    <row r="1665" spans="1:3" ht="14.4" x14ac:dyDescent="0.3">
      <c r="A1665" s="90" t="s">
        <v>4607</v>
      </c>
      <c r="B1665" s="90" t="s">
        <v>43</v>
      </c>
      <c r="C1665" s="90" t="s">
        <v>42</v>
      </c>
    </row>
    <row r="1666" spans="1:3" ht="14.4" x14ac:dyDescent="0.3">
      <c r="A1666" s="90" t="s">
        <v>4608</v>
      </c>
      <c r="B1666" s="90" t="s">
        <v>1570</v>
      </c>
      <c r="C1666" s="90" t="s">
        <v>1568</v>
      </c>
    </row>
    <row r="1667" spans="1:3" ht="14.4" x14ac:dyDescent="0.3">
      <c r="A1667" s="90" t="s">
        <v>4609</v>
      </c>
      <c r="B1667" s="90" t="s">
        <v>175</v>
      </c>
      <c r="C1667" s="90" t="s">
        <v>168</v>
      </c>
    </row>
    <row r="1668" spans="1:3" ht="14.4" x14ac:dyDescent="0.3">
      <c r="A1668" s="90" t="s">
        <v>4610</v>
      </c>
      <c r="B1668" s="90" t="s">
        <v>1855</v>
      </c>
      <c r="C1668" s="90" t="s">
        <v>1848</v>
      </c>
    </row>
    <row r="1669" spans="1:3" ht="14.4" x14ac:dyDescent="0.3">
      <c r="A1669" s="90" t="s">
        <v>4611</v>
      </c>
      <c r="B1669" s="90" t="s">
        <v>2077</v>
      </c>
      <c r="C1669" s="90" t="s">
        <v>2066</v>
      </c>
    </row>
    <row r="1670" spans="1:3" ht="14.4" x14ac:dyDescent="0.3">
      <c r="A1670" s="90" t="s">
        <v>4612</v>
      </c>
      <c r="B1670" s="90" t="s">
        <v>2452</v>
      </c>
      <c r="C1670" s="90" t="s">
        <v>2421</v>
      </c>
    </row>
    <row r="1671" spans="1:3" ht="14.4" x14ac:dyDescent="0.3">
      <c r="A1671" s="90" t="s">
        <v>4613</v>
      </c>
      <c r="B1671" s="90" t="s">
        <v>2009</v>
      </c>
      <c r="C1671" s="90" t="s">
        <v>2003</v>
      </c>
    </row>
    <row r="1672" spans="1:3" ht="14.4" x14ac:dyDescent="0.3">
      <c r="A1672" s="90" t="s">
        <v>4614</v>
      </c>
      <c r="B1672" s="90" t="s">
        <v>1819</v>
      </c>
      <c r="C1672" s="90" t="s">
        <v>1800</v>
      </c>
    </row>
    <row r="1673" spans="1:3" ht="14.4" x14ac:dyDescent="0.3">
      <c r="A1673" s="90" t="s">
        <v>4615</v>
      </c>
      <c r="B1673" s="90" t="s">
        <v>848</v>
      </c>
      <c r="C1673" s="90" t="s">
        <v>841</v>
      </c>
    </row>
    <row r="1674" spans="1:3" ht="14.4" x14ac:dyDescent="0.3">
      <c r="A1674" s="90" t="s">
        <v>4616</v>
      </c>
      <c r="B1674" s="90" t="s">
        <v>1045</v>
      </c>
      <c r="C1674" s="90" t="s">
        <v>1038</v>
      </c>
    </row>
    <row r="1675" spans="1:3" ht="14.4" x14ac:dyDescent="0.3">
      <c r="A1675" s="90" t="s">
        <v>4617</v>
      </c>
      <c r="B1675" s="90" t="s">
        <v>2676</v>
      </c>
      <c r="C1675" s="90" t="s">
        <v>2669</v>
      </c>
    </row>
    <row r="1676" spans="1:3" ht="14.4" x14ac:dyDescent="0.3">
      <c r="A1676" s="90" t="s">
        <v>4618</v>
      </c>
      <c r="B1676" s="90" t="s">
        <v>1749</v>
      </c>
      <c r="C1676" s="90" t="s">
        <v>1741</v>
      </c>
    </row>
    <row r="1677" spans="1:3" ht="14.4" x14ac:dyDescent="0.3">
      <c r="A1677" s="90" t="s">
        <v>4619</v>
      </c>
      <c r="B1677" s="90" t="s">
        <v>2076</v>
      </c>
      <c r="C1677" s="90" t="s">
        <v>2066</v>
      </c>
    </row>
    <row r="1678" spans="1:3" ht="14.4" x14ac:dyDescent="0.3">
      <c r="A1678" s="90" t="s">
        <v>4620</v>
      </c>
      <c r="B1678" s="90" t="s">
        <v>2844</v>
      </c>
      <c r="C1678" s="90" t="s">
        <v>2839</v>
      </c>
    </row>
    <row r="1679" spans="1:3" ht="14.4" x14ac:dyDescent="0.3">
      <c r="A1679" s="90" t="s">
        <v>4621</v>
      </c>
      <c r="B1679" s="90" t="s">
        <v>2447</v>
      </c>
      <c r="C1679" s="90" t="s">
        <v>2421</v>
      </c>
    </row>
    <row r="1680" spans="1:3" ht="14.4" x14ac:dyDescent="0.3">
      <c r="A1680" s="90" t="s">
        <v>4622</v>
      </c>
      <c r="B1680" s="90" t="s">
        <v>767</v>
      </c>
      <c r="C1680" s="90" t="s">
        <v>744</v>
      </c>
    </row>
    <row r="1681" spans="1:3" ht="14.4" x14ac:dyDescent="0.3">
      <c r="A1681" s="90" t="s">
        <v>4623</v>
      </c>
      <c r="B1681" s="90" t="s">
        <v>2395</v>
      </c>
      <c r="C1681" s="90" t="s">
        <v>2388</v>
      </c>
    </row>
    <row r="1682" spans="1:3" ht="14.4" x14ac:dyDescent="0.3">
      <c r="A1682" s="90" t="s">
        <v>4624</v>
      </c>
      <c r="B1682" s="90" t="s">
        <v>349</v>
      </c>
      <c r="C1682" s="90" t="s">
        <v>203</v>
      </c>
    </row>
    <row r="1683" spans="1:3" ht="14.4" x14ac:dyDescent="0.3">
      <c r="A1683" s="90" t="s">
        <v>4625</v>
      </c>
      <c r="B1683" s="90" t="s">
        <v>2451</v>
      </c>
      <c r="C1683" s="90" t="s">
        <v>2421</v>
      </c>
    </row>
    <row r="1684" spans="1:3" ht="14.4" x14ac:dyDescent="0.3">
      <c r="A1684" s="90" t="s">
        <v>4626</v>
      </c>
      <c r="B1684" s="90" t="s">
        <v>768</v>
      </c>
      <c r="C1684" s="90" t="s">
        <v>744</v>
      </c>
    </row>
    <row r="1685" spans="1:3" ht="14.4" x14ac:dyDescent="0.3">
      <c r="A1685" s="90" t="s">
        <v>4627</v>
      </c>
      <c r="B1685" s="90" t="s">
        <v>2929</v>
      </c>
      <c r="C1685" s="90" t="s">
        <v>2919</v>
      </c>
    </row>
    <row r="1686" spans="1:3" ht="14.4" x14ac:dyDescent="0.3">
      <c r="A1686" s="90" t="s">
        <v>4628</v>
      </c>
      <c r="B1686" s="90" t="s">
        <v>347</v>
      </c>
      <c r="C1686" s="90" t="s">
        <v>203</v>
      </c>
    </row>
    <row r="1687" spans="1:3" ht="14.4" x14ac:dyDescent="0.3">
      <c r="A1687" s="90" t="s">
        <v>4629</v>
      </c>
      <c r="B1687" s="90" t="s">
        <v>2613</v>
      </c>
      <c r="C1687" s="90" t="s">
        <v>2589</v>
      </c>
    </row>
    <row r="1688" spans="1:3" ht="14.4" x14ac:dyDescent="0.3">
      <c r="A1688" s="90" t="s">
        <v>4630</v>
      </c>
      <c r="B1688" s="90" t="s">
        <v>1518</v>
      </c>
      <c r="C1688" s="90" t="s">
        <v>1513</v>
      </c>
    </row>
    <row r="1689" spans="1:3" ht="14.4" x14ac:dyDescent="0.3">
      <c r="A1689" s="90" t="s">
        <v>4631</v>
      </c>
      <c r="B1689" s="90" t="s">
        <v>1596</v>
      </c>
      <c r="C1689" s="90" t="s">
        <v>1580</v>
      </c>
    </row>
    <row r="1690" spans="1:3" ht="14.4" x14ac:dyDescent="0.3">
      <c r="A1690" s="90" t="s">
        <v>4632</v>
      </c>
      <c r="B1690" s="90" t="s">
        <v>827</v>
      </c>
      <c r="C1690" s="90" t="s">
        <v>800</v>
      </c>
    </row>
    <row r="1691" spans="1:3" ht="14.4" x14ac:dyDescent="0.3">
      <c r="A1691" s="90" t="s">
        <v>4633</v>
      </c>
      <c r="B1691" s="90" t="s">
        <v>1323</v>
      </c>
      <c r="C1691" s="90" t="s">
        <v>1313</v>
      </c>
    </row>
    <row r="1692" spans="1:3" ht="14.4" x14ac:dyDescent="0.3">
      <c r="A1692" s="90" t="s">
        <v>4634</v>
      </c>
      <c r="B1692" s="90" t="s">
        <v>2548</v>
      </c>
      <c r="C1692" s="90" t="s">
        <v>2489</v>
      </c>
    </row>
    <row r="1693" spans="1:3" ht="14.4" x14ac:dyDescent="0.3">
      <c r="A1693" s="90" t="s">
        <v>4635</v>
      </c>
      <c r="B1693" s="90" t="s">
        <v>345</v>
      </c>
      <c r="C1693" s="90" t="s">
        <v>203</v>
      </c>
    </row>
    <row r="1694" spans="1:3" ht="14.4" x14ac:dyDescent="0.3">
      <c r="A1694" s="90" t="s">
        <v>4636</v>
      </c>
      <c r="B1694" s="90" t="s">
        <v>1501</v>
      </c>
      <c r="C1694" s="90" t="s">
        <v>1485</v>
      </c>
    </row>
    <row r="1695" spans="1:3" ht="14.4" x14ac:dyDescent="0.3">
      <c r="A1695" s="90" t="s">
        <v>4637</v>
      </c>
      <c r="B1695" s="90" t="s">
        <v>1705</v>
      </c>
      <c r="C1695" s="90" t="s">
        <v>1681</v>
      </c>
    </row>
    <row r="1696" spans="1:3" ht="14.4" x14ac:dyDescent="0.3">
      <c r="A1696" s="90" t="s">
        <v>4638</v>
      </c>
      <c r="B1696" s="90" t="s">
        <v>1784</v>
      </c>
      <c r="C1696" s="90" t="s">
        <v>1741</v>
      </c>
    </row>
    <row r="1697" spans="1:3" ht="14.4" x14ac:dyDescent="0.3">
      <c r="A1697" s="90" t="s">
        <v>4639</v>
      </c>
      <c r="B1697" s="90" t="s">
        <v>1461</v>
      </c>
      <c r="C1697" s="90" t="s">
        <v>1451</v>
      </c>
    </row>
    <row r="1698" spans="1:3" ht="14.4" x14ac:dyDescent="0.3">
      <c r="A1698" s="90" t="s">
        <v>4640</v>
      </c>
      <c r="B1698" s="90" t="s">
        <v>2050</v>
      </c>
      <c r="C1698" s="90" t="s">
        <v>2015</v>
      </c>
    </row>
    <row r="1699" spans="1:3" ht="14.4" x14ac:dyDescent="0.3">
      <c r="A1699" s="90" t="s">
        <v>4641</v>
      </c>
      <c r="B1699" s="90" t="s">
        <v>2248</v>
      </c>
      <c r="C1699" s="90" t="s">
        <v>2234</v>
      </c>
    </row>
    <row r="1700" spans="1:3" ht="14.4" x14ac:dyDescent="0.3">
      <c r="A1700" s="90" t="s">
        <v>4642</v>
      </c>
      <c r="B1700" s="90" t="s">
        <v>2273</v>
      </c>
      <c r="C1700" s="90" t="s">
        <v>2257</v>
      </c>
    </row>
    <row r="1701" spans="1:3" ht="14.4" x14ac:dyDescent="0.3">
      <c r="A1701" s="90" t="s">
        <v>4643</v>
      </c>
      <c r="B1701" s="90" t="s">
        <v>187</v>
      </c>
      <c r="C1701" s="90" t="s">
        <v>168</v>
      </c>
    </row>
    <row r="1702" spans="1:3" ht="14.4" x14ac:dyDescent="0.3">
      <c r="A1702" s="90" t="s">
        <v>4644</v>
      </c>
      <c r="B1702" s="90" t="s">
        <v>1337</v>
      </c>
      <c r="C1702" s="90" t="s">
        <v>1331</v>
      </c>
    </row>
    <row r="1703" spans="1:3" ht="14.4" x14ac:dyDescent="0.3">
      <c r="A1703" s="90" t="s">
        <v>4645</v>
      </c>
      <c r="B1703" s="90" t="s">
        <v>1817</v>
      </c>
      <c r="C1703" s="90" t="s">
        <v>1800</v>
      </c>
    </row>
    <row r="1704" spans="1:3" ht="14.4" x14ac:dyDescent="0.3">
      <c r="A1704" s="90" t="s">
        <v>4646</v>
      </c>
      <c r="B1704" s="90" t="s">
        <v>2382</v>
      </c>
      <c r="C1704" s="90" t="s">
        <v>2365</v>
      </c>
    </row>
    <row r="1705" spans="1:3" ht="14.4" x14ac:dyDescent="0.3">
      <c r="A1705" s="90" t="s">
        <v>4647</v>
      </c>
      <c r="B1705" s="90" t="s">
        <v>2446</v>
      </c>
      <c r="C1705" s="90" t="s">
        <v>2421</v>
      </c>
    </row>
    <row r="1706" spans="1:3" ht="14.4" x14ac:dyDescent="0.3">
      <c r="A1706" s="90" t="s">
        <v>4648</v>
      </c>
      <c r="B1706" s="90" t="s">
        <v>1182</v>
      </c>
      <c r="C1706" s="90" t="s">
        <v>1173</v>
      </c>
    </row>
    <row r="1707" spans="1:3" ht="14.4" x14ac:dyDescent="0.3">
      <c r="A1707" s="90" t="s">
        <v>4649</v>
      </c>
      <c r="B1707" s="90" t="s">
        <v>790</v>
      </c>
      <c r="C1707" s="90" t="s">
        <v>776</v>
      </c>
    </row>
    <row r="1708" spans="1:3" ht="14.4" x14ac:dyDescent="0.3">
      <c r="A1708" s="90" t="s">
        <v>4650</v>
      </c>
      <c r="B1708" s="90" t="s">
        <v>1164</v>
      </c>
      <c r="C1708" s="90" t="s">
        <v>1147</v>
      </c>
    </row>
    <row r="1709" spans="1:3" ht="14.4" x14ac:dyDescent="0.3">
      <c r="A1709" s="90" t="s">
        <v>4651</v>
      </c>
      <c r="B1709" s="90" t="s">
        <v>2420</v>
      </c>
      <c r="C1709" s="90" t="s">
        <v>2418</v>
      </c>
    </row>
    <row r="1710" spans="1:3" ht="14.4" x14ac:dyDescent="0.3">
      <c r="A1710" s="90" t="s">
        <v>4652</v>
      </c>
      <c r="B1710" s="90" t="s">
        <v>1785</v>
      </c>
      <c r="C1710" s="90" t="s">
        <v>1741</v>
      </c>
    </row>
    <row r="1711" spans="1:3" ht="14.4" x14ac:dyDescent="0.3">
      <c r="A1711" s="90" t="s">
        <v>4653</v>
      </c>
      <c r="B1711" s="90" t="s">
        <v>2718</v>
      </c>
      <c r="C1711" s="90" t="s">
        <v>2683</v>
      </c>
    </row>
    <row r="1712" spans="1:3" ht="14.4" x14ac:dyDescent="0.3">
      <c r="A1712" s="90" t="s">
        <v>4654</v>
      </c>
      <c r="B1712" s="90" t="s">
        <v>1015</v>
      </c>
      <c r="C1712" s="90" t="s">
        <v>972</v>
      </c>
    </row>
    <row r="1713" spans="1:3" ht="14.4" x14ac:dyDescent="0.3">
      <c r="A1713" s="90" t="s">
        <v>4655</v>
      </c>
      <c r="B1713" s="90" t="s">
        <v>2448</v>
      </c>
      <c r="C1713" s="90" t="s">
        <v>2421</v>
      </c>
    </row>
    <row r="1714" spans="1:3" ht="14.4" x14ac:dyDescent="0.3">
      <c r="A1714" s="90" t="s">
        <v>4656</v>
      </c>
      <c r="B1714" s="90" t="s">
        <v>2449</v>
      </c>
      <c r="C1714" s="90" t="s">
        <v>2421</v>
      </c>
    </row>
    <row r="1715" spans="1:3" ht="14.4" x14ac:dyDescent="0.3">
      <c r="A1715" s="90" t="s">
        <v>4657</v>
      </c>
      <c r="B1715" s="90" t="s">
        <v>1127</v>
      </c>
      <c r="C1715" s="90" t="s">
        <v>1106</v>
      </c>
    </row>
    <row r="1716" spans="1:3" ht="14.4" x14ac:dyDescent="0.3">
      <c r="A1716" s="90" t="s">
        <v>4658</v>
      </c>
      <c r="B1716" s="90" t="s">
        <v>1514</v>
      </c>
      <c r="C1716" s="90" t="s">
        <v>1513</v>
      </c>
    </row>
    <row r="1717" spans="1:3" ht="14.4" x14ac:dyDescent="0.3">
      <c r="A1717" s="90" t="s">
        <v>4659</v>
      </c>
      <c r="B1717" s="90" t="s">
        <v>2325</v>
      </c>
      <c r="C1717" s="90" t="s">
        <v>2320</v>
      </c>
    </row>
    <row r="1718" spans="1:3" ht="14.4" x14ac:dyDescent="0.3">
      <c r="A1718" s="90" t="s">
        <v>4660</v>
      </c>
      <c r="B1718" s="90" t="s">
        <v>943</v>
      </c>
      <c r="C1718" s="90" t="s">
        <v>916</v>
      </c>
    </row>
    <row r="1719" spans="1:3" ht="14.4" x14ac:dyDescent="0.3">
      <c r="A1719" s="90" t="s">
        <v>4661</v>
      </c>
      <c r="B1719" s="90" t="s">
        <v>1074</v>
      </c>
      <c r="C1719" s="90" t="s">
        <v>1050</v>
      </c>
    </row>
    <row r="1720" spans="1:3" ht="14.4" x14ac:dyDescent="0.3">
      <c r="A1720" s="90" t="s">
        <v>4662</v>
      </c>
      <c r="B1720" s="90" t="s">
        <v>562</v>
      </c>
      <c r="C1720" s="90" t="s">
        <v>449</v>
      </c>
    </row>
    <row r="1721" spans="1:3" ht="14.4" x14ac:dyDescent="0.3">
      <c r="A1721" s="90" t="s">
        <v>4663</v>
      </c>
      <c r="B1721" s="90" t="s">
        <v>1165</v>
      </c>
      <c r="C1721" s="90" t="s">
        <v>1147</v>
      </c>
    </row>
    <row r="1722" spans="1:3" ht="14.4" x14ac:dyDescent="0.3">
      <c r="A1722" s="90" t="s">
        <v>4664</v>
      </c>
      <c r="B1722" s="90" t="s">
        <v>1503</v>
      </c>
      <c r="C1722" s="90" t="s">
        <v>1485</v>
      </c>
    </row>
    <row r="1723" spans="1:3" ht="14.4" x14ac:dyDescent="0.3">
      <c r="A1723" s="90" t="s">
        <v>4665</v>
      </c>
      <c r="B1723" s="90" t="s">
        <v>2408</v>
      </c>
      <c r="C1723" s="90" t="s">
        <v>2397</v>
      </c>
    </row>
    <row r="1724" spans="1:3" ht="14.4" x14ac:dyDescent="0.3">
      <c r="A1724" s="90" t="s">
        <v>4666</v>
      </c>
      <c r="B1724" s="90" t="s">
        <v>2481</v>
      </c>
      <c r="C1724" s="90" t="s">
        <v>2468</v>
      </c>
    </row>
    <row r="1725" spans="1:3" ht="14.4" x14ac:dyDescent="0.3">
      <c r="A1725" s="90" t="s">
        <v>4667</v>
      </c>
      <c r="B1725" s="90" t="s">
        <v>2306</v>
      </c>
      <c r="C1725" s="90" t="s">
        <v>2275</v>
      </c>
    </row>
    <row r="1726" spans="1:3" ht="14.4" x14ac:dyDescent="0.3">
      <c r="A1726" s="90" t="s">
        <v>4668</v>
      </c>
      <c r="B1726" s="90" t="s">
        <v>2552</v>
      </c>
      <c r="C1726" s="90" t="s">
        <v>2489</v>
      </c>
    </row>
    <row r="1727" spans="1:3" ht="14.4" x14ac:dyDescent="0.3">
      <c r="A1727" s="90" t="s">
        <v>4669</v>
      </c>
      <c r="B1727" s="90" t="s">
        <v>1305</v>
      </c>
      <c r="C1727" s="90" t="s">
        <v>1292</v>
      </c>
    </row>
    <row r="1728" spans="1:3" ht="14.4" x14ac:dyDescent="0.3">
      <c r="A1728" s="90" t="s">
        <v>4670</v>
      </c>
      <c r="B1728" s="90" t="s">
        <v>2834</v>
      </c>
      <c r="C1728" s="90" t="s">
        <v>2831</v>
      </c>
    </row>
    <row r="1729" spans="1:3" ht="14.4" x14ac:dyDescent="0.3">
      <c r="A1729" s="90" t="s">
        <v>4671</v>
      </c>
      <c r="B1729" s="90" t="s">
        <v>1425</v>
      </c>
      <c r="C1729" s="90" t="s">
        <v>1392</v>
      </c>
    </row>
    <row r="1730" spans="1:3" ht="14.4" x14ac:dyDescent="0.3">
      <c r="A1730" s="90" t="s">
        <v>4672</v>
      </c>
      <c r="B1730" s="90" t="s">
        <v>890</v>
      </c>
      <c r="C1730" s="90" t="s">
        <v>874</v>
      </c>
    </row>
    <row r="1731" spans="1:3" ht="14.4" x14ac:dyDescent="0.3">
      <c r="A1731" s="90" t="s">
        <v>4673</v>
      </c>
      <c r="B1731" s="90" t="s">
        <v>352</v>
      </c>
      <c r="C1731" s="90" t="s">
        <v>203</v>
      </c>
    </row>
    <row r="1732" spans="1:3" ht="14.4" x14ac:dyDescent="0.3">
      <c r="A1732" s="90" t="s">
        <v>4674</v>
      </c>
      <c r="B1732" s="90" t="s">
        <v>566</v>
      </c>
      <c r="C1732" s="90" t="s">
        <v>449</v>
      </c>
    </row>
    <row r="1733" spans="1:3" ht="14.4" x14ac:dyDescent="0.3">
      <c r="A1733" s="90" t="s">
        <v>4675</v>
      </c>
      <c r="B1733" s="90" t="s">
        <v>1787</v>
      </c>
      <c r="C1733" s="90" t="s">
        <v>1741</v>
      </c>
    </row>
    <row r="1734" spans="1:3" ht="14.4" x14ac:dyDescent="0.3">
      <c r="A1734" s="90" t="s">
        <v>4676</v>
      </c>
      <c r="B1734" s="90" t="s">
        <v>1728</v>
      </c>
      <c r="C1734" s="90" t="s">
        <v>1727</v>
      </c>
    </row>
    <row r="1735" spans="1:3" ht="14.4" x14ac:dyDescent="0.3">
      <c r="A1735" s="90" t="s">
        <v>4677</v>
      </c>
      <c r="B1735" s="90" t="s">
        <v>355</v>
      </c>
      <c r="C1735" s="90" t="s">
        <v>203</v>
      </c>
    </row>
    <row r="1736" spans="1:3" ht="14.4" x14ac:dyDescent="0.3">
      <c r="A1736" s="90" t="s">
        <v>4678</v>
      </c>
      <c r="B1736" s="90" t="s">
        <v>1281</v>
      </c>
      <c r="C1736" s="90" t="s">
        <v>1268</v>
      </c>
    </row>
    <row r="1737" spans="1:3" ht="14.4" x14ac:dyDescent="0.3">
      <c r="A1737" s="90" t="s">
        <v>4679</v>
      </c>
      <c r="B1737" s="90" t="s">
        <v>356</v>
      </c>
      <c r="C1737" s="90" t="s">
        <v>203</v>
      </c>
    </row>
    <row r="1738" spans="1:3" ht="14.4" x14ac:dyDescent="0.3">
      <c r="A1738" s="90" t="s">
        <v>4680</v>
      </c>
      <c r="B1738" s="90" t="s">
        <v>722</v>
      </c>
      <c r="C1738" s="90" t="s">
        <v>675</v>
      </c>
    </row>
    <row r="1739" spans="1:3" ht="14.4" x14ac:dyDescent="0.3">
      <c r="A1739" s="90" t="s">
        <v>4681</v>
      </c>
      <c r="B1739" s="90" t="s">
        <v>1353</v>
      </c>
      <c r="C1739" s="90" t="s">
        <v>1338</v>
      </c>
    </row>
    <row r="1740" spans="1:3" ht="14.4" x14ac:dyDescent="0.3">
      <c r="A1740" s="90" t="s">
        <v>4682</v>
      </c>
      <c r="B1740" s="90" t="s">
        <v>1534</v>
      </c>
      <c r="C1740" s="90" t="s">
        <v>1513</v>
      </c>
    </row>
    <row r="1741" spans="1:3" ht="14.4" x14ac:dyDescent="0.3">
      <c r="A1741" s="90" t="s">
        <v>4683</v>
      </c>
      <c r="B1741" s="90" t="s">
        <v>1574</v>
      </c>
      <c r="C1741" s="90" t="s">
        <v>1573</v>
      </c>
    </row>
    <row r="1742" spans="1:3" ht="14.4" x14ac:dyDescent="0.3">
      <c r="A1742" s="90" t="s">
        <v>4684</v>
      </c>
      <c r="B1742" s="90" t="s">
        <v>354</v>
      </c>
      <c r="C1742" s="90" t="s">
        <v>203</v>
      </c>
    </row>
    <row r="1743" spans="1:3" ht="14.4" x14ac:dyDescent="0.3">
      <c r="A1743" s="90" t="s">
        <v>4685</v>
      </c>
      <c r="B1743" s="90" t="s">
        <v>1354</v>
      </c>
      <c r="C1743" s="90" t="s">
        <v>1338</v>
      </c>
    </row>
    <row r="1744" spans="1:3" ht="14.4" x14ac:dyDescent="0.3">
      <c r="A1744" s="90" t="s">
        <v>4686</v>
      </c>
      <c r="B1744" s="90" t="s">
        <v>1724</v>
      </c>
      <c r="C1744" s="90" t="s">
        <v>1715</v>
      </c>
    </row>
    <row r="1745" spans="1:3" ht="14.4" x14ac:dyDescent="0.3">
      <c r="A1745" s="90" t="s">
        <v>4687</v>
      </c>
      <c r="B1745" s="90" t="s">
        <v>1195</v>
      </c>
      <c r="C1745" s="90" t="s">
        <v>1194</v>
      </c>
    </row>
    <row r="1746" spans="1:3" ht="14.4" x14ac:dyDescent="0.3">
      <c r="A1746" s="90" t="s">
        <v>4688</v>
      </c>
      <c r="B1746" s="90" t="s">
        <v>2284</v>
      </c>
      <c r="C1746" s="90" t="s">
        <v>2275</v>
      </c>
    </row>
    <row r="1747" spans="1:3" ht="14.4" x14ac:dyDescent="0.3">
      <c r="A1747" s="90" t="s">
        <v>4689</v>
      </c>
      <c r="B1747" s="90" t="s">
        <v>1016</v>
      </c>
      <c r="C1747" s="90" t="s">
        <v>972</v>
      </c>
    </row>
    <row r="1748" spans="1:3" ht="14.4" x14ac:dyDescent="0.3">
      <c r="A1748" s="90" t="s">
        <v>4690</v>
      </c>
      <c r="B1748" s="90" t="s">
        <v>1729</v>
      </c>
      <c r="C1748" s="90" t="s">
        <v>1727</v>
      </c>
    </row>
    <row r="1749" spans="1:3" ht="14.4" x14ac:dyDescent="0.3">
      <c r="A1749" s="90" t="s">
        <v>4691</v>
      </c>
      <c r="B1749" s="90" t="s">
        <v>2891</v>
      </c>
      <c r="C1749" s="90" t="s">
        <v>2874</v>
      </c>
    </row>
    <row r="1750" spans="1:3" ht="14.4" x14ac:dyDescent="0.3">
      <c r="A1750" s="90" t="s">
        <v>4692</v>
      </c>
      <c r="B1750" s="90" t="s">
        <v>2227</v>
      </c>
      <c r="C1750" s="90" t="s">
        <v>2214</v>
      </c>
    </row>
    <row r="1751" spans="1:3" ht="14.4" x14ac:dyDescent="0.3">
      <c r="A1751" s="90" t="s">
        <v>4693</v>
      </c>
      <c r="B1751" s="90" t="s">
        <v>1227</v>
      </c>
      <c r="C1751" s="90" t="s">
        <v>1225</v>
      </c>
    </row>
    <row r="1752" spans="1:3" ht="14.4" x14ac:dyDescent="0.3">
      <c r="A1752" s="90" t="s">
        <v>4694</v>
      </c>
      <c r="B1752" s="90" t="s">
        <v>947</v>
      </c>
      <c r="C1752" s="90" t="s">
        <v>916</v>
      </c>
    </row>
    <row r="1753" spans="1:3" ht="14.4" x14ac:dyDescent="0.3">
      <c r="A1753" s="90" t="s">
        <v>4695</v>
      </c>
      <c r="B1753" s="90" t="s">
        <v>946</v>
      </c>
      <c r="C1753" s="90" t="s">
        <v>916</v>
      </c>
    </row>
    <row r="1754" spans="1:3" ht="14.4" x14ac:dyDescent="0.3">
      <c r="A1754" s="90" t="s">
        <v>4696</v>
      </c>
      <c r="B1754" s="90" t="s">
        <v>1075</v>
      </c>
      <c r="C1754" s="90" t="s">
        <v>1050</v>
      </c>
    </row>
    <row r="1755" spans="1:3" ht="14.4" x14ac:dyDescent="0.3">
      <c r="A1755" s="90" t="s">
        <v>4697</v>
      </c>
      <c r="B1755" s="90" t="s">
        <v>561</v>
      </c>
      <c r="C1755" s="90" t="s">
        <v>449</v>
      </c>
    </row>
    <row r="1756" spans="1:3" ht="14.4" x14ac:dyDescent="0.3">
      <c r="A1756" s="90" t="s">
        <v>4698</v>
      </c>
      <c r="B1756" s="90" t="s">
        <v>2652</v>
      </c>
      <c r="C1756" s="90" t="s">
        <v>2633</v>
      </c>
    </row>
    <row r="1757" spans="1:3" ht="14.4" x14ac:dyDescent="0.3">
      <c r="A1757" s="90" t="s">
        <v>4699</v>
      </c>
      <c r="B1757" s="90" t="s">
        <v>1960</v>
      </c>
      <c r="C1757" s="90" t="s">
        <v>1955</v>
      </c>
    </row>
    <row r="1758" spans="1:3" ht="14.4" x14ac:dyDescent="0.3">
      <c r="A1758" s="90" t="s">
        <v>4700</v>
      </c>
      <c r="B1758" s="90" t="s">
        <v>2614</v>
      </c>
      <c r="C1758" s="90" t="s">
        <v>2589</v>
      </c>
    </row>
    <row r="1759" spans="1:3" ht="14.4" x14ac:dyDescent="0.3">
      <c r="A1759" s="90" t="s">
        <v>4701</v>
      </c>
      <c r="B1759" s="90" t="s">
        <v>892</v>
      </c>
      <c r="C1759" s="90" t="s">
        <v>874</v>
      </c>
    </row>
    <row r="1760" spans="1:3" ht="14.4" x14ac:dyDescent="0.3">
      <c r="A1760" s="90" t="s">
        <v>4702</v>
      </c>
      <c r="B1760" s="90" t="s">
        <v>357</v>
      </c>
      <c r="C1760" s="90" t="s">
        <v>203</v>
      </c>
    </row>
    <row r="1761" spans="1:3" ht="14.4" x14ac:dyDescent="0.3">
      <c r="A1761" s="90" t="s">
        <v>4703</v>
      </c>
      <c r="B1761" s="90" t="s">
        <v>1786</v>
      </c>
      <c r="C1761" s="90" t="s">
        <v>1741</v>
      </c>
    </row>
    <row r="1762" spans="1:3" ht="14.4" x14ac:dyDescent="0.3">
      <c r="A1762" s="90" t="s">
        <v>4704</v>
      </c>
      <c r="B1762" s="90" t="s">
        <v>1597</v>
      </c>
      <c r="C1762" s="90" t="s">
        <v>1580</v>
      </c>
    </row>
    <row r="1763" spans="1:3" ht="14.4" x14ac:dyDescent="0.3">
      <c r="A1763" s="90" t="s">
        <v>4705</v>
      </c>
      <c r="B1763" s="90" t="s">
        <v>1750</v>
      </c>
      <c r="C1763" s="90" t="s">
        <v>1741</v>
      </c>
    </row>
    <row r="1764" spans="1:3" ht="14.4" x14ac:dyDescent="0.3">
      <c r="A1764" s="90" t="s">
        <v>4706</v>
      </c>
      <c r="B1764" s="90" t="s">
        <v>1402</v>
      </c>
      <c r="C1764" s="90" t="s">
        <v>1392</v>
      </c>
    </row>
    <row r="1765" spans="1:3" ht="14.4" x14ac:dyDescent="0.3">
      <c r="A1765" s="90" t="s">
        <v>4707</v>
      </c>
      <c r="B1765" s="90" t="s">
        <v>1821</v>
      </c>
      <c r="C1765" s="90" t="s">
        <v>1800</v>
      </c>
    </row>
    <row r="1766" spans="1:3" ht="14.4" x14ac:dyDescent="0.3">
      <c r="A1766" s="90" t="s">
        <v>4708</v>
      </c>
      <c r="B1766" s="90" t="s">
        <v>1231</v>
      </c>
      <c r="C1766" s="90" t="s">
        <v>1229</v>
      </c>
    </row>
    <row r="1767" spans="1:3" ht="14.4" x14ac:dyDescent="0.3">
      <c r="A1767" s="90" t="s">
        <v>4709</v>
      </c>
      <c r="B1767" s="90" t="s">
        <v>2644</v>
      </c>
      <c r="C1767" s="90" t="s">
        <v>2633</v>
      </c>
    </row>
    <row r="1768" spans="1:3" ht="14.4" x14ac:dyDescent="0.3">
      <c r="A1768" s="90" t="s">
        <v>4710</v>
      </c>
      <c r="B1768" s="90" t="s">
        <v>1260</v>
      </c>
      <c r="C1768" s="90" t="s">
        <v>1251</v>
      </c>
    </row>
    <row r="1769" spans="1:3" ht="14.4" x14ac:dyDescent="0.3">
      <c r="A1769" s="90" t="s">
        <v>4711</v>
      </c>
      <c r="B1769" s="90" t="s">
        <v>1561</v>
      </c>
      <c r="C1769" s="90" t="s">
        <v>1554</v>
      </c>
    </row>
    <row r="1770" spans="1:3" ht="14.4" x14ac:dyDescent="0.3">
      <c r="A1770" s="90" t="s">
        <v>4712</v>
      </c>
      <c r="B1770" s="90" t="s">
        <v>2078</v>
      </c>
      <c r="C1770" s="90" t="s">
        <v>2066</v>
      </c>
    </row>
    <row r="1771" spans="1:3" ht="14.4" x14ac:dyDescent="0.3">
      <c r="A1771" s="90" t="s">
        <v>4713</v>
      </c>
      <c r="B1771" s="90" t="s">
        <v>1304</v>
      </c>
      <c r="C1771" s="90" t="s">
        <v>1292</v>
      </c>
    </row>
    <row r="1772" spans="1:3" ht="14.4" x14ac:dyDescent="0.3">
      <c r="A1772" s="90" t="s">
        <v>4714</v>
      </c>
      <c r="B1772" s="90" t="s">
        <v>2912</v>
      </c>
      <c r="C1772" s="90" t="s">
        <v>2904</v>
      </c>
    </row>
    <row r="1773" spans="1:3" ht="14.4" x14ac:dyDescent="0.3">
      <c r="A1773" s="90" t="s">
        <v>4715</v>
      </c>
      <c r="B1773" s="90" t="s">
        <v>2911</v>
      </c>
      <c r="C1773" s="90" t="s">
        <v>2904</v>
      </c>
    </row>
    <row r="1774" spans="1:3" ht="14.4" x14ac:dyDescent="0.3">
      <c r="A1774" s="90" t="s">
        <v>4716</v>
      </c>
      <c r="B1774" s="90" t="s">
        <v>564</v>
      </c>
      <c r="C1774" s="90" t="s">
        <v>449</v>
      </c>
    </row>
    <row r="1775" spans="1:3" ht="14.4" x14ac:dyDescent="0.3">
      <c r="A1775" s="90" t="s">
        <v>4717</v>
      </c>
      <c r="B1775" s="90" t="s">
        <v>1214</v>
      </c>
      <c r="C1775" s="90" t="s">
        <v>1208</v>
      </c>
    </row>
    <row r="1776" spans="1:3" ht="14.4" x14ac:dyDescent="0.3">
      <c r="A1776" s="90" t="s">
        <v>4718</v>
      </c>
      <c r="B1776" s="90" t="s">
        <v>353</v>
      </c>
      <c r="C1776" s="90" t="s">
        <v>203</v>
      </c>
    </row>
    <row r="1777" spans="1:3" ht="14.4" x14ac:dyDescent="0.3">
      <c r="A1777" s="90" t="s">
        <v>4719</v>
      </c>
      <c r="B1777" s="90" t="s">
        <v>565</v>
      </c>
      <c r="C1777" s="90" t="s">
        <v>449</v>
      </c>
    </row>
    <row r="1778" spans="1:3" ht="14.4" x14ac:dyDescent="0.3">
      <c r="A1778" s="90" t="s">
        <v>4720</v>
      </c>
      <c r="B1778" s="90" t="s">
        <v>1324</v>
      </c>
      <c r="C1778" s="90" t="s">
        <v>1313</v>
      </c>
    </row>
    <row r="1779" spans="1:3" ht="14.4" x14ac:dyDescent="0.3">
      <c r="A1779" s="90" t="s">
        <v>4721</v>
      </c>
      <c r="B1779" s="90" t="s">
        <v>467</v>
      </c>
      <c r="C1779" s="90" t="s">
        <v>449</v>
      </c>
    </row>
    <row r="1780" spans="1:3" ht="14.4" x14ac:dyDescent="0.3">
      <c r="A1780" s="90" t="s">
        <v>4722</v>
      </c>
      <c r="B1780" s="90" t="s">
        <v>1533</v>
      </c>
      <c r="C1780" s="90" t="s">
        <v>1513</v>
      </c>
    </row>
    <row r="1781" spans="1:3" ht="14.4" x14ac:dyDescent="0.3">
      <c r="A1781" s="90" t="s">
        <v>4723</v>
      </c>
      <c r="B1781" s="90" t="s">
        <v>724</v>
      </c>
      <c r="C1781" s="90" t="s">
        <v>675</v>
      </c>
    </row>
    <row r="1782" spans="1:3" ht="14.4" x14ac:dyDescent="0.3">
      <c r="A1782" s="90" t="s">
        <v>4724</v>
      </c>
      <c r="B1782" s="90" t="s">
        <v>2024</v>
      </c>
      <c r="C1782" s="90" t="s">
        <v>2015</v>
      </c>
    </row>
    <row r="1783" spans="1:3" ht="14.4" x14ac:dyDescent="0.3">
      <c r="A1783" s="90" t="s">
        <v>4725</v>
      </c>
      <c r="B1783" s="90" t="s">
        <v>1426</v>
      </c>
      <c r="C1783" s="90" t="s">
        <v>1392</v>
      </c>
    </row>
    <row r="1784" spans="1:3" ht="14.4" x14ac:dyDescent="0.3">
      <c r="A1784" s="90" t="s">
        <v>4726</v>
      </c>
      <c r="B1784" s="90" t="s">
        <v>2480</v>
      </c>
      <c r="C1784" s="90" t="s">
        <v>2468</v>
      </c>
    </row>
    <row r="1785" spans="1:3" ht="14.4" x14ac:dyDescent="0.3">
      <c r="A1785" s="90" t="s">
        <v>4727</v>
      </c>
      <c r="B1785" s="90" t="s">
        <v>2824</v>
      </c>
      <c r="C1785" s="90" t="s">
        <v>2819</v>
      </c>
    </row>
    <row r="1786" spans="1:3" ht="14.4" x14ac:dyDescent="0.3">
      <c r="A1786" s="90" t="s">
        <v>4728</v>
      </c>
      <c r="B1786" s="90" t="s">
        <v>891</v>
      </c>
      <c r="C1786" s="90" t="s">
        <v>874</v>
      </c>
    </row>
    <row r="1787" spans="1:3" ht="14.4" x14ac:dyDescent="0.3">
      <c r="A1787" s="90" t="s">
        <v>4729</v>
      </c>
      <c r="B1787" s="90" t="s">
        <v>2200</v>
      </c>
      <c r="C1787" s="90" t="s">
        <v>2182</v>
      </c>
    </row>
    <row r="1788" spans="1:3" ht="14.4" x14ac:dyDescent="0.3">
      <c r="A1788" s="90" t="s">
        <v>4730</v>
      </c>
      <c r="B1788" s="90" t="s">
        <v>34</v>
      </c>
      <c r="C1788" s="90" t="s">
        <v>7</v>
      </c>
    </row>
    <row r="1789" spans="1:3" ht="14.4" x14ac:dyDescent="0.3">
      <c r="A1789" s="90" t="s">
        <v>4731</v>
      </c>
      <c r="B1789" s="90" t="s">
        <v>1820</v>
      </c>
      <c r="C1789" s="90" t="s">
        <v>1800</v>
      </c>
    </row>
    <row r="1790" spans="1:3" ht="14.4" x14ac:dyDescent="0.3">
      <c r="A1790" s="90" t="s">
        <v>4732</v>
      </c>
      <c r="B1790" s="90" t="s">
        <v>2383</v>
      </c>
      <c r="C1790" s="90" t="s">
        <v>2365</v>
      </c>
    </row>
    <row r="1791" spans="1:3" ht="14.4" x14ac:dyDescent="0.3">
      <c r="A1791" s="90" t="s">
        <v>4733</v>
      </c>
      <c r="B1791" s="90" t="s">
        <v>2572</v>
      </c>
      <c r="C1791" s="90" t="s">
        <v>2489</v>
      </c>
    </row>
    <row r="1792" spans="1:3" ht="14.4" x14ac:dyDescent="0.3">
      <c r="A1792" s="90" t="s">
        <v>4734</v>
      </c>
      <c r="B1792" s="90" t="s">
        <v>1923</v>
      </c>
      <c r="C1792" s="90" t="s">
        <v>1919</v>
      </c>
    </row>
    <row r="1793" spans="1:3" ht="14.4" x14ac:dyDescent="0.3">
      <c r="A1793" s="90" t="s">
        <v>4735</v>
      </c>
      <c r="B1793" s="90" t="s">
        <v>33</v>
      </c>
      <c r="C1793" s="90" t="s">
        <v>7</v>
      </c>
    </row>
    <row r="1794" spans="1:3" ht="14.4" x14ac:dyDescent="0.3">
      <c r="A1794" s="90" t="s">
        <v>4736</v>
      </c>
      <c r="B1794" s="90" t="s">
        <v>998</v>
      </c>
      <c r="C1794" s="90" t="s">
        <v>972</v>
      </c>
    </row>
    <row r="1795" spans="1:3" ht="14.4" x14ac:dyDescent="0.3">
      <c r="A1795" s="90" t="s">
        <v>4737</v>
      </c>
      <c r="B1795" s="90" t="s">
        <v>2453</v>
      </c>
      <c r="C1795" s="90" t="s">
        <v>2421</v>
      </c>
    </row>
    <row r="1796" spans="1:3" ht="14.4" x14ac:dyDescent="0.3">
      <c r="A1796" s="90" t="s">
        <v>4738</v>
      </c>
      <c r="B1796" s="90" t="s">
        <v>1822</v>
      </c>
      <c r="C1796" s="90" t="s">
        <v>1800</v>
      </c>
    </row>
    <row r="1797" spans="1:3" ht="14.4" x14ac:dyDescent="0.3">
      <c r="A1797" s="90" t="s">
        <v>4739</v>
      </c>
      <c r="B1797" s="90" t="s">
        <v>945</v>
      </c>
      <c r="C1797" s="90" t="s">
        <v>916</v>
      </c>
    </row>
    <row r="1798" spans="1:3" ht="14.4" x14ac:dyDescent="0.3">
      <c r="A1798" s="90" t="s">
        <v>4740</v>
      </c>
      <c r="B1798" s="90" t="s">
        <v>2145</v>
      </c>
      <c r="C1798" s="90" t="s">
        <v>2124</v>
      </c>
    </row>
    <row r="1799" spans="1:3" ht="14.4" x14ac:dyDescent="0.3">
      <c r="A1799" s="90" t="s">
        <v>4741</v>
      </c>
      <c r="B1799" s="90" t="s">
        <v>2869</v>
      </c>
      <c r="C1799" s="90" t="s">
        <v>2866</v>
      </c>
    </row>
    <row r="1800" spans="1:3" ht="14.4" x14ac:dyDescent="0.3">
      <c r="A1800" s="90" t="s">
        <v>4742</v>
      </c>
      <c r="B1800" s="90" t="s">
        <v>358</v>
      </c>
      <c r="C1800" s="90" t="s">
        <v>203</v>
      </c>
    </row>
    <row r="1801" spans="1:3" ht="14.4" x14ac:dyDescent="0.3">
      <c r="A1801" s="90" t="s">
        <v>4743</v>
      </c>
      <c r="B1801" s="90" t="s">
        <v>2160</v>
      </c>
      <c r="C1801" s="90" t="s">
        <v>2153</v>
      </c>
    </row>
    <row r="1802" spans="1:3" ht="14.4" x14ac:dyDescent="0.3">
      <c r="A1802" s="90" t="s">
        <v>4744</v>
      </c>
      <c r="B1802" s="90" t="s">
        <v>2116</v>
      </c>
      <c r="C1802" s="90" t="s">
        <v>2106</v>
      </c>
    </row>
    <row r="1803" spans="1:3" ht="14.4" x14ac:dyDescent="0.3">
      <c r="A1803" s="90" t="s">
        <v>4745</v>
      </c>
      <c r="B1803" s="90" t="s">
        <v>1974</v>
      </c>
      <c r="C1803" s="90" t="s">
        <v>1966</v>
      </c>
    </row>
    <row r="1804" spans="1:3" ht="14.4" x14ac:dyDescent="0.3">
      <c r="A1804" s="90" t="s">
        <v>4746</v>
      </c>
      <c r="B1804" s="90" t="s">
        <v>1350</v>
      </c>
      <c r="C1804" s="90" t="s">
        <v>1338</v>
      </c>
    </row>
    <row r="1805" spans="1:3" ht="14.4" x14ac:dyDescent="0.3">
      <c r="A1805" s="90" t="s">
        <v>4747</v>
      </c>
      <c r="B1805" s="90" t="s">
        <v>2677</v>
      </c>
      <c r="C1805" s="90" t="s">
        <v>2669</v>
      </c>
    </row>
    <row r="1806" spans="1:3" ht="14.4" x14ac:dyDescent="0.3">
      <c r="A1806" s="90" t="s">
        <v>4748</v>
      </c>
      <c r="B1806" s="90" t="s">
        <v>715</v>
      </c>
      <c r="C1806" s="90" t="s">
        <v>675</v>
      </c>
    </row>
    <row r="1807" spans="1:3" ht="14.4" x14ac:dyDescent="0.3">
      <c r="A1807" s="90" t="s">
        <v>4749</v>
      </c>
      <c r="B1807" s="90" t="s">
        <v>723</v>
      </c>
      <c r="C1807" s="90" t="s">
        <v>675</v>
      </c>
    </row>
    <row r="1808" spans="1:3" ht="14.4" x14ac:dyDescent="0.3">
      <c r="A1808" s="90" t="s">
        <v>4750</v>
      </c>
      <c r="B1808" s="90" t="s">
        <v>563</v>
      </c>
      <c r="C1808" s="90" t="s">
        <v>449</v>
      </c>
    </row>
    <row r="1809" spans="1:3" ht="14.4" x14ac:dyDescent="0.3">
      <c r="A1809" s="90" t="s">
        <v>4751</v>
      </c>
      <c r="B1809" s="90" t="s">
        <v>905</v>
      </c>
      <c r="C1809" s="90" t="s">
        <v>903</v>
      </c>
    </row>
    <row r="1810" spans="1:3" ht="14.4" x14ac:dyDescent="0.3">
      <c r="A1810" s="90" t="s">
        <v>4752</v>
      </c>
      <c r="B1810" s="90" t="s">
        <v>2495</v>
      </c>
      <c r="C1810" s="90" t="s">
        <v>2489</v>
      </c>
    </row>
    <row r="1811" spans="1:3" ht="14.4" x14ac:dyDescent="0.3">
      <c r="A1811" s="90" t="s">
        <v>4753</v>
      </c>
      <c r="B1811" s="90" t="s">
        <v>828</v>
      </c>
      <c r="C1811" s="90" t="s">
        <v>800</v>
      </c>
    </row>
    <row r="1812" spans="1:3" ht="14.4" x14ac:dyDescent="0.3">
      <c r="A1812" s="90" t="s">
        <v>4754</v>
      </c>
      <c r="B1812" s="90" t="s">
        <v>545</v>
      </c>
      <c r="C1812" s="90" t="s">
        <v>449</v>
      </c>
    </row>
    <row r="1813" spans="1:3" ht="14.4" x14ac:dyDescent="0.3">
      <c r="A1813" s="90" t="s">
        <v>4755</v>
      </c>
      <c r="B1813" s="90" t="s">
        <v>2615</v>
      </c>
      <c r="C1813" s="90" t="s">
        <v>2589</v>
      </c>
    </row>
    <row r="1814" spans="1:3" ht="14.4" x14ac:dyDescent="0.3">
      <c r="A1814" s="90" t="s">
        <v>4756</v>
      </c>
      <c r="B1814" s="90" t="s">
        <v>944</v>
      </c>
      <c r="C1814" s="90" t="s">
        <v>916</v>
      </c>
    </row>
    <row r="1815" spans="1:3" ht="14.4" x14ac:dyDescent="0.3">
      <c r="A1815" s="90" t="s">
        <v>4757</v>
      </c>
      <c r="B1815" s="90" t="s">
        <v>1937</v>
      </c>
      <c r="C1815" s="90" t="s">
        <v>1933</v>
      </c>
    </row>
    <row r="1816" spans="1:3" ht="14.4" x14ac:dyDescent="0.3">
      <c r="A1816" s="90" t="s">
        <v>4758</v>
      </c>
      <c r="B1816" s="90" t="s">
        <v>137</v>
      </c>
      <c r="C1816" s="90" t="s">
        <v>116</v>
      </c>
    </row>
    <row r="1817" spans="1:3" ht="14.4" x14ac:dyDescent="0.3">
      <c r="A1817" s="90" t="s">
        <v>4759</v>
      </c>
      <c r="B1817" s="90" t="s">
        <v>2496</v>
      </c>
      <c r="C1817" s="90" t="s">
        <v>2489</v>
      </c>
    </row>
    <row r="1818" spans="1:3" ht="14.4" x14ac:dyDescent="0.3">
      <c r="A1818" s="90" t="s">
        <v>4760</v>
      </c>
      <c r="B1818" s="90" t="s">
        <v>2759</v>
      </c>
      <c r="C1818" s="90" t="s">
        <v>2754</v>
      </c>
    </row>
    <row r="1819" spans="1:3" ht="14.4" x14ac:dyDescent="0.3">
      <c r="A1819" s="90" t="s">
        <v>4761</v>
      </c>
      <c r="B1819" s="90" t="s">
        <v>1307</v>
      </c>
      <c r="C1819" s="90" t="s">
        <v>1292</v>
      </c>
    </row>
    <row r="1820" spans="1:3" ht="14.4" x14ac:dyDescent="0.3">
      <c r="A1820" s="90" t="s">
        <v>4762</v>
      </c>
      <c r="B1820" s="90" t="s">
        <v>1890</v>
      </c>
      <c r="C1820" s="90" t="s">
        <v>1863</v>
      </c>
    </row>
    <row r="1821" spans="1:3" ht="14.4" x14ac:dyDescent="0.3">
      <c r="A1821" s="90" t="s">
        <v>4763</v>
      </c>
      <c r="B1821" s="90" t="s">
        <v>1661</v>
      </c>
      <c r="C1821" s="90" t="s">
        <v>1631</v>
      </c>
    </row>
    <row r="1822" spans="1:3" ht="14.4" x14ac:dyDescent="0.3">
      <c r="A1822" s="90" t="s">
        <v>4764</v>
      </c>
      <c r="B1822" s="90" t="s">
        <v>567</v>
      </c>
      <c r="C1822" s="90" t="s">
        <v>449</v>
      </c>
    </row>
    <row r="1823" spans="1:3" ht="14.4" x14ac:dyDescent="0.3">
      <c r="A1823" s="90" t="s">
        <v>4765</v>
      </c>
      <c r="B1823" s="90" t="s">
        <v>1706</v>
      </c>
      <c r="C1823" s="90" t="s">
        <v>1681</v>
      </c>
    </row>
    <row r="1824" spans="1:3" ht="14.4" x14ac:dyDescent="0.3">
      <c r="A1824" s="90" t="s">
        <v>4766</v>
      </c>
      <c r="B1824" s="90" t="s">
        <v>2455</v>
      </c>
      <c r="C1824" s="90" t="s">
        <v>2421</v>
      </c>
    </row>
    <row r="1825" spans="1:3" ht="14.4" x14ac:dyDescent="0.3">
      <c r="A1825" s="90" t="s">
        <v>4767</v>
      </c>
      <c r="B1825" s="90" t="s">
        <v>2454</v>
      </c>
      <c r="C1825" s="90" t="s">
        <v>2421</v>
      </c>
    </row>
    <row r="1826" spans="1:3" ht="14.4" x14ac:dyDescent="0.3">
      <c r="A1826" s="90" t="s">
        <v>4768</v>
      </c>
      <c r="B1826" s="90" t="s">
        <v>1166</v>
      </c>
      <c r="C1826" s="90" t="s">
        <v>1147</v>
      </c>
    </row>
    <row r="1827" spans="1:3" ht="14.4" x14ac:dyDescent="0.3">
      <c r="A1827" s="90" t="s">
        <v>4769</v>
      </c>
      <c r="B1827" s="90" t="s">
        <v>2249</v>
      </c>
      <c r="C1827" s="90" t="s">
        <v>2234</v>
      </c>
    </row>
    <row r="1828" spans="1:3" ht="14.4" x14ac:dyDescent="0.3">
      <c r="A1828" s="90" t="s">
        <v>4770</v>
      </c>
      <c r="B1828" s="90" t="s">
        <v>1660</v>
      </c>
      <c r="C1828" s="90" t="s">
        <v>1631</v>
      </c>
    </row>
    <row r="1829" spans="1:3" ht="14.4" x14ac:dyDescent="0.3">
      <c r="A1829" s="90" t="s">
        <v>4771</v>
      </c>
      <c r="B1829" s="90" t="s">
        <v>939</v>
      </c>
      <c r="C1829" s="90" t="s">
        <v>916</v>
      </c>
    </row>
    <row r="1830" spans="1:3" ht="14.4" x14ac:dyDescent="0.3">
      <c r="A1830" s="90" t="s">
        <v>4772</v>
      </c>
      <c r="B1830" s="90" t="s">
        <v>2355</v>
      </c>
      <c r="C1830" s="90" t="s">
        <v>2328</v>
      </c>
    </row>
    <row r="1831" spans="1:3" ht="14.4" x14ac:dyDescent="0.3">
      <c r="A1831" s="90" t="s">
        <v>4773</v>
      </c>
      <c r="B1831" s="90" t="s">
        <v>2861</v>
      </c>
      <c r="C1831" s="90" t="s">
        <v>2852</v>
      </c>
    </row>
    <row r="1832" spans="1:3" ht="14.4" x14ac:dyDescent="0.3">
      <c r="A1832" s="90" t="s">
        <v>4774</v>
      </c>
      <c r="B1832" s="90" t="s">
        <v>2252</v>
      </c>
      <c r="C1832" s="90" t="s">
        <v>2234</v>
      </c>
    </row>
    <row r="1833" spans="1:3" ht="14.4" x14ac:dyDescent="0.3">
      <c r="A1833" s="90" t="s">
        <v>4775</v>
      </c>
      <c r="B1833" s="90" t="s">
        <v>1306</v>
      </c>
      <c r="C1833" s="90" t="s">
        <v>1292</v>
      </c>
    </row>
    <row r="1834" spans="1:3" ht="14.4" x14ac:dyDescent="0.3">
      <c r="A1834" s="90" t="s">
        <v>4776</v>
      </c>
      <c r="B1834" s="90" t="s">
        <v>1387</v>
      </c>
      <c r="C1834" s="90" t="s">
        <v>1375</v>
      </c>
    </row>
    <row r="1835" spans="1:3" ht="14.4" x14ac:dyDescent="0.3">
      <c r="A1835" s="90" t="s">
        <v>4777</v>
      </c>
      <c r="B1835" s="90" t="s">
        <v>2913</v>
      </c>
      <c r="C1835" s="90" t="s">
        <v>2904</v>
      </c>
    </row>
    <row r="1836" spans="1:3" ht="14.4" x14ac:dyDescent="0.3">
      <c r="A1836" s="90" t="s">
        <v>4778</v>
      </c>
      <c r="B1836" s="90" t="s">
        <v>621</v>
      </c>
      <c r="C1836" s="90" t="s">
        <v>613</v>
      </c>
    </row>
    <row r="1837" spans="1:3" ht="14.4" x14ac:dyDescent="0.3">
      <c r="A1837" s="90" t="s">
        <v>4779</v>
      </c>
      <c r="B1837" s="90" t="s">
        <v>620</v>
      </c>
      <c r="C1837" s="90" t="s">
        <v>613</v>
      </c>
    </row>
    <row r="1838" spans="1:3" ht="14.4" x14ac:dyDescent="0.3">
      <c r="A1838" s="90" t="s">
        <v>4780</v>
      </c>
      <c r="B1838" s="90" t="s">
        <v>654</v>
      </c>
      <c r="C1838" s="90" t="s">
        <v>627</v>
      </c>
    </row>
    <row r="1839" spans="1:3" ht="14.4" x14ac:dyDescent="0.3">
      <c r="A1839" s="90" t="s">
        <v>4781</v>
      </c>
      <c r="B1839" s="90" t="s">
        <v>2176</v>
      </c>
      <c r="C1839" s="90" t="s">
        <v>2153</v>
      </c>
    </row>
    <row r="1840" spans="1:3" ht="14.4" x14ac:dyDescent="0.3">
      <c r="A1840" s="90" t="s">
        <v>4782</v>
      </c>
      <c r="B1840" s="90" t="s">
        <v>622</v>
      </c>
      <c r="C1840" s="90" t="s">
        <v>613</v>
      </c>
    </row>
    <row r="1841" spans="1:3" ht="14.4" x14ac:dyDescent="0.3">
      <c r="A1841" s="90" t="s">
        <v>4783</v>
      </c>
      <c r="B1841" s="90" t="s">
        <v>1707</v>
      </c>
      <c r="C1841" s="90" t="s">
        <v>1681</v>
      </c>
    </row>
    <row r="1842" spans="1:3" ht="14.4" x14ac:dyDescent="0.3">
      <c r="A1842" s="90" t="s">
        <v>4784</v>
      </c>
      <c r="B1842" s="90" t="s">
        <v>2354</v>
      </c>
      <c r="C1842" s="90" t="s">
        <v>2328</v>
      </c>
    </row>
    <row r="1843" spans="1:3" ht="14.4" x14ac:dyDescent="0.3">
      <c r="A1843" s="90" t="s">
        <v>4785</v>
      </c>
      <c r="B1843" s="90" t="s">
        <v>2892</v>
      </c>
      <c r="C1843" s="90" t="s">
        <v>2874</v>
      </c>
    </row>
    <row r="1844" spans="1:3" ht="14.4" x14ac:dyDescent="0.3">
      <c r="A1844" s="90" t="s">
        <v>4786</v>
      </c>
      <c r="B1844" s="90" t="s">
        <v>2175</v>
      </c>
      <c r="C1844" s="90" t="s">
        <v>2153</v>
      </c>
    </row>
    <row r="1845" spans="1:3" ht="14.4" x14ac:dyDescent="0.3">
      <c r="A1845" s="90" t="s">
        <v>4787</v>
      </c>
      <c r="B1845" s="90" t="s">
        <v>2258</v>
      </c>
      <c r="C1845" s="90" t="s">
        <v>2257</v>
      </c>
    </row>
    <row r="1846" spans="1:3" ht="14.4" x14ac:dyDescent="0.3">
      <c r="A1846" s="90" t="s">
        <v>4788</v>
      </c>
      <c r="B1846" s="90" t="s">
        <v>1961</v>
      </c>
      <c r="C1846" s="90" t="s">
        <v>1955</v>
      </c>
    </row>
    <row r="1847" spans="1:3" ht="14.4" x14ac:dyDescent="0.3">
      <c r="A1847" s="90" t="s">
        <v>4789</v>
      </c>
      <c r="B1847" s="90" t="s">
        <v>2203</v>
      </c>
      <c r="C1847" s="90" t="s">
        <v>2182</v>
      </c>
    </row>
    <row r="1848" spans="1:3" ht="14.4" x14ac:dyDescent="0.3">
      <c r="A1848" s="90" t="s">
        <v>4790</v>
      </c>
      <c r="B1848" s="90" t="s">
        <v>14</v>
      </c>
      <c r="C1848" s="90" t="s">
        <v>7</v>
      </c>
    </row>
    <row r="1849" spans="1:3" ht="14.4" x14ac:dyDescent="0.3">
      <c r="A1849" s="90" t="s">
        <v>4791</v>
      </c>
      <c r="B1849" s="90" t="s">
        <v>1751</v>
      </c>
      <c r="C1849" s="90" t="s">
        <v>1741</v>
      </c>
    </row>
    <row r="1850" spans="1:3" ht="14.4" x14ac:dyDescent="0.3">
      <c r="A1850" s="90" t="s">
        <v>4792</v>
      </c>
      <c r="B1850" s="90" t="s">
        <v>1462</v>
      </c>
      <c r="C1850" s="90" t="s">
        <v>1451</v>
      </c>
    </row>
    <row r="1851" spans="1:3" ht="14.4" x14ac:dyDescent="0.3">
      <c r="A1851" s="90" t="s">
        <v>4793</v>
      </c>
      <c r="B1851" s="90" t="s">
        <v>1662</v>
      </c>
      <c r="C1851" s="90" t="s">
        <v>1631</v>
      </c>
    </row>
    <row r="1852" spans="1:3" ht="14.4" x14ac:dyDescent="0.3">
      <c r="A1852" s="90" t="s">
        <v>4794</v>
      </c>
      <c r="B1852" s="90" t="s">
        <v>651</v>
      </c>
      <c r="C1852" s="90" t="s">
        <v>627</v>
      </c>
    </row>
    <row r="1853" spans="1:3" ht="14.4" x14ac:dyDescent="0.3">
      <c r="A1853" s="90" t="s">
        <v>4795</v>
      </c>
      <c r="B1853" s="90" t="s">
        <v>2356</v>
      </c>
      <c r="C1853" s="90" t="s">
        <v>2328</v>
      </c>
    </row>
    <row r="1854" spans="1:3" ht="14.4" x14ac:dyDescent="0.3">
      <c r="A1854" s="90" t="s">
        <v>4796</v>
      </c>
      <c r="B1854" s="90" t="s">
        <v>2456</v>
      </c>
      <c r="C1854" s="90" t="s">
        <v>2421</v>
      </c>
    </row>
    <row r="1855" spans="1:3" ht="14.4" x14ac:dyDescent="0.3">
      <c r="A1855" s="90" t="s">
        <v>4797</v>
      </c>
      <c r="B1855" s="90" t="s">
        <v>2678</v>
      </c>
      <c r="C1855" s="90" t="s">
        <v>2669</v>
      </c>
    </row>
    <row r="1856" spans="1:3" ht="14.4" x14ac:dyDescent="0.3">
      <c r="A1856" s="90" t="s">
        <v>4798</v>
      </c>
      <c r="B1856" s="90" t="s">
        <v>568</v>
      </c>
      <c r="C1856" s="90" t="s">
        <v>449</v>
      </c>
    </row>
    <row r="1857" spans="1:3" ht="14.4" x14ac:dyDescent="0.3">
      <c r="A1857" s="90" t="s">
        <v>4799</v>
      </c>
      <c r="B1857" s="90" t="s">
        <v>2653</v>
      </c>
      <c r="C1857" s="90" t="s">
        <v>2633</v>
      </c>
    </row>
    <row r="1858" spans="1:3" ht="14.4" x14ac:dyDescent="0.3">
      <c r="A1858" s="90" t="s">
        <v>4800</v>
      </c>
      <c r="B1858" s="90" t="s">
        <v>2845</v>
      </c>
      <c r="C1858" s="90" t="s">
        <v>2839</v>
      </c>
    </row>
    <row r="1859" spans="1:3" ht="14.4" x14ac:dyDescent="0.3">
      <c r="A1859" s="90" t="s">
        <v>4801</v>
      </c>
      <c r="B1859" s="90" t="s">
        <v>2719</v>
      </c>
      <c r="C1859" s="90" t="s">
        <v>2683</v>
      </c>
    </row>
    <row r="1860" spans="1:3" ht="14.4" x14ac:dyDescent="0.3">
      <c r="A1860" s="90" t="s">
        <v>4802</v>
      </c>
      <c r="B1860" s="90" t="s">
        <v>2131</v>
      </c>
      <c r="C1860" s="90" t="s">
        <v>2124</v>
      </c>
    </row>
    <row r="1861" spans="1:3" ht="14.4" x14ac:dyDescent="0.3">
      <c r="A1861" s="90" t="s">
        <v>4803</v>
      </c>
      <c r="B1861" s="90" t="s">
        <v>359</v>
      </c>
      <c r="C1861" s="90" t="s">
        <v>203</v>
      </c>
    </row>
    <row r="1862" spans="1:3" ht="14.4" x14ac:dyDescent="0.3">
      <c r="A1862" s="90" t="s">
        <v>4804</v>
      </c>
      <c r="B1862" s="90" t="s">
        <v>1663</v>
      </c>
      <c r="C1862" s="90" t="s">
        <v>1631</v>
      </c>
    </row>
    <row r="1863" spans="1:3" ht="14.4" x14ac:dyDescent="0.3">
      <c r="A1863" s="90" t="s">
        <v>4805</v>
      </c>
      <c r="B1863" s="90" t="s">
        <v>1017</v>
      </c>
      <c r="C1863" s="90" t="s">
        <v>972</v>
      </c>
    </row>
    <row r="1864" spans="1:3" ht="14.4" x14ac:dyDescent="0.3">
      <c r="A1864" s="90" t="s">
        <v>4806</v>
      </c>
      <c r="B1864" s="90" t="s">
        <v>2893</v>
      </c>
      <c r="C1864" s="90" t="s">
        <v>2874</v>
      </c>
    </row>
    <row r="1865" spans="1:3" ht="14.4" x14ac:dyDescent="0.3">
      <c r="A1865" s="90" t="s">
        <v>4807</v>
      </c>
      <c r="B1865" s="90" t="s">
        <v>2914</v>
      </c>
      <c r="C1865" s="90" t="s">
        <v>2904</v>
      </c>
    </row>
    <row r="1866" spans="1:3" ht="14.4" x14ac:dyDescent="0.3">
      <c r="A1866" s="90" t="s">
        <v>4808</v>
      </c>
      <c r="B1866" s="90" t="s">
        <v>2079</v>
      </c>
      <c r="C1866" s="90" t="s">
        <v>2066</v>
      </c>
    </row>
    <row r="1867" spans="1:3" ht="14.4" x14ac:dyDescent="0.3">
      <c r="A1867" s="90" t="s">
        <v>4809</v>
      </c>
      <c r="B1867" s="90" t="s">
        <v>1914</v>
      </c>
      <c r="C1867" s="90" t="s">
        <v>1901</v>
      </c>
    </row>
    <row r="1868" spans="1:3" ht="14.4" x14ac:dyDescent="0.3">
      <c r="A1868" s="90" t="s">
        <v>4810</v>
      </c>
      <c r="B1868" s="90" t="s">
        <v>1824</v>
      </c>
      <c r="C1868" s="90" t="s">
        <v>1800</v>
      </c>
    </row>
    <row r="1869" spans="1:3" ht="14.4" x14ac:dyDescent="0.3">
      <c r="A1869" s="90" t="s">
        <v>4811</v>
      </c>
      <c r="B1869" s="90" t="s">
        <v>1825</v>
      </c>
      <c r="C1869" s="90" t="s">
        <v>1800</v>
      </c>
    </row>
    <row r="1870" spans="1:3" ht="14.4" x14ac:dyDescent="0.3">
      <c r="A1870" s="90" t="s">
        <v>4812</v>
      </c>
      <c r="B1870" s="90" t="s">
        <v>1845</v>
      </c>
      <c r="C1870" s="90" t="s">
        <v>1840</v>
      </c>
    </row>
    <row r="1871" spans="1:3" ht="14.4" x14ac:dyDescent="0.3">
      <c r="A1871" s="90" t="s">
        <v>4813</v>
      </c>
      <c r="B1871" s="90" t="s">
        <v>227</v>
      </c>
      <c r="C1871" s="90" t="s">
        <v>203</v>
      </c>
    </row>
    <row r="1872" spans="1:3" ht="14.4" x14ac:dyDescent="0.3">
      <c r="A1872" s="90" t="s">
        <v>4814</v>
      </c>
      <c r="B1872" s="90" t="s">
        <v>360</v>
      </c>
      <c r="C1872" s="90" t="s">
        <v>203</v>
      </c>
    </row>
    <row r="1873" spans="1:3" ht="14.4" x14ac:dyDescent="0.3">
      <c r="A1873" s="90" t="s">
        <v>4815</v>
      </c>
      <c r="B1873" s="90" t="s">
        <v>2414</v>
      </c>
      <c r="C1873" s="90" t="s">
        <v>2397</v>
      </c>
    </row>
    <row r="1874" spans="1:3" ht="14.4" x14ac:dyDescent="0.3">
      <c r="A1874" s="90" t="s">
        <v>4816</v>
      </c>
      <c r="B1874" s="90" t="s">
        <v>968</v>
      </c>
      <c r="C1874" s="90" t="s">
        <v>961</v>
      </c>
    </row>
    <row r="1875" spans="1:3" ht="14.4" x14ac:dyDescent="0.3">
      <c r="A1875" s="90" t="s">
        <v>4817</v>
      </c>
      <c r="B1875" s="90" t="s">
        <v>2654</v>
      </c>
      <c r="C1875" s="90" t="s">
        <v>2633</v>
      </c>
    </row>
    <row r="1876" spans="1:3" ht="14.4" x14ac:dyDescent="0.3">
      <c r="A1876" s="90" t="s">
        <v>4818</v>
      </c>
      <c r="B1876" s="90" t="s">
        <v>2052</v>
      </c>
      <c r="C1876" s="90" t="s">
        <v>2015</v>
      </c>
    </row>
    <row r="1877" spans="1:3" ht="14.4" x14ac:dyDescent="0.3">
      <c r="A1877" s="90" t="s">
        <v>4819</v>
      </c>
      <c r="B1877" s="90" t="s">
        <v>138</v>
      </c>
      <c r="C1877" s="90" t="s">
        <v>116</v>
      </c>
    </row>
    <row r="1878" spans="1:3" ht="14.4" x14ac:dyDescent="0.3">
      <c r="A1878" s="90" t="s">
        <v>4820</v>
      </c>
      <c r="B1878" s="90" t="s">
        <v>5</v>
      </c>
      <c r="C1878" s="90" t="s">
        <v>4</v>
      </c>
    </row>
    <row r="1879" spans="1:3" ht="14.4" x14ac:dyDescent="0.3">
      <c r="A1879" s="90" t="s">
        <v>4821</v>
      </c>
      <c r="B1879" s="90" t="s">
        <v>1261</v>
      </c>
      <c r="C1879" s="90" t="s">
        <v>1251</v>
      </c>
    </row>
    <row r="1880" spans="1:3" ht="14.4" x14ac:dyDescent="0.3">
      <c r="A1880" s="90" t="s">
        <v>4822</v>
      </c>
      <c r="B1880" s="90" t="s">
        <v>1891</v>
      </c>
      <c r="C1880" s="90" t="s">
        <v>1863</v>
      </c>
    </row>
    <row r="1881" spans="1:3" ht="14.4" x14ac:dyDescent="0.3">
      <c r="A1881" s="90" t="s">
        <v>4823</v>
      </c>
      <c r="B1881" s="90" t="s">
        <v>569</v>
      </c>
      <c r="C1881" s="90" t="s">
        <v>449</v>
      </c>
    </row>
    <row r="1882" spans="1:3" ht="14.4" x14ac:dyDescent="0.3">
      <c r="A1882" s="90" t="s">
        <v>4824</v>
      </c>
      <c r="B1882" s="90" t="s">
        <v>894</v>
      </c>
      <c r="C1882" s="90" t="s">
        <v>874</v>
      </c>
    </row>
    <row r="1883" spans="1:3" ht="14.4" x14ac:dyDescent="0.3">
      <c r="A1883" s="90" t="s">
        <v>4825</v>
      </c>
      <c r="B1883" s="90" t="s">
        <v>1677</v>
      </c>
      <c r="C1883" s="90" t="s">
        <v>1672</v>
      </c>
    </row>
    <row r="1884" spans="1:3" ht="14.4" x14ac:dyDescent="0.3">
      <c r="A1884" s="90" t="s">
        <v>4826</v>
      </c>
      <c r="B1884" s="90" t="s">
        <v>2655</v>
      </c>
      <c r="C1884" s="90" t="s">
        <v>2633</v>
      </c>
    </row>
    <row r="1885" spans="1:3" ht="14.4" x14ac:dyDescent="0.3">
      <c r="A1885" s="90" t="s">
        <v>4827</v>
      </c>
      <c r="B1885" s="90" t="s">
        <v>2457</v>
      </c>
      <c r="C1885" s="90" t="s">
        <v>2421</v>
      </c>
    </row>
    <row r="1886" spans="1:3" ht="14.4" x14ac:dyDescent="0.3">
      <c r="A1886" s="90" t="s">
        <v>4828</v>
      </c>
      <c r="B1886" s="90" t="s">
        <v>361</v>
      </c>
      <c r="C1886" s="90" t="s">
        <v>203</v>
      </c>
    </row>
    <row r="1887" spans="1:3" ht="14.4" x14ac:dyDescent="0.3">
      <c r="A1887" s="90" t="s">
        <v>4829</v>
      </c>
      <c r="B1887" s="90" t="s">
        <v>589</v>
      </c>
      <c r="C1887" s="90" t="s">
        <v>449</v>
      </c>
    </row>
    <row r="1888" spans="1:3" ht="14.4" x14ac:dyDescent="0.3">
      <c r="A1888" s="90" t="s">
        <v>4830</v>
      </c>
      <c r="B1888" s="90" t="s">
        <v>893</v>
      </c>
      <c r="C1888" s="90" t="s">
        <v>874</v>
      </c>
    </row>
    <row r="1889" spans="1:3" ht="14.4" x14ac:dyDescent="0.3">
      <c r="A1889" s="90" t="s">
        <v>4831</v>
      </c>
      <c r="B1889" s="90" t="s">
        <v>920</v>
      </c>
      <c r="C1889" s="90" t="s">
        <v>916</v>
      </c>
    </row>
    <row r="1890" spans="1:3" ht="14.4" x14ac:dyDescent="0.3">
      <c r="A1890" s="90" t="s">
        <v>4832</v>
      </c>
      <c r="B1890" s="90" t="s">
        <v>363</v>
      </c>
      <c r="C1890" s="90" t="s">
        <v>203</v>
      </c>
    </row>
    <row r="1891" spans="1:3" ht="14.4" x14ac:dyDescent="0.3">
      <c r="A1891" s="90" t="s">
        <v>4833</v>
      </c>
      <c r="B1891" s="90" t="s">
        <v>1076</v>
      </c>
      <c r="C1891" s="90" t="s">
        <v>1050</v>
      </c>
    </row>
    <row r="1892" spans="1:3" ht="14.4" x14ac:dyDescent="0.3">
      <c r="A1892" s="90" t="s">
        <v>4834</v>
      </c>
      <c r="B1892" s="90" t="s">
        <v>769</v>
      </c>
      <c r="C1892" s="90" t="s">
        <v>744</v>
      </c>
    </row>
    <row r="1893" spans="1:3" ht="14.4" x14ac:dyDescent="0.3">
      <c r="A1893" s="90" t="s">
        <v>4835</v>
      </c>
      <c r="B1893" s="90" t="s">
        <v>2870</v>
      </c>
      <c r="C1893" s="90" t="s">
        <v>2866</v>
      </c>
    </row>
    <row r="1894" spans="1:3" ht="14.4" x14ac:dyDescent="0.3">
      <c r="A1894" s="90" t="s">
        <v>4836</v>
      </c>
      <c r="B1894" s="90" t="s">
        <v>2793</v>
      </c>
      <c r="C1894" s="90" t="s">
        <v>2767</v>
      </c>
    </row>
    <row r="1895" spans="1:3" ht="14.4" x14ac:dyDescent="0.3">
      <c r="A1895" s="90" t="s">
        <v>4837</v>
      </c>
      <c r="B1895" s="90" t="s">
        <v>2053</v>
      </c>
      <c r="C1895" s="90" t="s">
        <v>2015</v>
      </c>
    </row>
    <row r="1896" spans="1:3" ht="14.4" x14ac:dyDescent="0.3">
      <c r="A1896" s="90" t="s">
        <v>4838</v>
      </c>
      <c r="B1896" s="90" t="s">
        <v>2616</v>
      </c>
      <c r="C1896" s="90" t="s">
        <v>2589</v>
      </c>
    </row>
    <row r="1897" spans="1:3" ht="14.4" x14ac:dyDescent="0.3">
      <c r="A1897" s="90" t="s">
        <v>4839</v>
      </c>
      <c r="B1897" s="90" t="s">
        <v>1372</v>
      </c>
      <c r="C1897" s="90" t="s">
        <v>1363</v>
      </c>
    </row>
    <row r="1898" spans="1:3" ht="14.4" x14ac:dyDescent="0.3">
      <c r="A1898" s="90" t="s">
        <v>4840</v>
      </c>
      <c r="B1898" s="90" t="s">
        <v>364</v>
      </c>
      <c r="C1898" s="90" t="s">
        <v>203</v>
      </c>
    </row>
    <row r="1899" spans="1:3" ht="14.4" x14ac:dyDescent="0.3">
      <c r="A1899" s="90" t="s">
        <v>4841</v>
      </c>
      <c r="B1899" s="90" t="s">
        <v>2692</v>
      </c>
      <c r="C1899" s="90" t="s">
        <v>2683</v>
      </c>
    </row>
    <row r="1900" spans="1:3" ht="14.4" x14ac:dyDescent="0.3">
      <c r="A1900" s="90" t="s">
        <v>4842</v>
      </c>
      <c r="B1900" s="90" t="s">
        <v>2146</v>
      </c>
      <c r="C1900" s="90" t="s">
        <v>2124</v>
      </c>
    </row>
    <row r="1901" spans="1:3" ht="14.4" x14ac:dyDescent="0.3">
      <c r="A1901" s="90" t="s">
        <v>4843</v>
      </c>
      <c r="B1901" s="90" t="s">
        <v>1167</v>
      </c>
      <c r="C1901" s="90" t="s">
        <v>1147</v>
      </c>
    </row>
    <row r="1902" spans="1:3" ht="14.4" x14ac:dyDescent="0.3">
      <c r="A1902" s="90" t="s">
        <v>4844</v>
      </c>
      <c r="B1902" s="90" t="s">
        <v>365</v>
      </c>
      <c r="C1902" s="90" t="s">
        <v>203</v>
      </c>
    </row>
    <row r="1903" spans="1:3" ht="14.4" x14ac:dyDescent="0.3">
      <c r="A1903" s="90" t="s">
        <v>4845</v>
      </c>
      <c r="B1903" s="90" t="s">
        <v>362</v>
      </c>
      <c r="C1903" s="90" t="s">
        <v>203</v>
      </c>
    </row>
    <row r="1904" spans="1:3" ht="14.4" x14ac:dyDescent="0.3">
      <c r="A1904" s="90" t="s">
        <v>4846</v>
      </c>
      <c r="B1904" s="90" t="s">
        <v>2469</v>
      </c>
      <c r="C1904" s="90" t="s">
        <v>2468</v>
      </c>
    </row>
    <row r="1905" spans="1:3" ht="14.4" x14ac:dyDescent="0.3">
      <c r="A1905" s="90" t="s">
        <v>4847</v>
      </c>
      <c r="B1905" s="90" t="s">
        <v>1128</v>
      </c>
      <c r="C1905" s="90" t="s">
        <v>1106</v>
      </c>
    </row>
    <row r="1906" spans="1:3" ht="14.4" x14ac:dyDescent="0.3">
      <c r="A1906" s="90" t="s">
        <v>4848</v>
      </c>
      <c r="B1906" s="90" t="s">
        <v>2835</v>
      </c>
      <c r="C1906" s="90" t="s">
        <v>2831</v>
      </c>
    </row>
    <row r="1907" spans="1:3" ht="14.4" x14ac:dyDescent="0.3">
      <c r="A1907" s="90" t="s">
        <v>4849</v>
      </c>
      <c r="B1907" s="90" t="s">
        <v>2720</v>
      </c>
      <c r="C1907" s="90" t="s">
        <v>2683</v>
      </c>
    </row>
    <row r="1908" spans="1:3" ht="14.4" x14ac:dyDescent="0.3">
      <c r="A1908" s="90" t="s">
        <v>4850</v>
      </c>
      <c r="B1908" s="90" t="s">
        <v>1708</v>
      </c>
      <c r="C1908" s="90" t="s">
        <v>1681</v>
      </c>
    </row>
    <row r="1909" spans="1:3" ht="14.4" x14ac:dyDescent="0.3">
      <c r="A1909" s="90" t="s">
        <v>4851</v>
      </c>
      <c r="B1909" s="90" t="s">
        <v>570</v>
      </c>
      <c r="C1909" s="90" t="s">
        <v>449</v>
      </c>
    </row>
    <row r="1910" spans="1:3" ht="14.4" x14ac:dyDescent="0.3">
      <c r="A1910" s="90" t="s">
        <v>4852</v>
      </c>
      <c r="B1910" s="90" t="s">
        <v>2862</v>
      </c>
      <c r="C1910" s="90" t="s">
        <v>2852</v>
      </c>
    </row>
    <row r="1911" spans="1:3" ht="14.4" x14ac:dyDescent="0.3">
      <c r="A1911" s="90" t="s">
        <v>4853</v>
      </c>
      <c r="B1911" s="90" t="s">
        <v>2054</v>
      </c>
      <c r="C1911" s="90" t="s">
        <v>2015</v>
      </c>
    </row>
    <row r="1912" spans="1:3" ht="14.4" x14ac:dyDescent="0.3">
      <c r="A1912" s="90" t="s">
        <v>4854</v>
      </c>
      <c r="B1912" s="90" t="s">
        <v>948</v>
      </c>
      <c r="C1912" s="90" t="s">
        <v>916</v>
      </c>
    </row>
    <row r="1913" spans="1:3" ht="14.4" x14ac:dyDescent="0.3">
      <c r="A1913" s="90" t="s">
        <v>4855</v>
      </c>
      <c r="B1913" s="90" t="s">
        <v>82</v>
      </c>
      <c r="C1913" s="90" t="s">
        <v>72</v>
      </c>
    </row>
    <row r="1914" spans="1:3" ht="14.4" x14ac:dyDescent="0.3">
      <c r="A1914" s="90" t="s">
        <v>4856</v>
      </c>
      <c r="B1914" s="90" t="s">
        <v>1788</v>
      </c>
      <c r="C1914" s="90" t="s">
        <v>1741</v>
      </c>
    </row>
    <row r="1915" spans="1:3" ht="14.4" x14ac:dyDescent="0.3">
      <c r="A1915" s="90" t="s">
        <v>4857</v>
      </c>
      <c r="B1915" s="90" t="s">
        <v>246</v>
      </c>
      <c r="C1915" s="90" t="s">
        <v>203</v>
      </c>
    </row>
    <row r="1916" spans="1:3" ht="14.4" x14ac:dyDescent="0.3">
      <c r="A1916" s="90" t="s">
        <v>4858</v>
      </c>
      <c r="B1916" s="90" t="s">
        <v>606</v>
      </c>
      <c r="C1916" s="90" t="s">
        <v>604</v>
      </c>
    </row>
    <row r="1917" spans="1:3" ht="14.4" x14ac:dyDescent="0.3">
      <c r="A1917" s="90" t="s">
        <v>4859</v>
      </c>
      <c r="B1917" s="90" t="s">
        <v>949</v>
      </c>
      <c r="C1917" s="90" t="s">
        <v>916</v>
      </c>
    </row>
    <row r="1918" spans="1:3" ht="14.4" x14ac:dyDescent="0.3">
      <c r="A1918" s="90" t="s">
        <v>4860</v>
      </c>
      <c r="B1918" s="90" t="s">
        <v>219</v>
      </c>
      <c r="C1918" s="90" t="s">
        <v>203</v>
      </c>
    </row>
    <row r="1919" spans="1:3" ht="14.4" x14ac:dyDescent="0.3">
      <c r="A1919" s="90" t="s">
        <v>4861</v>
      </c>
      <c r="B1919" s="90" t="s">
        <v>159</v>
      </c>
      <c r="C1919" s="90" t="s">
        <v>151</v>
      </c>
    </row>
    <row r="1920" spans="1:3" ht="14.4" x14ac:dyDescent="0.3">
      <c r="A1920" s="90" t="s">
        <v>4862</v>
      </c>
      <c r="B1920" s="90" t="s">
        <v>2656</v>
      </c>
      <c r="C1920" s="90" t="s">
        <v>2633</v>
      </c>
    </row>
    <row r="1921" spans="1:3" ht="14.4" x14ac:dyDescent="0.3">
      <c r="A1921" s="90" t="s">
        <v>4863</v>
      </c>
      <c r="B1921" s="90" t="s">
        <v>1080</v>
      </c>
      <c r="C1921" s="90" t="s">
        <v>1050</v>
      </c>
    </row>
    <row r="1922" spans="1:3" ht="14.4" x14ac:dyDescent="0.3">
      <c r="A1922" s="90" t="s">
        <v>4864</v>
      </c>
      <c r="B1922" s="90" t="s">
        <v>2554</v>
      </c>
      <c r="C1922" s="90" t="s">
        <v>2489</v>
      </c>
    </row>
    <row r="1923" spans="1:3" ht="14.4" x14ac:dyDescent="0.3">
      <c r="A1923" s="90" t="s">
        <v>4865</v>
      </c>
      <c r="B1923" s="90" t="s">
        <v>1790</v>
      </c>
      <c r="C1923" s="90" t="s">
        <v>1741</v>
      </c>
    </row>
    <row r="1924" spans="1:3" ht="14.4" x14ac:dyDescent="0.3">
      <c r="A1924" s="90" t="s">
        <v>4866</v>
      </c>
      <c r="B1924" s="90" t="s">
        <v>1282</v>
      </c>
      <c r="C1924" s="90" t="s">
        <v>1268</v>
      </c>
    </row>
    <row r="1925" spans="1:3" ht="14.4" x14ac:dyDescent="0.3">
      <c r="A1925" s="90" t="s">
        <v>4867</v>
      </c>
      <c r="B1925" s="90" t="s">
        <v>673</v>
      </c>
      <c r="C1925" s="90" t="s">
        <v>661</v>
      </c>
    </row>
    <row r="1926" spans="1:3" ht="14.4" x14ac:dyDescent="0.3">
      <c r="A1926" s="90" t="s">
        <v>4868</v>
      </c>
      <c r="B1926" s="90" t="s">
        <v>2555</v>
      </c>
      <c r="C1926" s="90" t="s">
        <v>2489</v>
      </c>
    </row>
    <row r="1927" spans="1:3" ht="14.4" x14ac:dyDescent="0.3">
      <c r="A1927" s="90" t="s">
        <v>4869</v>
      </c>
      <c r="B1927" s="90" t="s">
        <v>679</v>
      </c>
      <c r="C1927" s="90" t="s">
        <v>675</v>
      </c>
    </row>
    <row r="1928" spans="1:3" ht="14.4" x14ac:dyDescent="0.3">
      <c r="A1928" s="90" t="s">
        <v>4870</v>
      </c>
      <c r="B1928" s="90" t="s">
        <v>222</v>
      </c>
      <c r="C1928" s="90" t="s">
        <v>203</v>
      </c>
    </row>
    <row r="1929" spans="1:3" ht="14.4" x14ac:dyDescent="0.3">
      <c r="A1929" s="90" t="s">
        <v>4871</v>
      </c>
      <c r="B1929" s="90" t="s">
        <v>373</v>
      </c>
      <c r="C1929" s="90" t="s">
        <v>203</v>
      </c>
    </row>
    <row r="1930" spans="1:3" ht="14.4" x14ac:dyDescent="0.3">
      <c r="A1930" s="90" t="s">
        <v>4872</v>
      </c>
      <c r="B1930" s="90" t="s">
        <v>1856</v>
      </c>
      <c r="C1930" s="90" t="s">
        <v>1848</v>
      </c>
    </row>
    <row r="1931" spans="1:3" ht="14.4" x14ac:dyDescent="0.3">
      <c r="A1931" s="90" t="s">
        <v>4873</v>
      </c>
      <c r="B1931" s="90" t="s">
        <v>1680</v>
      </c>
      <c r="C1931" s="90" t="s">
        <v>1672</v>
      </c>
    </row>
    <row r="1932" spans="1:3" ht="14.4" x14ac:dyDescent="0.3">
      <c r="A1932" s="90" t="s">
        <v>4874</v>
      </c>
      <c r="B1932" s="90" t="s">
        <v>671</v>
      </c>
      <c r="C1932" s="90" t="s">
        <v>661</v>
      </c>
    </row>
    <row r="1933" spans="1:3" ht="14.4" x14ac:dyDescent="0.3">
      <c r="A1933" s="90" t="s">
        <v>4875</v>
      </c>
      <c r="B1933" s="90" t="s">
        <v>369</v>
      </c>
      <c r="C1933" s="90" t="s">
        <v>203</v>
      </c>
    </row>
    <row r="1934" spans="1:3" ht="14.4" x14ac:dyDescent="0.3">
      <c r="A1934" s="90" t="s">
        <v>4876</v>
      </c>
      <c r="B1934" s="90" t="s">
        <v>2308</v>
      </c>
      <c r="C1934" s="90" t="s">
        <v>2275</v>
      </c>
    </row>
    <row r="1935" spans="1:3" ht="14.4" x14ac:dyDescent="0.3">
      <c r="A1935" s="90" t="s">
        <v>4877</v>
      </c>
      <c r="B1935" s="90" t="s">
        <v>576</v>
      </c>
      <c r="C1935" s="90" t="s">
        <v>449</v>
      </c>
    </row>
    <row r="1936" spans="1:3" ht="14.4" x14ac:dyDescent="0.3">
      <c r="A1936" s="90" t="s">
        <v>4878</v>
      </c>
      <c r="B1936" s="90" t="s">
        <v>2836</v>
      </c>
      <c r="C1936" s="90" t="s">
        <v>2831</v>
      </c>
    </row>
    <row r="1937" spans="1:3" ht="14.4" x14ac:dyDescent="0.3">
      <c r="A1937" s="90" t="s">
        <v>4879</v>
      </c>
      <c r="B1937" s="90" t="s">
        <v>366</v>
      </c>
      <c r="C1937" s="90" t="s">
        <v>203</v>
      </c>
    </row>
    <row r="1938" spans="1:3" ht="14.4" x14ac:dyDescent="0.3">
      <c r="A1938" s="90" t="s">
        <v>4880</v>
      </c>
      <c r="B1938" s="90" t="s">
        <v>2894</v>
      </c>
      <c r="C1938" s="90" t="s">
        <v>2874</v>
      </c>
    </row>
    <row r="1939" spans="1:3" ht="14.4" x14ac:dyDescent="0.3">
      <c r="A1939" s="90" t="s">
        <v>4881</v>
      </c>
      <c r="B1939" s="90" t="s">
        <v>2056</v>
      </c>
      <c r="C1939" s="90" t="s">
        <v>2015</v>
      </c>
    </row>
    <row r="1940" spans="1:3" ht="14.4" x14ac:dyDescent="0.3">
      <c r="A1940" s="90" t="s">
        <v>4882</v>
      </c>
      <c r="B1940" s="90" t="s">
        <v>1540</v>
      </c>
      <c r="C1940" s="90" t="s">
        <v>1513</v>
      </c>
    </row>
    <row r="1941" spans="1:3" ht="14.4" x14ac:dyDescent="0.3">
      <c r="A1941" s="90" t="s">
        <v>4883</v>
      </c>
      <c r="B1941" s="90" t="s">
        <v>1077</v>
      </c>
      <c r="C1941" s="90" t="s">
        <v>1050</v>
      </c>
    </row>
    <row r="1942" spans="1:3" ht="14.4" x14ac:dyDescent="0.3">
      <c r="A1942" s="90" t="s">
        <v>4884</v>
      </c>
      <c r="B1942" s="90" t="s">
        <v>2556</v>
      </c>
      <c r="C1942" s="90" t="s">
        <v>2489</v>
      </c>
    </row>
    <row r="1943" spans="1:3" ht="14.4" x14ac:dyDescent="0.3">
      <c r="A1943" s="90" t="s">
        <v>4885</v>
      </c>
      <c r="B1943" s="90" t="s">
        <v>2497</v>
      </c>
      <c r="C1943" s="90" t="s">
        <v>2489</v>
      </c>
    </row>
    <row r="1944" spans="1:3" ht="14.4" x14ac:dyDescent="0.3">
      <c r="A1944" s="90" t="s">
        <v>4886</v>
      </c>
      <c r="B1944" s="90" t="s">
        <v>1752</v>
      </c>
      <c r="C1944" s="90" t="s">
        <v>1741</v>
      </c>
    </row>
    <row r="1945" spans="1:3" ht="14.4" x14ac:dyDescent="0.3">
      <c r="A1945" s="90" t="s">
        <v>4887</v>
      </c>
      <c r="B1945" s="90" t="s">
        <v>1678</v>
      </c>
      <c r="C1945" s="90" t="s">
        <v>1672</v>
      </c>
    </row>
    <row r="1946" spans="1:3" ht="14.4" x14ac:dyDescent="0.3">
      <c r="A1946" s="90" t="s">
        <v>4888</v>
      </c>
      <c r="B1946" s="90" t="s">
        <v>2557</v>
      </c>
      <c r="C1946" s="90" t="s">
        <v>2489</v>
      </c>
    </row>
    <row r="1947" spans="1:3" ht="14.4" x14ac:dyDescent="0.3">
      <c r="A1947" s="90" t="s">
        <v>4889</v>
      </c>
      <c r="B1947" s="90" t="s">
        <v>572</v>
      </c>
      <c r="C1947" s="90" t="s">
        <v>449</v>
      </c>
    </row>
    <row r="1948" spans="1:3" ht="14.4" x14ac:dyDescent="0.3">
      <c r="A1948" s="90" t="s">
        <v>4890</v>
      </c>
      <c r="B1948" s="90" t="s">
        <v>2149</v>
      </c>
      <c r="C1948" s="90" t="s">
        <v>2124</v>
      </c>
    </row>
    <row r="1949" spans="1:3" ht="14.4" x14ac:dyDescent="0.3">
      <c r="A1949" s="90" t="s">
        <v>4891</v>
      </c>
      <c r="B1949" s="90" t="s">
        <v>2794</v>
      </c>
      <c r="C1949" s="90" t="s">
        <v>2767</v>
      </c>
    </row>
    <row r="1950" spans="1:3" ht="14.4" x14ac:dyDescent="0.3">
      <c r="A1950" s="90" t="s">
        <v>4892</v>
      </c>
      <c r="B1950" s="90" t="s">
        <v>1791</v>
      </c>
      <c r="C1950" s="90" t="s">
        <v>1741</v>
      </c>
    </row>
    <row r="1951" spans="1:3" ht="14.4" x14ac:dyDescent="0.3">
      <c r="A1951" s="90" t="s">
        <v>4893</v>
      </c>
      <c r="B1951" s="90" t="s">
        <v>2101</v>
      </c>
      <c r="C1951" s="90" t="s">
        <v>2087</v>
      </c>
    </row>
    <row r="1952" spans="1:3" ht="14.4" x14ac:dyDescent="0.3">
      <c r="A1952" s="90" t="s">
        <v>4894</v>
      </c>
      <c r="B1952" s="90" t="s">
        <v>375</v>
      </c>
      <c r="C1952" s="90" t="s">
        <v>203</v>
      </c>
    </row>
    <row r="1953" spans="1:3" ht="14.4" x14ac:dyDescent="0.3">
      <c r="A1953" s="90" t="s">
        <v>4895</v>
      </c>
      <c r="B1953" s="90" t="s">
        <v>2853</v>
      </c>
      <c r="C1953" s="90" t="s">
        <v>2852</v>
      </c>
    </row>
    <row r="1954" spans="1:3" ht="14.4" x14ac:dyDescent="0.3">
      <c r="A1954" s="90" t="s">
        <v>4896</v>
      </c>
      <c r="B1954" s="90" t="s">
        <v>2558</v>
      </c>
      <c r="C1954" s="90" t="s">
        <v>2489</v>
      </c>
    </row>
    <row r="1955" spans="1:3" ht="14.4" x14ac:dyDescent="0.3">
      <c r="A1955" s="90" t="s">
        <v>4897</v>
      </c>
      <c r="B1955" s="90" t="s">
        <v>2871</v>
      </c>
      <c r="C1955" s="90" t="s">
        <v>2866</v>
      </c>
    </row>
    <row r="1956" spans="1:3" ht="14.4" x14ac:dyDescent="0.3">
      <c r="A1956" s="90" t="s">
        <v>4898</v>
      </c>
      <c r="B1956" s="90" t="s">
        <v>2201</v>
      </c>
      <c r="C1956" s="90" t="s">
        <v>2182</v>
      </c>
    </row>
    <row r="1957" spans="1:3" ht="14.4" x14ac:dyDescent="0.3">
      <c r="A1957" s="90" t="s">
        <v>4899</v>
      </c>
      <c r="B1957" s="90" t="s">
        <v>1849</v>
      </c>
      <c r="C1957" s="90" t="s">
        <v>1848</v>
      </c>
    </row>
    <row r="1958" spans="1:3" ht="14.4" x14ac:dyDescent="0.3">
      <c r="A1958" s="90" t="s">
        <v>4900</v>
      </c>
      <c r="B1958" s="90" t="s">
        <v>1664</v>
      </c>
      <c r="C1958" s="90" t="s">
        <v>1631</v>
      </c>
    </row>
    <row r="1959" spans="1:3" ht="14.4" x14ac:dyDescent="0.3">
      <c r="A1959" s="90" t="s">
        <v>4901</v>
      </c>
      <c r="B1959" s="90" t="s">
        <v>2272</v>
      </c>
      <c r="C1959" s="90" t="s">
        <v>2257</v>
      </c>
    </row>
    <row r="1960" spans="1:3" ht="14.4" x14ac:dyDescent="0.3">
      <c r="A1960" s="90" t="s">
        <v>4902</v>
      </c>
      <c r="B1960" s="90" t="s">
        <v>443</v>
      </c>
      <c r="C1960" s="90" t="s">
        <v>437</v>
      </c>
    </row>
    <row r="1961" spans="1:3" ht="14.4" x14ac:dyDescent="0.3">
      <c r="A1961" s="90" t="s">
        <v>4903</v>
      </c>
      <c r="B1961" s="90" t="s">
        <v>73</v>
      </c>
      <c r="C1961" s="90" t="s">
        <v>72</v>
      </c>
    </row>
    <row r="1962" spans="1:3" ht="14.4" x14ac:dyDescent="0.3">
      <c r="A1962" s="90" t="s">
        <v>4904</v>
      </c>
      <c r="B1962" s="90" t="s">
        <v>1730</v>
      </c>
      <c r="C1962" s="90" t="s">
        <v>1727</v>
      </c>
    </row>
    <row r="1963" spans="1:3" ht="14.4" x14ac:dyDescent="0.3">
      <c r="A1963" s="90" t="s">
        <v>4905</v>
      </c>
      <c r="B1963" s="90" t="s">
        <v>1947</v>
      </c>
      <c r="C1963" s="90" t="s">
        <v>1944</v>
      </c>
    </row>
    <row r="1964" spans="1:3" ht="14.4" x14ac:dyDescent="0.3">
      <c r="A1964" s="90" t="s">
        <v>4906</v>
      </c>
      <c r="B1964" s="90" t="s">
        <v>495</v>
      </c>
      <c r="C1964" s="90" t="s">
        <v>449</v>
      </c>
    </row>
    <row r="1965" spans="1:3" ht="14.4" x14ac:dyDescent="0.3">
      <c r="A1965" s="90" t="s">
        <v>4907</v>
      </c>
      <c r="B1965" s="90" t="s">
        <v>1893</v>
      </c>
      <c r="C1965" s="90" t="s">
        <v>1863</v>
      </c>
    </row>
    <row r="1966" spans="1:3" ht="14.4" x14ac:dyDescent="0.3">
      <c r="A1966" s="90" t="s">
        <v>4908</v>
      </c>
      <c r="B1966" s="90" t="s">
        <v>379</v>
      </c>
      <c r="C1966" s="90" t="s">
        <v>203</v>
      </c>
    </row>
    <row r="1967" spans="1:3" ht="14.4" x14ac:dyDescent="0.3">
      <c r="A1967" s="90" t="s">
        <v>4909</v>
      </c>
      <c r="B1967" s="90" t="s">
        <v>380</v>
      </c>
      <c r="C1967" s="90" t="s">
        <v>203</v>
      </c>
    </row>
    <row r="1968" spans="1:3" ht="14.4" x14ac:dyDescent="0.3">
      <c r="A1968" s="90" t="s">
        <v>4910</v>
      </c>
      <c r="B1968" s="90" t="s">
        <v>1039</v>
      </c>
      <c r="C1968" s="90" t="s">
        <v>1038</v>
      </c>
    </row>
    <row r="1969" spans="1:3" ht="14.4" x14ac:dyDescent="0.3">
      <c r="A1969" s="90" t="s">
        <v>4911</v>
      </c>
      <c r="B1969" s="90" t="s">
        <v>1389</v>
      </c>
      <c r="C1969" s="90" t="s">
        <v>1375</v>
      </c>
    </row>
    <row r="1970" spans="1:3" ht="14.4" x14ac:dyDescent="0.3">
      <c r="A1970" s="90" t="s">
        <v>4912</v>
      </c>
      <c r="B1970" s="90" t="s">
        <v>1203</v>
      </c>
      <c r="C1970" s="90" t="s">
        <v>1199</v>
      </c>
    </row>
    <row r="1971" spans="1:3" ht="14.4" x14ac:dyDescent="0.3">
      <c r="A1971" s="90" t="s">
        <v>4913</v>
      </c>
      <c r="B1971" s="90" t="s">
        <v>376</v>
      </c>
      <c r="C1971" s="90" t="s">
        <v>203</v>
      </c>
    </row>
    <row r="1972" spans="1:3" ht="14.4" x14ac:dyDescent="0.3">
      <c r="A1972" s="90" t="s">
        <v>4914</v>
      </c>
      <c r="B1972" s="90" t="s">
        <v>2560</v>
      </c>
      <c r="C1972" s="90" t="s">
        <v>2489</v>
      </c>
    </row>
    <row r="1973" spans="1:3" ht="14.4" x14ac:dyDescent="0.3">
      <c r="A1973" s="90" t="s">
        <v>4915</v>
      </c>
      <c r="B1973" s="90" t="s">
        <v>2358</v>
      </c>
      <c r="C1973" s="90" t="s">
        <v>2328</v>
      </c>
    </row>
    <row r="1974" spans="1:3" ht="14.4" x14ac:dyDescent="0.3">
      <c r="A1974" s="90" t="s">
        <v>4916</v>
      </c>
      <c r="B1974" s="90" t="s">
        <v>2679</v>
      </c>
      <c r="C1974" s="90" t="s">
        <v>2669</v>
      </c>
    </row>
    <row r="1975" spans="1:3" ht="14.4" x14ac:dyDescent="0.3">
      <c r="A1975" s="90" t="s">
        <v>4917</v>
      </c>
      <c r="B1975" s="90" t="s">
        <v>1293</v>
      </c>
      <c r="C1975" s="90" t="s">
        <v>1292</v>
      </c>
    </row>
    <row r="1976" spans="1:3" ht="14.4" x14ac:dyDescent="0.3">
      <c r="A1976" s="90" t="s">
        <v>4918</v>
      </c>
      <c r="B1976" s="90" t="s">
        <v>372</v>
      </c>
      <c r="C1976" s="90" t="s">
        <v>203</v>
      </c>
    </row>
    <row r="1977" spans="1:3" ht="14.4" x14ac:dyDescent="0.3">
      <c r="A1977" s="90" t="s">
        <v>4919</v>
      </c>
      <c r="B1977" s="90" t="s">
        <v>653</v>
      </c>
      <c r="C1977" s="90" t="s">
        <v>627</v>
      </c>
    </row>
    <row r="1978" spans="1:3" ht="14.4" x14ac:dyDescent="0.3">
      <c r="A1978" s="90" t="s">
        <v>4920</v>
      </c>
      <c r="B1978" s="90" t="s">
        <v>468</v>
      </c>
      <c r="C1978" s="90" t="s">
        <v>449</v>
      </c>
    </row>
    <row r="1979" spans="1:3" ht="14.4" x14ac:dyDescent="0.3">
      <c r="A1979" s="90" t="s">
        <v>4921</v>
      </c>
      <c r="B1979" s="90" t="s">
        <v>1428</v>
      </c>
      <c r="C1979" s="90" t="s">
        <v>1392</v>
      </c>
    </row>
    <row r="1980" spans="1:3" ht="14.4" x14ac:dyDescent="0.3">
      <c r="A1980" s="90" t="s">
        <v>4922</v>
      </c>
      <c r="B1980" s="90" t="s">
        <v>2147</v>
      </c>
      <c r="C1980" s="90" t="s">
        <v>2124</v>
      </c>
    </row>
    <row r="1981" spans="1:3" ht="14.4" x14ac:dyDescent="0.3">
      <c r="A1981" s="90" t="s">
        <v>4923</v>
      </c>
      <c r="B1981" s="90" t="s">
        <v>652</v>
      </c>
      <c r="C1981" s="90" t="s">
        <v>627</v>
      </c>
    </row>
    <row r="1982" spans="1:3" ht="14.4" x14ac:dyDescent="0.3">
      <c r="A1982" s="90" t="s">
        <v>4924</v>
      </c>
      <c r="B1982" s="90" t="s">
        <v>1018</v>
      </c>
      <c r="C1982" s="90" t="s">
        <v>972</v>
      </c>
    </row>
    <row r="1983" spans="1:3" ht="14.4" x14ac:dyDescent="0.3">
      <c r="A1983" s="90" t="s">
        <v>4925</v>
      </c>
      <c r="B1983" s="90" t="s">
        <v>2680</v>
      </c>
      <c r="C1983" s="90" t="s">
        <v>2669</v>
      </c>
    </row>
    <row r="1984" spans="1:3" ht="14.4" x14ac:dyDescent="0.3">
      <c r="A1984" s="90" t="s">
        <v>4926</v>
      </c>
      <c r="B1984" s="90" t="s">
        <v>67</v>
      </c>
      <c r="C1984" s="90" t="s">
        <v>62</v>
      </c>
    </row>
    <row r="1985" spans="1:3" ht="14.4" x14ac:dyDescent="0.3">
      <c r="A1985" s="90" t="s">
        <v>4927</v>
      </c>
      <c r="B1985" s="90" t="s">
        <v>2250</v>
      </c>
      <c r="C1985" s="90" t="s">
        <v>2234</v>
      </c>
    </row>
    <row r="1986" spans="1:3" ht="14.4" x14ac:dyDescent="0.3">
      <c r="A1986" s="90" t="s">
        <v>4928</v>
      </c>
      <c r="B1986" s="90" t="s">
        <v>1789</v>
      </c>
      <c r="C1986" s="90" t="s">
        <v>1741</v>
      </c>
    </row>
    <row r="1987" spans="1:3" ht="14.4" x14ac:dyDescent="0.3">
      <c r="A1987" s="90" t="s">
        <v>4929</v>
      </c>
      <c r="B1987" s="90" t="s">
        <v>1125</v>
      </c>
      <c r="C1987" s="90" t="s">
        <v>1106</v>
      </c>
    </row>
    <row r="1988" spans="1:3" ht="14.4" x14ac:dyDescent="0.3">
      <c r="A1988" s="90" t="s">
        <v>4930</v>
      </c>
      <c r="B1988" s="90" t="s">
        <v>1982</v>
      </c>
      <c r="C1988" s="90" t="s">
        <v>1977</v>
      </c>
    </row>
    <row r="1989" spans="1:3" ht="14.4" x14ac:dyDescent="0.3">
      <c r="A1989" s="90" t="s">
        <v>4931</v>
      </c>
      <c r="B1989" s="90" t="s">
        <v>2011</v>
      </c>
      <c r="C1989" s="90" t="s">
        <v>2003</v>
      </c>
    </row>
    <row r="1990" spans="1:3" ht="14.4" x14ac:dyDescent="0.3">
      <c r="A1990" s="90" t="s">
        <v>4932</v>
      </c>
      <c r="B1990" s="90" t="s">
        <v>1262</v>
      </c>
      <c r="C1990" s="90" t="s">
        <v>1251</v>
      </c>
    </row>
    <row r="1991" spans="1:3" ht="14.4" x14ac:dyDescent="0.3">
      <c r="A1991" s="90" t="s">
        <v>4933</v>
      </c>
      <c r="B1991" s="90" t="s">
        <v>2722</v>
      </c>
      <c r="C1991" s="90" t="s">
        <v>2683</v>
      </c>
    </row>
    <row r="1992" spans="1:3" ht="14.4" x14ac:dyDescent="0.3">
      <c r="A1992" s="90" t="s">
        <v>4934</v>
      </c>
      <c r="B1992" s="90" t="s">
        <v>121</v>
      </c>
      <c r="C1992" s="90" t="s">
        <v>116</v>
      </c>
    </row>
    <row r="1993" spans="1:3" ht="14.4" x14ac:dyDescent="0.3">
      <c r="A1993" s="90" t="s">
        <v>4935</v>
      </c>
      <c r="B1993" s="90" t="s">
        <v>770</v>
      </c>
      <c r="C1993" s="90" t="s">
        <v>744</v>
      </c>
    </row>
    <row r="1994" spans="1:3" ht="14.4" x14ac:dyDescent="0.3">
      <c r="A1994" s="90" t="s">
        <v>4936</v>
      </c>
      <c r="B1994" s="90" t="s">
        <v>1551</v>
      </c>
      <c r="C1994" s="90" t="s">
        <v>1544</v>
      </c>
    </row>
    <row r="1995" spans="1:3" ht="14.4" x14ac:dyDescent="0.3">
      <c r="A1995" s="90" t="s">
        <v>4937</v>
      </c>
      <c r="B1995" s="90" t="s">
        <v>1826</v>
      </c>
      <c r="C1995" s="90" t="s">
        <v>1800</v>
      </c>
    </row>
    <row r="1996" spans="1:3" ht="14.4" x14ac:dyDescent="0.3">
      <c r="A1996" s="90" t="s">
        <v>4938</v>
      </c>
      <c r="B1996" s="90" t="s">
        <v>2409</v>
      </c>
      <c r="C1996" s="90" t="s">
        <v>2397</v>
      </c>
    </row>
    <row r="1997" spans="1:3" ht="14.4" x14ac:dyDescent="0.3">
      <c r="A1997" s="90" t="s">
        <v>4939</v>
      </c>
      <c r="B1997" s="90" t="s">
        <v>1915</v>
      </c>
      <c r="C1997" s="90" t="s">
        <v>1901</v>
      </c>
    </row>
    <row r="1998" spans="1:3" ht="14.4" x14ac:dyDescent="0.3">
      <c r="A1998" s="90" t="s">
        <v>4940</v>
      </c>
      <c r="B1998" s="90" t="s">
        <v>951</v>
      </c>
      <c r="C1998" s="90" t="s">
        <v>916</v>
      </c>
    </row>
    <row r="1999" spans="1:3" ht="14.4" x14ac:dyDescent="0.3">
      <c r="A1999" s="90" t="s">
        <v>4941</v>
      </c>
      <c r="B1999" s="90" t="s">
        <v>1325</v>
      </c>
      <c r="C1999" s="90" t="s">
        <v>1313</v>
      </c>
    </row>
    <row r="2000" spans="1:3" ht="14.4" x14ac:dyDescent="0.3">
      <c r="A2000" s="90" t="s">
        <v>4942</v>
      </c>
      <c r="B2000" s="90" t="s">
        <v>2148</v>
      </c>
      <c r="C2000" s="90" t="s">
        <v>2124</v>
      </c>
    </row>
    <row r="2001" spans="1:3" ht="14.4" x14ac:dyDescent="0.3">
      <c r="A2001" s="90" t="s">
        <v>4943</v>
      </c>
      <c r="B2001" s="90" t="s">
        <v>2410</v>
      </c>
      <c r="C2001" s="90" t="s">
        <v>2397</v>
      </c>
    </row>
    <row r="2002" spans="1:3" ht="14.4" x14ac:dyDescent="0.3">
      <c r="A2002" s="90" t="s">
        <v>4944</v>
      </c>
      <c r="B2002" s="90" t="s">
        <v>2297</v>
      </c>
      <c r="C2002" s="90" t="s">
        <v>2275</v>
      </c>
    </row>
    <row r="2003" spans="1:3" ht="14.4" x14ac:dyDescent="0.3">
      <c r="A2003" s="90" t="s">
        <v>4945</v>
      </c>
      <c r="B2003" s="90" t="s">
        <v>92</v>
      </c>
      <c r="C2003" s="90" t="s">
        <v>91</v>
      </c>
    </row>
    <row r="2004" spans="1:3" ht="14.4" x14ac:dyDescent="0.3">
      <c r="A2004" s="90" t="s">
        <v>4946</v>
      </c>
      <c r="B2004" s="90" t="s">
        <v>2117</v>
      </c>
      <c r="C2004" s="90" t="s">
        <v>2106</v>
      </c>
    </row>
    <row r="2005" spans="1:3" ht="14.4" x14ac:dyDescent="0.3">
      <c r="A2005" s="90" t="s">
        <v>4947</v>
      </c>
      <c r="B2005" s="90" t="s">
        <v>1535</v>
      </c>
      <c r="C2005" s="90" t="s">
        <v>1513</v>
      </c>
    </row>
    <row r="2006" spans="1:3" ht="14.4" x14ac:dyDescent="0.3">
      <c r="A2006" s="90" t="s">
        <v>4948</v>
      </c>
      <c r="B2006" s="90" t="s">
        <v>182</v>
      </c>
      <c r="C2006" s="90" t="s">
        <v>168</v>
      </c>
    </row>
    <row r="2007" spans="1:3" ht="14.4" x14ac:dyDescent="0.3">
      <c r="A2007" s="90" t="s">
        <v>4949</v>
      </c>
      <c r="B2007" s="90" t="s">
        <v>1109</v>
      </c>
      <c r="C2007" s="90" t="s">
        <v>1106</v>
      </c>
    </row>
    <row r="2008" spans="1:3" ht="14.4" x14ac:dyDescent="0.3">
      <c r="A2008" s="90" t="s">
        <v>4950</v>
      </c>
      <c r="B2008" s="90" t="s">
        <v>2617</v>
      </c>
      <c r="C2008" s="90" t="s">
        <v>2589</v>
      </c>
    </row>
    <row r="2009" spans="1:3" ht="14.4" x14ac:dyDescent="0.3">
      <c r="A2009" s="90" t="s">
        <v>4951</v>
      </c>
      <c r="B2009" s="90" t="s">
        <v>829</v>
      </c>
      <c r="C2009" s="90" t="s">
        <v>800</v>
      </c>
    </row>
    <row r="2010" spans="1:3" ht="14.4" x14ac:dyDescent="0.3">
      <c r="A2010" s="90" t="s">
        <v>4952</v>
      </c>
      <c r="B2010" s="90" t="s">
        <v>1129</v>
      </c>
      <c r="C2010" s="90" t="s">
        <v>1106</v>
      </c>
    </row>
    <row r="2011" spans="1:3" ht="14.4" x14ac:dyDescent="0.3">
      <c r="A2011" s="90" t="s">
        <v>4953</v>
      </c>
      <c r="B2011" s="90" t="s">
        <v>2533</v>
      </c>
      <c r="C2011" s="90" t="s">
        <v>2489</v>
      </c>
    </row>
    <row r="2012" spans="1:3" ht="14.4" x14ac:dyDescent="0.3">
      <c r="A2012" s="90" t="s">
        <v>4954</v>
      </c>
      <c r="B2012" s="90" t="s">
        <v>869</v>
      </c>
      <c r="C2012" s="90" t="s">
        <v>866</v>
      </c>
    </row>
    <row r="2013" spans="1:3" ht="14.4" x14ac:dyDescent="0.3">
      <c r="A2013" s="90" t="s">
        <v>4955</v>
      </c>
      <c r="B2013" s="90" t="s">
        <v>2814</v>
      </c>
      <c r="C2013" s="90" t="s">
        <v>2812</v>
      </c>
    </row>
    <row r="2014" spans="1:3" ht="14.4" x14ac:dyDescent="0.3">
      <c r="A2014" s="90" t="s">
        <v>4956</v>
      </c>
      <c r="B2014" s="90" t="s">
        <v>367</v>
      </c>
      <c r="C2014" s="90" t="s">
        <v>203</v>
      </c>
    </row>
    <row r="2015" spans="1:3" ht="14.4" x14ac:dyDescent="0.3">
      <c r="A2015" s="90" t="s">
        <v>4957</v>
      </c>
      <c r="B2015" s="90" t="s">
        <v>1679</v>
      </c>
      <c r="C2015" s="90" t="s">
        <v>1672</v>
      </c>
    </row>
    <row r="2016" spans="1:3" ht="14.4" x14ac:dyDescent="0.3">
      <c r="A2016" s="90" t="s">
        <v>4958</v>
      </c>
      <c r="B2016" s="90" t="s">
        <v>2055</v>
      </c>
      <c r="C2016" s="90" t="s">
        <v>2015</v>
      </c>
    </row>
    <row r="2017" spans="1:3" ht="14.4" x14ac:dyDescent="0.3">
      <c r="A2017" s="90" t="s">
        <v>4959</v>
      </c>
      <c r="B2017" s="90" t="s">
        <v>666</v>
      </c>
      <c r="C2017" s="90" t="s">
        <v>661</v>
      </c>
    </row>
    <row r="2018" spans="1:3" ht="14.4" x14ac:dyDescent="0.3">
      <c r="A2018" s="90" t="s">
        <v>4960</v>
      </c>
      <c r="B2018" s="90" t="s">
        <v>377</v>
      </c>
      <c r="C2018" s="90" t="s">
        <v>203</v>
      </c>
    </row>
    <row r="2019" spans="1:3" ht="14.4" x14ac:dyDescent="0.3">
      <c r="A2019" s="90" t="s">
        <v>4961</v>
      </c>
      <c r="B2019" s="90" t="s">
        <v>221</v>
      </c>
      <c r="C2019" s="90" t="s">
        <v>203</v>
      </c>
    </row>
    <row r="2020" spans="1:3" ht="14.4" x14ac:dyDescent="0.3">
      <c r="A2020" s="90" t="s">
        <v>4962</v>
      </c>
      <c r="B2020" s="90" t="s">
        <v>2260</v>
      </c>
      <c r="C2020" s="90" t="s">
        <v>2257</v>
      </c>
    </row>
    <row r="2021" spans="1:3" ht="14.4" x14ac:dyDescent="0.3">
      <c r="A2021" s="90" t="s">
        <v>4963</v>
      </c>
      <c r="B2021" s="90" t="s">
        <v>2896</v>
      </c>
      <c r="C2021" s="90" t="s">
        <v>2874</v>
      </c>
    </row>
    <row r="2022" spans="1:3" ht="14.4" x14ac:dyDescent="0.3">
      <c r="A2022" s="90" t="s">
        <v>4964</v>
      </c>
      <c r="B2022" s="90" t="s">
        <v>1019</v>
      </c>
      <c r="C2022" s="90" t="s">
        <v>972</v>
      </c>
    </row>
    <row r="2023" spans="1:3" ht="14.4" x14ac:dyDescent="0.3">
      <c r="A2023" s="90" t="s">
        <v>4965</v>
      </c>
      <c r="B2023" s="90" t="s">
        <v>2307</v>
      </c>
      <c r="C2023" s="90" t="s">
        <v>2275</v>
      </c>
    </row>
    <row r="2024" spans="1:3" ht="14.4" x14ac:dyDescent="0.3">
      <c r="A2024" s="90" t="s">
        <v>4966</v>
      </c>
      <c r="B2024" s="90" t="s">
        <v>2895</v>
      </c>
      <c r="C2024" s="90" t="s">
        <v>2874</v>
      </c>
    </row>
    <row r="2025" spans="1:3" ht="14.4" x14ac:dyDescent="0.3">
      <c r="A2025" s="90" t="s">
        <v>4967</v>
      </c>
      <c r="B2025" s="90" t="s">
        <v>1700</v>
      </c>
      <c r="C2025" s="90" t="s">
        <v>1681</v>
      </c>
    </row>
    <row r="2026" spans="1:3" ht="14.4" x14ac:dyDescent="0.3">
      <c r="A2026" s="90" t="s">
        <v>4968</v>
      </c>
      <c r="B2026" s="90" t="s">
        <v>2657</v>
      </c>
      <c r="C2026" s="90" t="s">
        <v>2633</v>
      </c>
    </row>
    <row r="2027" spans="1:3" ht="14.4" x14ac:dyDescent="0.3">
      <c r="A2027" s="90" t="s">
        <v>4969</v>
      </c>
      <c r="B2027" s="90" t="s">
        <v>1516</v>
      </c>
      <c r="C2027" s="90" t="s">
        <v>1513</v>
      </c>
    </row>
    <row r="2028" spans="1:3" ht="14.4" x14ac:dyDescent="0.3">
      <c r="A2028" s="90" t="s">
        <v>4970</v>
      </c>
      <c r="B2028" s="90" t="s">
        <v>2897</v>
      </c>
      <c r="C2028" s="90" t="s">
        <v>2874</v>
      </c>
    </row>
    <row r="2029" spans="1:3" ht="14.4" x14ac:dyDescent="0.3">
      <c r="A2029" s="90" t="s">
        <v>4971</v>
      </c>
      <c r="B2029" s="90" t="s">
        <v>1894</v>
      </c>
      <c r="C2029" s="90" t="s">
        <v>1863</v>
      </c>
    </row>
    <row r="2030" spans="1:3" ht="14.4" x14ac:dyDescent="0.3">
      <c r="A2030" s="90" t="s">
        <v>4972</v>
      </c>
      <c r="B2030" s="90" t="s">
        <v>2458</v>
      </c>
      <c r="C2030" s="90" t="s">
        <v>2421</v>
      </c>
    </row>
    <row r="2031" spans="1:3" ht="14.4" x14ac:dyDescent="0.3">
      <c r="A2031" s="90" t="s">
        <v>4973</v>
      </c>
      <c r="B2031" s="90" t="s">
        <v>974</v>
      </c>
      <c r="C2031" s="90" t="s">
        <v>972</v>
      </c>
    </row>
    <row r="2032" spans="1:3" ht="14.4" x14ac:dyDescent="0.3">
      <c r="A2032" s="90" t="s">
        <v>4974</v>
      </c>
      <c r="B2032" s="90" t="s">
        <v>368</v>
      </c>
      <c r="C2032" s="90" t="s">
        <v>203</v>
      </c>
    </row>
    <row r="2033" spans="1:3" ht="14.4" x14ac:dyDescent="0.3">
      <c r="A2033" s="90" t="s">
        <v>4975</v>
      </c>
      <c r="B2033" s="90" t="s">
        <v>1892</v>
      </c>
      <c r="C2033" s="90" t="s">
        <v>1863</v>
      </c>
    </row>
    <row r="2034" spans="1:3" ht="14.4" x14ac:dyDescent="0.3">
      <c r="A2034" s="90" t="s">
        <v>4976</v>
      </c>
      <c r="B2034" s="90" t="s">
        <v>2658</v>
      </c>
      <c r="C2034" s="90" t="s">
        <v>2633</v>
      </c>
    </row>
    <row r="2035" spans="1:3" ht="14.4" x14ac:dyDescent="0.3">
      <c r="A2035" s="90" t="s">
        <v>4977</v>
      </c>
      <c r="B2035" s="90" t="s">
        <v>2898</v>
      </c>
      <c r="C2035" s="90" t="s">
        <v>2874</v>
      </c>
    </row>
    <row r="2036" spans="1:3" ht="14.4" x14ac:dyDescent="0.3">
      <c r="A2036" s="90" t="s">
        <v>4978</v>
      </c>
      <c r="B2036" s="90" t="s">
        <v>1427</v>
      </c>
      <c r="C2036" s="90" t="s">
        <v>1392</v>
      </c>
    </row>
    <row r="2037" spans="1:3" ht="14.4" x14ac:dyDescent="0.3">
      <c r="A2037" s="90" t="s">
        <v>4979</v>
      </c>
      <c r="B2037" s="90" t="s">
        <v>896</v>
      </c>
      <c r="C2037" s="90" t="s">
        <v>874</v>
      </c>
    </row>
    <row r="2038" spans="1:3" ht="14.4" x14ac:dyDescent="0.3">
      <c r="A2038" s="90" t="s">
        <v>4980</v>
      </c>
      <c r="B2038" s="90" t="s">
        <v>952</v>
      </c>
      <c r="C2038" s="90" t="s">
        <v>916</v>
      </c>
    </row>
    <row r="2039" spans="1:3" ht="14.4" x14ac:dyDescent="0.3">
      <c r="A2039" s="90" t="s">
        <v>4981</v>
      </c>
      <c r="B2039" s="90" t="s">
        <v>1355</v>
      </c>
      <c r="C2039" s="90" t="s">
        <v>1338</v>
      </c>
    </row>
    <row r="2040" spans="1:3" ht="14.4" x14ac:dyDescent="0.3">
      <c r="A2040" s="90" t="s">
        <v>4982</v>
      </c>
      <c r="B2040" s="90" t="s">
        <v>1079</v>
      </c>
      <c r="C2040" s="90" t="s">
        <v>1050</v>
      </c>
    </row>
    <row r="2041" spans="1:3" ht="14.4" x14ac:dyDescent="0.3">
      <c r="A2041" s="90" t="s">
        <v>4983</v>
      </c>
      <c r="B2041" s="90" t="s">
        <v>2559</v>
      </c>
      <c r="C2041" s="90" t="s">
        <v>2489</v>
      </c>
    </row>
    <row r="2042" spans="1:3" ht="14.4" x14ac:dyDescent="0.3">
      <c r="A2042" s="90" t="s">
        <v>4984</v>
      </c>
      <c r="B2042" s="90" t="s">
        <v>1388</v>
      </c>
      <c r="C2042" s="90" t="s">
        <v>1375</v>
      </c>
    </row>
    <row r="2043" spans="1:3" ht="14.4" x14ac:dyDescent="0.3">
      <c r="A2043" s="90" t="s">
        <v>4985</v>
      </c>
      <c r="B2043" s="90" t="s">
        <v>1168</v>
      </c>
      <c r="C2043" s="90" t="s">
        <v>1147</v>
      </c>
    </row>
    <row r="2044" spans="1:3" ht="14.4" x14ac:dyDescent="0.3">
      <c r="A2044" s="90" t="s">
        <v>4986</v>
      </c>
      <c r="B2044" s="90" t="s">
        <v>370</v>
      </c>
      <c r="C2044" s="90" t="s">
        <v>203</v>
      </c>
    </row>
    <row r="2045" spans="1:3" ht="14.4" x14ac:dyDescent="0.3">
      <c r="A2045" s="90" t="s">
        <v>4987</v>
      </c>
      <c r="B2045" s="90" t="s">
        <v>2825</v>
      </c>
      <c r="C2045" s="90" t="s">
        <v>2819</v>
      </c>
    </row>
    <row r="2046" spans="1:3" ht="14.4" x14ac:dyDescent="0.3">
      <c r="A2046" s="90" t="s">
        <v>4988</v>
      </c>
      <c r="B2046" s="90" t="s">
        <v>444</v>
      </c>
      <c r="C2046" s="90" t="s">
        <v>437</v>
      </c>
    </row>
    <row r="2047" spans="1:3" ht="14.4" x14ac:dyDescent="0.3">
      <c r="A2047" s="90" t="s">
        <v>4989</v>
      </c>
      <c r="B2047" s="90" t="s">
        <v>2561</v>
      </c>
      <c r="C2047" s="90" t="s">
        <v>2489</v>
      </c>
    </row>
    <row r="2048" spans="1:3" ht="14.4" x14ac:dyDescent="0.3">
      <c r="A2048" s="90" t="s">
        <v>4990</v>
      </c>
      <c r="B2048" s="90" t="s">
        <v>2357</v>
      </c>
      <c r="C2048" s="90" t="s">
        <v>2328</v>
      </c>
    </row>
    <row r="2049" spans="1:3" ht="14.4" x14ac:dyDescent="0.3">
      <c r="A2049" s="90" t="s">
        <v>4991</v>
      </c>
      <c r="B2049" s="90" t="s">
        <v>1623</v>
      </c>
      <c r="C2049" s="90" t="s">
        <v>1606</v>
      </c>
    </row>
    <row r="2050" spans="1:3" ht="14.4" x14ac:dyDescent="0.3">
      <c r="A2050" s="90" t="s">
        <v>4992</v>
      </c>
      <c r="B2050" s="90" t="s">
        <v>469</v>
      </c>
      <c r="C2050" s="90" t="s">
        <v>449</v>
      </c>
    </row>
    <row r="2051" spans="1:3" ht="14.4" x14ac:dyDescent="0.3">
      <c r="A2051" s="90" t="s">
        <v>4993</v>
      </c>
      <c r="B2051" s="90" t="s">
        <v>571</v>
      </c>
      <c r="C2051" s="90" t="s">
        <v>449</v>
      </c>
    </row>
    <row r="2052" spans="1:3" ht="14.4" x14ac:dyDescent="0.3">
      <c r="A2052" s="90" t="s">
        <v>4994</v>
      </c>
      <c r="B2052" s="90" t="s">
        <v>2721</v>
      </c>
      <c r="C2052" s="90" t="s">
        <v>2683</v>
      </c>
    </row>
    <row r="2053" spans="1:3" ht="14.4" x14ac:dyDescent="0.3">
      <c r="A2053" s="90" t="s">
        <v>4995</v>
      </c>
      <c r="B2053" s="90" t="s">
        <v>1390</v>
      </c>
      <c r="C2053" s="90" t="s">
        <v>1375</v>
      </c>
    </row>
    <row r="2054" spans="1:3" ht="14.4" x14ac:dyDescent="0.3">
      <c r="A2054" s="90" t="s">
        <v>4996</v>
      </c>
      <c r="B2054" s="90" t="s">
        <v>950</v>
      </c>
      <c r="C2054" s="90" t="s">
        <v>916</v>
      </c>
    </row>
    <row r="2055" spans="1:3" ht="14.4" x14ac:dyDescent="0.3">
      <c r="A2055" s="90" t="s">
        <v>4997</v>
      </c>
      <c r="B2055" s="90" t="s">
        <v>2118</v>
      </c>
      <c r="C2055" s="90" t="s">
        <v>2106</v>
      </c>
    </row>
    <row r="2056" spans="1:3" ht="14.4" x14ac:dyDescent="0.3">
      <c r="A2056" s="90" t="s">
        <v>4998</v>
      </c>
      <c r="B2056" s="90" t="s">
        <v>2057</v>
      </c>
      <c r="C2056" s="90" t="s">
        <v>2015</v>
      </c>
    </row>
    <row r="2057" spans="1:3" ht="14.4" x14ac:dyDescent="0.3">
      <c r="A2057" s="90" t="s">
        <v>4999</v>
      </c>
      <c r="B2057" s="90" t="s">
        <v>969</v>
      </c>
      <c r="C2057" s="90" t="s">
        <v>961</v>
      </c>
    </row>
    <row r="2058" spans="1:3" ht="14.4" x14ac:dyDescent="0.3">
      <c r="A2058" s="90" t="s">
        <v>5000</v>
      </c>
      <c r="B2058" s="90" t="s">
        <v>371</v>
      </c>
      <c r="C2058" s="90" t="s">
        <v>203</v>
      </c>
    </row>
    <row r="2059" spans="1:3" ht="14.4" x14ac:dyDescent="0.3">
      <c r="A2059" s="90" t="s">
        <v>5001</v>
      </c>
      <c r="B2059" s="90" t="s">
        <v>906</v>
      </c>
      <c r="C2059" s="90" t="s">
        <v>903</v>
      </c>
    </row>
    <row r="2060" spans="1:3" ht="14.4" x14ac:dyDescent="0.3">
      <c r="A2060" s="90" t="s">
        <v>5002</v>
      </c>
      <c r="B2060" s="90" t="s">
        <v>1857</v>
      </c>
      <c r="C2060" s="90" t="s">
        <v>1848</v>
      </c>
    </row>
    <row r="2061" spans="1:3" ht="14.4" x14ac:dyDescent="0.3">
      <c r="A2061" s="90" t="s">
        <v>5003</v>
      </c>
      <c r="B2061" s="90" t="s">
        <v>2562</v>
      </c>
      <c r="C2061" s="90" t="s">
        <v>2489</v>
      </c>
    </row>
    <row r="2062" spans="1:3" ht="14.4" x14ac:dyDescent="0.3">
      <c r="A2062" s="90" t="s">
        <v>5004</v>
      </c>
      <c r="B2062" s="90" t="s">
        <v>575</v>
      </c>
      <c r="C2062" s="90" t="s">
        <v>449</v>
      </c>
    </row>
    <row r="2063" spans="1:3" ht="14.4" x14ac:dyDescent="0.3">
      <c r="A2063" s="90" t="s">
        <v>5005</v>
      </c>
      <c r="B2063" s="90" t="s">
        <v>1736</v>
      </c>
      <c r="C2063" s="90" t="s">
        <v>1727</v>
      </c>
    </row>
    <row r="2064" spans="1:3" ht="14.4" x14ac:dyDescent="0.3">
      <c r="A2064" s="90" t="s">
        <v>5006</v>
      </c>
      <c r="B2064" s="90" t="s">
        <v>574</v>
      </c>
      <c r="C2064" s="90" t="s">
        <v>449</v>
      </c>
    </row>
    <row r="2065" spans="1:3" ht="14.4" x14ac:dyDescent="0.3">
      <c r="A2065" s="90" t="s">
        <v>5007</v>
      </c>
      <c r="B2065" s="90" t="s">
        <v>1078</v>
      </c>
      <c r="C2065" s="90" t="s">
        <v>1050</v>
      </c>
    </row>
    <row r="2066" spans="1:3" ht="14.4" x14ac:dyDescent="0.3">
      <c r="A2066" s="90" t="s">
        <v>5008</v>
      </c>
      <c r="B2066" s="90" t="s">
        <v>573</v>
      </c>
      <c r="C2066" s="90" t="s">
        <v>449</v>
      </c>
    </row>
    <row r="2067" spans="1:3" ht="14.4" x14ac:dyDescent="0.3">
      <c r="A2067" s="90" t="s">
        <v>5009</v>
      </c>
      <c r="B2067" s="90" t="s">
        <v>374</v>
      </c>
      <c r="C2067" s="90" t="s">
        <v>203</v>
      </c>
    </row>
    <row r="2068" spans="1:3" ht="14.4" x14ac:dyDescent="0.3">
      <c r="A2068" s="90" t="s">
        <v>5010</v>
      </c>
      <c r="B2068" s="90" t="s">
        <v>381</v>
      </c>
      <c r="C2068" s="90" t="s">
        <v>203</v>
      </c>
    </row>
    <row r="2069" spans="1:3" ht="14.4" x14ac:dyDescent="0.3">
      <c r="A2069" s="90" t="s">
        <v>5011</v>
      </c>
      <c r="B2069" s="90" t="s">
        <v>83</v>
      </c>
      <c r="C2069" s="90" t="s">
        <v>72</v>
      </c>
    </row>
    <row r="2070" spans="1:3" ht="14.4" x14ac:dyDescent="0.3">
      <c r="A2070" s="90" t="s">
        <v>5012</v>
      </c>
      <c r="B2070" s="90" t="s">
        <v>220</v>
      </c>
      <c r="C2070" s="90" t="s">
        <v>203</v>
      </c>
    </row>
    <row r="2071" spans="1:3" ht="14.4" x14ac:dyDescent="0.3">
      <c r="A2071" s="90" t="s">
        <v>5013</v>
      </c>
      <c r="B2071" s="90" t="s">
        <v>1169</v>
      </c>
      <c r="C2071" s="90" t="s">
        <v>1147</v>
      </c>
    </row>
    <row r="2072" spans="1:3" ht="14.4" x14ac:dyDescent="0.3">
      <c r="A2072" s="90" t="s">
        <v>5014</v>
      </c>
      <c r="B2072" s="90" t="s">
        <v>2659</v>
      </c>
      <c r="C2072" s="90" t="s">
        <v>2633</v>
      </c>
    </row>
    <row r="2073" spans="1:3" ht="14.4" x14ac:dyDescent="0.3">
      <c r="A2073" s="90" t="s">
        <v>5015</v>
      </c>
      <c r="B2073" s="90" t="s">
        <v>1792</v>
      </c>
      <c r="C2073" s="90" t="s">
        <v>1741</v>
      </c>
    </row>
    <row r="2074" spans="1:3" ht="14.4" x14ac:dyDescent="0.3">
      <c r="A2074" s="90" t="s">
        <v>5016</v>
      </c>
      <c r="B2074" s="90" t="s">
        <v>895</v>
      </c>
      <c r="C2074" s="90" t="s">
        <v>874</v>
      </c>
    </row>
    <row r="2075" spans="1:3" ht="14.4" x14ac:dyDescent="0.3">
      <c r="A2075" s="90" t="s">
        <v>5017</v>
      </c>
      <c r="B2075" s="90" t="s">
        <v>139</v>
      </c>
      <c r="C2075" s="90" t="s">
        <v>116</v>
      </c>
    </row>
    <row r="2076" spans="1:3" ht="14.4" x14ac:dyDescent="0.3">
      <c r="A2076" s="90" t="s">
        <v>5018</v>
      </c>
      <c r="B2076" s="90" t="s">
        <v>2285</v>
      </c>
      <c r="C2076" s="90" t="s">
        <v>2275</v>
      </c>
    </row>
    <row r="2077" spans="1:3" ht="14.4" x14ac:dyDescent="0.3">
      <c r="A2077" s="90" t="s">
        <v>5019</v>
      </c>
      <c r="B2077" s="90" t="s">
        <v>956</v>
      </c>
      <c r="C2077" s="90" t="s">
        <v>916</v>
      </c>
    </row>
    <row r="2078" spans="1:3" ht="14.4" x14ac:dyDescent="0.3">
      <c r="A2078" s="90" t="s">
        <v>5020</v>
      </c>
      <c r="B2078" s="90" t="s">
        <v>2563</v>
      </c>
      <c r="C2078" s="90" t="s">
        <v>2489</v>
      </c>
    </row>
    <row r="2079" spans="1:3" ht="14.4" x14ac:dyDescent="0.3">
      <c r="A2079" s="90" t="s">
        <v>5021</v>
      </c>
      <c r="B2079" s="90" t="s">
        <v>2460</v>
      </c>
      <c r="C2079" s="90" t="s">
        <v>2421</v>
      </c>
    </row>
    <row r="2080" spans="1:3" ht="14.4" x14ac:dyDescent="0.3">
      <c r="A2080" s="90" t="s">
        <v>5022</v>
      </c>
      <c r="B2080" s="90" t="s">
        <v>2081</v>
      </c>
      <c r="C2080" s="90" t="s">
        <v>2066</v>
      </c>
    </row>
    <row r="2081" spans="1:3" ht="14.4" x14ac:dyDescent="0.3">
      <c r="A2081" s="90" t="s">
        <v>5023</v>
      </c>
      <c r="B2081" s="90" t="s">
        <v>382</v>
      </c>
      <c r="C2081" s="90" t="s">
        <v>203</v>
      </c>
    </row>
    <row r="2082" spans="1:3" ht="14.4" x14ac:dyDescent="0.3">
      <c r="A2082" s="90" t="s">
        <v>5024</v>
      </c>
      <c r="B2082" s="90" t="s">
        <v>955</v>
      </c>
      <c r="C2082" s="90" t="s">
        <v>916</v>
      </c>
    </row>
    <row r="2083" spans="1:3" ht="14.4" x14ac:dyDescent="0.3">
      <c r="A2083" s="90" t="s">
        <v>5025</v>
      </c>
      <c r="B2083" s="90" t="s">
        <v>1838</v>
      </c>
      <c r="C2083" s="90" t="s">
        <v>1833</v>
      </c>
    </row>
    <row r="2084" spans="1:3" ht="14.4" x14ac:dyDescent="0.3">
      <c r="A2084" s="90" t="s">
        <v>5026</v>
      </c>
      <c r="B2084" s="90" t="s">
        <v>953</v>
      </c>
      <c r="C2084" s="90" t="s">
        <v>916</v>
      </c>
    </row>
    <row r="2085" spans="1:3" ht="14.4" x14ac:dyDescent="0.3">
      <c r="A2085" s="90" t="s">
        <v>5027</v>
      </c>
      <c r="B2085" s="90" t="s">
        <v>2564</v>
      </c>
      <c r="C2085" s="90" t="s">
        <v>2489</v>
      </c>
    </row>
    <row r="2086" spans="1:3" ht="14.4" x14ac:dyDescent="0.3">
      <c r="A2086" s="90" t="s">
        <v>5028</v>
      </c>
      <c r="B2086" s="90" t="s">
        <v>1502</v>
      </c>
      <c r="C2086" s="90" t="s">
        <v>1485</v>
      </c>
    </row>
    <row r="2087" spans="1:3" ht="14.4" x14ac:dyDescent="0.3">
      <c r="A2087" s="90" t="s">
        <v>5029</v>
      </c>
      <c r="B2087" s="90" t="s">
        <v>2459</v>
      </c>
      <c r="C2087" s="90" t="s">
        <v>2421</v>
      </c>
    </row>
    <row r="2088" spans="1:3" ht="14.4" x14ac:dyDescent="0.3">
      <c r="A2088" s="90" t="s">
        <v>5030</v>
      </c>
      <c r="B2088" s="90" t="s">
        <v>1263</v>
      </c>
      <c r="C2088" s="90" t="s">
        <v>1251</v>
      </c>
    </row>
    <row r="2089" spans="1:3" ht="14.4" x14ac:dyDescent="0.3">
      <c r="A2089" s="90" t="s">
        <v>5031</v>
      </c>
      <c r="B2089" s="90" t="s">
        <v>2461</v>
      </c>
      <c r="C2089" s="90" t="s">
        <v>2421</v>
      </c>
    </row>
    <row r="2090" spans="1:3" ht="14.4" x14ac:dyDescent="0.3">
      <c r="A2090" s="90" t="s">
        <v>5032</v>
      </c>
      <c r="B2090" s="90" t="s">
        <v>2119</v>
      </c>
      <c r="C2090" s="90" t="s">
        <v>2106</v>
      </c>
    </row>
    <row r="2091" spans="1:3" ht="14.4" x14ac:dyDescent="0.3">
      <c r="A2091" s="90" t="s">
        <v>5033</v>
      </c>
      <c r="B2091" s="90" t="s">
        <v>2618</v>
      </c>
      <c r="C2091" s="90" t="s">
        <v>2589</v>
      </c>
    </row>
    <row r="2092" spans="1:3" ht="14.4" x14ac:dyDescent="0.3">
      <c r="A2092" s="90" t="s">
        <v>5034</v>
      </c>
      <c r="B2092" s="90" t="s">
        <v>725</v>
      </c>
      <c r="C2092" s="90" t="s">
        <v>675</v>
      </c>
    </row>
    <row r="2093" spans="1:3" ht="14.4" x14ac:dyDescent="0.3">
      <c r="A2093" s="90" t="s">
        <v>5035</v>
      </c>
      <c r="B2093" s="90" t="s">
        <v>1579</v>
      </c>
      <c r="C2093" s="90" t="s">
        <v>1573</v>
      </c>
    </row>
    <row r="2094" spans="1:3" ht="14.4" x14ac:dyDescent="0.3">
      <c r="A2094" s="90" t="s">
        <v>5036</v>
      </c>
      <c r="B2094" s="90" t="s">
        <v>2723</v>
      </c>
      <c r="C2094" s="90" t="s">
        <v>2683</v>
      </c>
    </row>
    <row r="2095" spans="1:3" ht="14.4" x14ac:dyDescent="0.3">
      <c r="A2095" s="90" t="s">
        <v>5037</v>
      </c>
      <c r="B2095" s="90" t="s">
        <v>2229</v>
      </c>
      <c r="C2095" s="90" t="s">
        <v>2214</v>
      </c>
    </row>
    <row r="2096" spans="1:3" ht="14.4" x14ac:dyDescent="0.3">
      <c r="A2096" s="90" t="s">
        <v>5038</v>
      </c>
      <c r="B2096" s="90" t="s">
        <v>1945</v>
      </c>
      <c r="C2096" s="90" t="s">
        <v>1944</v>
      </c>
    </row>
    <row r="2097" spans="1:3" ht="14.4" x14ac:dyDescent="0.3">
      <c r="A2097" s="90" t="s">
        <v>5039</v>
      </c>
      <c r="B2097" s="90" t="s">
        <v>2815</v>
      </c>
      <c r="C2097" s="90" t="s">
        <v>2812</v>
      </c>
    </row>
    <row r="2098" spans="1:3" ht="14.4" x14ac:dyDescent="0.3">
      <c r="A2098" s="90" t="s">
        <v>5040</v>
      </c>
      <c r="B2098" s="90" t="s">
        <v>1970</v>
      </c>
      <c r="C2098" s="90" t="s">
        <v>1966</v>
      </c>
    </row>
    <row r="2099" spans="1:3" ht="14.4" x14ac:dyDescent="0.3">
      <c r="A2099" s="90" t="s">
        <v>5041</v>
      </c>
      <c r="B2099" s="90" t="s">
        <v>596</v>
      </c>
      <c r="C2099" s="90" t="s">
        <v>449</v>
      </c>
    </row>
    <row r="2100" spans="1:3" ht="14.4" x14ac:dyDescent="0.3">
      <c r="A2100" s="90" t="s">
        <v>5042</v>
      </c>
      <c r="B2100" s="90" t="s">
        <v>577</v>
      </c>
      <c r="C2100" s="90" t="s">
        <v>449</v>
      </c>
    </row>
    <row r="2101" spans="1:3" ht="14.4" x14ac:dyDescent="0.3">
      <c r="A2101" s="90" t="s">
        <v>5043</v>
      </c>
      <c r="B2101" s="90" t="s">
        <v>2019</v>
      </c>
      <c r="C2101" s="90" t="s">
        <v>2015</v>
      </c>
    </row>
    <row r="2102" spans="1:3" ht="14.4" x14ac:dyDescent="0.3">
      <c r="A2102" s="90" t="s">
        <v>5044</v>
      </c>
      <c r="B2102" s="90" t="s">
        <v>1489</v>
      </c>
      <c r="C2102" s="90" t="s">
        <v>1485</v>
      </c>
    </row>
    <row r="2103" spans="1:3" ht="14.4" x14ac:dyDescent="0.3">
      <c r="A2103" s="90" t="s">
        <v>5045</v>
      </c>
      <c r="B2103" s="90" t="s">
        <v>1020</v>
      </c>
      <c r="C2103" s="90" t="s">
        <v>972</v>
      </c>
    </row>
    <row r="2104" spans="1:3" ht="14.4" x14ac:dyDescent="0.3">
      <c r="A2104" s="90" t="s">
        <v>5046</v>
      </c>
      <c r="B2104" s="90" t="s">
        <v>1021</v>
      </c>
      <c r="C2104" s="90" t="s">
        <v>972</v>
      </c>
    </row>
    <row r="2105" spans="1:3" ht="14.4" x14ac:dyDescent="0.3">
      <c r="A2105" s="90" t="s">
        <v>5047</v>
      </c>
      <c r="B2105" s="90" t="s">
        <v>385</v>
      </c>
      <c r="C2105" s="90" t="s">
        <v>203</v>
      </c>
    </row>
    <row r="2106" spans="1:3" ht="14.4" x14ac:dyDescent="0.3">
      <c r="A2106" s="90" t="s">
        <v>5048</v>
      </c>
      <c r="B2106" s="90" t="s">
        <v>2228</v>
      </c>
      <c r="C2106" s="90" t="s">
        <v>2214</v>
      </c>
    </row>
    <row r="2107" spans="1:3" ht="14.4" x14ac:dyDescent="0.3">
      <c r="A2107" s="90" t="s">
        <v>5049</v>
      </c>
      <c r="B2107" s="90" t="s">
        <v>1536</v>
      </c>
      <c r="C2107" s="90" t="s">
        <v>1513</v>
      </c>
    </row>
    <row r="2108" spans="1:3" ht="14.4" x14ac:dyDescent="0.3">
      <c r="A2108" s="90" t="s">
        <v>5050</v>
      </c>
      <c r="B2108" s="90" t="s">
        <v>1737</v>
      </c>
      <c r="C2108" s="90" t="s">
        <v>1727</v>
      </c>
    </row>
    <row r="2109" spans="1:3" ht="14.4" x14ac:dyDescent="0.3">
      <c r="A2109" s="90" t="s">
        <v>5051</v>
      </c>
      <c r="B2109" s="90" t="s">
        <v>1598</v>
      </c>
      <c r="C2109" s="90" t="s">
        <v>1580</v>
      </c>
    </row>
    <row r="2110" spans="1:3" ht="14.4" x14ac:dyDescent="0.3">
      <c r="A2110" s="90" t="s">
        <v>5052</v>
      </c>
      <c r="B2110" s="90" t="s">
        <v>1454</v>
      </c>
      <c r="C2110" s="90" t="s">
        <v>1451</v>
      </c>
    </row>
    <row r="2111" spans="1:3" ht="14.4" x14ac:dyDescent="0.3">
      <c r="A2111" s="90" t="s">
        <v>5053</v>
      </c>
      <c r="B2111" s="90" t="s">
        <v>957</v>
      </c>
      <c r="C2111" s="90" t="s">
        <v>916</v>
      </c>
    </row>
    <row r="2112" spans="1:3" ht="14.4" x14ac:dyDescent="0.3">
      <c r="A2112" s="90" t="s">
        <v>5054</v>
      </c>
      <c r="B2112" s="90" t="s">
        <v>1081</v>
      </c>
      <c r="C2112" s="90" t="s">
        <v>1050</v>
      </c>
    </row>
    <row r="2113" spans="1:3" ht="14.4" x14ac:dyDescent="0.3">
      <c r="A2113" s="90" t="s">
        <v>5055</v>
      </c>
      <c r="B2113" s="90" t="s">
        <v>1445</v>
      </c>
      <c r="C2113" s="90" t="s">
        <v>1440</v>
      </c>
    </row>
    <row r="2114" spans="1:3" ht="14.4" x14ac:dyDescent="0.3">
      <c r="A2114" s="90" t="s">
        <v>5056</v>
      </c>
      <c r="B2114" s="90" t="s">
        <v>2751</v>
      </c>
      <c r="C2114" s="90" t="s">
        <v>2740</v>
      </c>
    </row>
    <row r="2115" spans="1:3" ht="14.4" x14ac:dyDescent="0.3">
      <c r="A2115" s="90" t="s">
        <v>5057</v>
      </c>
      <c r="B2115" s="90" t="s">
        <v>2204</v>
      </c>
      <c r="C2115" s="90" t="s">
        <v>2182</v>
      </c>
    </row>
    <row r="2116" spans="1:3" ht="14.4" x14ac:dyDescent="0.3">
      <c r="A2116" s="90" t="s">
        <v>5058</v>
      </c>
      <c r="B2116" s="90" t="s">
        <v>1858</v>
      </c>
      <c r="C2116" s="90" t="s">
        <v>1848</v>
      </c>
    </row>
    <row r="2117" spans="1:3" ht="14.4" x14ac:dyDescent="0.3">
      <c r="A2117" s="90" t="s">
        <v>5059</v>
      </c>
      <c r="B2117" s="90" t="s">
        <v>579</v>
      </c>
      <c r="C2117" s="90" t="s">
        <v>449</v>
      </c>
    </row>
    <row r="2118" spans="1:3" ht="14.4" x14ac:dyDescent="0.3">
      <c r="A2118" s="90" t="s">
        <v>5060</v>
      </c>
      <c r="B2118" s="90" t="s">
        <v>1795</v>
      </c>
      <c r="C2118" s="90" t="s">
        <v>1741</v>
      </c>
    </row>
    <row r="2119" spans="1:3" ht="14.4" x14ac:dyDescent="0.3">
      <c r="A2119" s="90" t="s">
        <v>5061</v>
      </c>
      <c r="B2119" s="90" t="s">
        <v>727</v>
      </c>
      <c r="C2119" s="90" t="s">
        <v>675</v>
      </c>
    </row>
    <row r="2120" spans="1:3" ht="14.4" x14ac:dyDescent="0.3">
      <c r="A2120" s="90" t="s">
        <v>5062</v>
      </c>
      <c r="B2120" s="90" t="s">
        <v>1827</v>
      </c>
      <c r="C2120" s="90" t="s">
        <v>1800</v>
      </c>
    </row>
    <row r="2121" spans="1:3" ht="14.4" x14ac:dyDescent="0.3">
      <c r="A2121" s="90" t="s">
        <v>5063</v>
      </c>
      <c r="B2121" s="90" t="s">
        <v>2154</v>
      </c>
      <c r="C2121" s="90" t="s">
        <v>2153</v>
      </c>
    </row>
    <row r="2122" spans="1:3" ht="14.4" x14ac:dyDescent="0.3">
      <c r="A2122" s="90" t="s">
        <v>5064</v>
      </c>
      <c r="B2122" s="90" t="s">
        <v>578</v>
      </c>
      <c r="C2122" s="90" t="s">
        <v>449</v>
      </c>
    </row>
    <row r="2123" spans="1:3" ht="14.4" x14ac:dyDescent="0.3">
      <c r="A2123" s="90" t="s">
        <v>5065</v>
      </c>
      <c r="B2123" s="90" t="s">
        <v>1309</v>
      </c>
      <c r="C2123" s="90" t="s">
        <v>1292</v>
      </c>
    </row>
    <row r="2124" spans="1:3" ht="14.4" x14ac:dyDescent="0.3">
      <c r="A2124" s="90" t="s">
        <v>5066</v>
      </c>
      <c r="B2124" s="90" t="s">
        <v>2012</v>
      </c>
      <c r="C2124" s="90" t="s">
        <v>2003</v>
      </c>
    </row>
    <row r="2125" spans="1:3" ht="14.4" x14ac:dyDescent="0.3">
      <c r="A2125" s="90" t="s">
        <v>5067</v>
      </c>
      <c r="B2125" s="90" t="s">
        <v>858</v>
      </c>
      <c r="C2125" s="90" t="s">
        <v>856</v>
      </c>
    </row>
    <row r="2126" spans="1:3" ht="14.4" x14ac:dyDescent="0.3">
      <c r="A2126" s="90" t="s">
        <v>5068</v>
      </c>
      <c r="B2126" s="90" t="s">
        <v>2120</v>
      </c>
      <c r="C2126" s="90" t="s">
        <v>2106</v>
      </c>
    </row>
    <row r="2127" spans="1:3" ht="14.4" x14ac:dyDescent="0.3">
      <c r="A2127" s="90" t="s">
        <v>5069</v>
      </c>
      <c r="B2127" s="90" t="s">
        <v>383</v>
      </c>
      <c r="C2127" s="90" t="s">
        <v>203</v>
      </c>
    </row>
    <row r="2128" spans="1:3" ht="14.4" x14ac:dyDescent="0.3">
      <c r="A2128" s="90" t="s">
        <v>5070</v>
      </c>
      <c r="B2128" s="90" t="s">
        <v>1447</v>
      </c>
      <c r="C2128" s="90" t="s">
        <v>1440</v>
      </c>
    </row>
    <row r="2129" spans="1:3" ht="14.4" x14ac:dyDescent="0.3">
      <c r="A2129" s="90" t="s">
        <v>5071</v>
      </c>
      <c r="B2129" s="90" t="s">
        <v>1599</v>
      </c>
      <c r="C2129" s="90" t="s">
        <v>1580</v>
      </c>
    </row>
    <row r="2130" spans="1:3" ht="14.4" x14ac:dyDescent="0.3">
      <c r="A2130" s="90" t="s">
        <v>5072</v>
      </c>
      <c r="B2130" s="90" t="s">
        <v>581</v>
      </c>
      <c r="C2130" s="90" t="s">
        <v>449</v>
      </c>
    </row>
    <row r="2131" spans="1:3" ht="14.4" x14ac:dyDescent="0.3">
      <c r="A2131" s="90" t="s">
        <v>5073</v>
      </c>
      <c r="B2131" s="90" t="s">
        <v>1228</v>
      </c>
      <c r="C2131" s="90" t="s">
        <v>1225</v>
      </c>
    </row>
    <row r="2132" spans="1:3" ht="14.4" x14ac:dyDescent="0.3">
      <c r="A2132" s="90" t="s">
        <v>5074</v>
      </c>
      <c r="B2132" s="90" t="s">
        <v>580</v>
      </c>
      <c r="C2132" s="90" t="s">
        <v>449</v>
      </c>
    </row>
    <row r="2133" spans="1:3" ht="14.4" x14ac:dyDescent="0.3">
      <c r="A2133" s="90" t="s">
        <v>5075</v>
      </c>
      <c r="B2133" s="90" t="s">
        <v>38</v>
      </c>
      <c r="C2133" s="90" t="s">
        <v>7</v>
      </c>
    </row>
    <row r="2134" spans="1:3" ht="14.4" x14ac:dyDescent="0.3">
      <c r="A2134" s="90" t="s">
        <v>5076</v>
      </c>
      <c r="B2134" s="90" t="s">
        <v>1941</v>
      </c>
      <c r="C2134" s="90" t="s">
        <v>1933</v>
      </c>
    </row>
    <row r="2135" spans="1:3" ht="14.4" x14ac:dyDescent="0.3">
      <c r="A2135" s="90" t="s">
        <v>5077</v>
      </c>
      <c r="B2135" s="90" t="s">
        <v>2724</v>
      </c>
      <c r="C2135" s="90" t="s">
        <v>2683</v>
      </c>
    </row>
    <row r="2136" spans="1:3" ht="14.4" x14ac:dyDescent="0.3">
      <c r="A2136" s="90" t="s">
        <v>5078</v>
      </c>
      <c r="B2136" s="90" t="s">
        <v>2752</v>
      </c>
      <c r="C2136" s="90" t="s">
        <v>2740</v>
      </c>
    </row>
    <row r="2137" spans="1:3" ht="14.4" x14ac:dyDescent="0.3">
      <c r="A2137" s="90" t="s">
        <v>5079</v>
      </c>
      <c r="B2137" s="90" t="s">
        <v>2102</v>
      </c>
      <c r="C2137" s="90" t="s">
        <v>2087</v>
      </c>
    </row>
    <row r="2138" spans="1:3" ht="14.4" x14ac:dyDescent="0.3">
      <c r="A2138" s="90" t="s">
        <v>5080</v>
      </c>
      <c r="B2138" s="90" t="s">
        <v>2567</v>
      </c>
      <c r="C2138" s="90" t="s">
        <v>2489</v>
      </c>
    </row>
    <row r="2139" spans="1:3" ht="14.4" x14ac:dyDescent="0.3">
      <c r="A2139" s="90" t="s">
        <v>5081</v>
      </c>
      <c r="B2139" s="90" t="s">
        <v>1794</v>
      </c>
      <c r="C2139" s="90" t="s">
        <v>1741</v>
      </c>
    </row>
    <row r="2140" spans="1:3" ht="14.4" x14ac:dyDescent="0.3">
      <c r="A2140" s="90" t="s">
        <v>5082</v>
      </c>
      <c r="B2140" s="90" t="s">
        <v>1739</v>
      </c>
      <c r="C2140" s="90" t="s">
        <v>1727</v>
      </c>
    </row>
    <row r="2141" spans="1:3" ht="14.4" x14ac:dyDescent="0.3">
      <c r="A2141" s="90" t="s">
        <v>5083</v>
      </c>
      <c r="B2141" s="90" t="s">
        <v>1082</v>
      </c>
      <c r="C2141" s="90" t="s">
        <v>1050</v>
      </c>
    </row>
    <row r="2142" spans="1:3" ht="14.4" x14ac:dyDescent="0.3">
      <c r="A2142" s="90" t="s">
        <v>5084</v>
      </c>
      <c r="B2142" s="90" t="s">
        <v>124</v>
      </c>
      <c r="C2142" s="90" t="s">
        <v>116</v>
      </c>
    </row>
    <row r="2143" spans="1:3" ht="14.4" x14ac:dyDescent="0.3">
      <c r="A2143" s="90" t="s">
        <v>5085</v>
      </c>
      <c r="B2143" s="90" t="s">
        <v>771</v>
      </c>
      <c r="C2143" s="90" t="s">
        <v>744</v>
      </c>
    </row>
    <row r="2144" spans="1:3" ht="14.4" x14ac:dyDescent="0.3">
      <c r="A2144" s="90" t="s">
        <v>5086</v>
      </c>
      <c r="B2144" s="90" t="s">
        <v>84</v>
      </c>
      <c r="C2144" s="90" t="s">
        <v>72</v>
      </c>
    </row>
    <row r="2145" spans="1:3" ht="14.4" x14ac:dyDescent="0.3">
      <c r="A2145" s="90" t="s">
        <v>5087</v>
      </c>
      <c r="B2145" s="90" t="s">
        <v>1482</v>
      </c>
      <c r="C2145" s="90" t="s">
        <v>1472</v>
      </c>
    </row>
    <row r="2146" spans="1:3" ht="14.4" x14ac:dyDescent="0.3">
      <c r="A2146" s="90" t="s">
        <v>5088</v>
      </c>
      <c r="B2146" s="90" t="s">
        <v>1999</v>
      </c>
      <c r="C2146" s="90" t="s">
        <v>1988</v>
      </c>
    </row>
    <row r="2147" spans="1:3" ht="14.4" x14ac:dyDescent="0.3">
      <c r="A2147" s="90" t="s">
        <v>5089</v>
      </c>
      <c r="B2147" s="90" t="s">
        <v>1552</v>
      </c>
      <c r="C2147" s="90" t="s">
        <v>1544</v>
      </c>
    </row>
    <row r="2148" spans="1:3" ht="14.4" x14ac:dyDescent="0.3">
      <c r="A2148" s="90" t="s">
        <v>5090</v>
      </c>
      <c r="B2148" s="90" t="s">
        <v>1403</v>
      </c>
      <c r="C2148" s="90" t="s">
        <v>1392</v>
      </c>
    </row>
    <row r="2149" spans="1:3" ht="14.4" x14ac:dyDescent="0.3">
      <c r="A2149" s="90" t="s">
        <v>5091</v>
      </c>
      <c r="B2149" s="90" t="s">
        <v>2089</v>
      </c>
      <c r="C2149" s="90" t="s">
        <v>2087</v>
      </c>
    </row>
    <row r="2150" spans="1:3" ht="14.4" x14ac:dyDescent="0.3">
      <c r="A2150" s="90" t="s">
        <v>5092</v>
      </c>
      <c r="B2150" s="90" t="s">
        <v>897</v>
      </c>
      <c r="C2150" s="90" t="s">
        <v>874</v>
      </c>
    </row>
    <row r="2151" spans="1:3" ht="14.4" x14ac:dyDescent="0.3">
      <c r="A2151" s="90" t="s">
        <v>5093</v>
      </c>
      <c r="B2151" s="90" t="s">
        <v>1998</v>
      </c>
      <c r="C2151" s="90" t="s">
        <v>1988</v>
      </c>
    </row>
    <row r="2152" spans="1:3" ht="14.4" x14ac:dyDescent="0.3">
      <c r="A2152" s="90" t="s">
        <v>5094</v>
      </c>
      <c r="B2152" s="90" t="s">
        <v>2419</v>
      </c>
      <c r="C2152" s="90" t="s">
        <v>2418</v>
      </c>
    </row>
    <row r="2153" spans="1:3" ht="14.4" x14ac:dyDescent="0.3">
      <c r="A2153" s="90" t="s">
        <v>5095</v>
      </c>
      <c r="B2153" s="90" t="s">
        <v>1709</v>
      </c>
      <c r="C2153" s="90" t="s">
        <v>1681</v>
      </c>
    </row>
    <row r="2154" spans="1:3" ht="14.4" x14ac:dyDescent="0.3">
      <c r="A2154" s="90" t="s">
        <v>5096</v>
      </c>
      <c r="B2154" s="90" t="s">
        <v>2000</v>
      </c>
      <c r="C2154" s="90" t="s">
        <v>1988</v>
      </c>
    </row>
    <row r="2155" spans="1:3" ht="14.4" x14ac:dyDescent="0.3">
      <c r="A2155" s="90" t="s">
        <v>5097</v>
      </c>
      <c r="B2155" s="90" t="s">
        <v>1047</v>
      </c>
      <c r="C2155" s="90" t="s">
        <v>1038</v>
      </c>
    </row>
    <row r="2156" spans="1:3" ht="14.4" x14ac:dyDescent="0.3">
      <c r="A2156" s="90" t="s">
        <v>5098</v>
      </c>
      <c r="B2156" s="90" t="s">
        <v>801</v>
      </c>
      <c r="C2156" s="90" t="s">
        <v>800</v>
      </c>
    </row>
    <row r="2157" spans="1:3" ht="14.4" x14ac:dyDescent="0.3">
      <c r="A2157" s="90" t="s">
        <v>5099</v>
      </c>
      <c r="B2157" s="90" t="s">
        <v>2568</v>
      </c>
      <c r="C2157" s="90" t="s">
        <v>2489</v>
      </c>
    </row>
    <row r="2158" spans="1:3" ht="14.4" x14ac:dyDescent="0.3">
      <c r="A2158" s="90" t="s">
        <v>5100</v>
      </c>
      <c r="B2158" s="90" t="s">
        <v>1448</v>
      </c>
      <c r="C2158" s="90" t="s">
        <v>1440</v>
      </c>
    </row>
    <row r="2159" spans="1:3" ht="14.4" x14ac:dyDescent="0.3">
      <c r="A2159" s="90" t="s">
        <v>5101</v>
      </c>
      <c r="B2159" s="90" t="s">
        <v>384</v>
      </c>
      <c r="C2159" s="90" t="s">
        <v>203</v>
      </c>
    </row>
    <row r="2160" spans="1:3" ht="14.4" x14ac:dyDescent="0.3">
      <c r="A2160" s="90" t="s">
        <v>5102</v>
      </c>
      <c r="B2160" s="90" t="s">
        <v>1139</v>
      </c>
      <c r="C2160" s="90" t="s">
        <v>1134</v>
      </c>
    </row>
    <row r="2161" spans="1:3" ht="14.4" x14ac:dyDescent="0.3">
      <c r="A2161" s="90" t="s">
        <v>5103</v>
      </c>
      <c r="B2161" s="90" t="s">
        <v>641</v>
      </c>
      <c r="C2161" s="90" t="s">
        <v>627</v>
      </c>
    </row>
    <row r="2162" spans="1:3" ht="14.4" x14ac:dyDescent="0.3">
      <c r="A2162" s="90" t="s">
        <v>5104</v>
      </c>
      <c r="B2162" s="90" t="s">
        <v>1130</v>
      </c>
      <c r="C2162" s="90" t="s">
        <v>1106</v>
      </c>
    </row>
    <row r="2163" spans="1:3" ht="14.4" x14ac:dyDescent="0.3">
      <c r="A2163" s="90" t="s">
        <v>5105</v>
      </c>
      <c r="B2163" s="90" t="s">
        <v>2205</v>
      </c>
      <c r="C2163" s="90" t="s">
        <v>2182</v>
      </c>
    </row>
    <row r="2164" spans="1:3" ht="14.4" x14ac:dyDescent="0.3">
      <c r="A2164" s="90" t="s">
        <v>5106</v>
      </c>
      <c r="B2164" s="90" t="s">
        <v>1023</v>
      </c>
      <c r="C2164" s="90" t="s">
        <v>972</v>
      </c>
    </row>
    <row r="2165" spans="1:3" ht="14.4" x14ac:dyDescent="0.3">
      <c r="A2165" s="90" t="s">
        <v>5107</v>
      </c>
      <c r="B2165" s="90" t="s">
        <v>728</v>
      </c>
      <c r="C2165" s="90" t="s">
        <v>675</v>
      </c>
    </row>
    <row r="2166" spans="1:3" ht="14.4" x14ac:dyDescent="0.3">
      <c r="A2166" s="90" t="s">
        <v>5108</v>
      </c>
      <c r="B2166" s="90" t="s">
        <v>2826</v>
      </c>
      <c r="C2166" s="90" t="s">
        <v>2819</v>
      </c>
    </row>
    <row r="2167" spans="1:3" ht="14.4" x14ac:dyDescent="0.3">
      <c r="A2167" s="90" t="s">
        <v>5109</v>
      </c>
      <c r="B2167" s="90" t="s">
        <v>1024</v>
      </c>
      <c r="C2167" s="90" t="s">
        <v>972</v>
      </c>
    </row>
    <row r="2168" spans="1:3" ht="14.4" x14ac:dyDescent="0.3">
      <c r="A2168" s="90" t="s">
        <v>5110</v>
      </c>
      <c r="B2168" s="90" t="s">
        <v>110</v>
      </c>
      <c r="C2168" s="90" t="s">
        <v>91</v>
      </c>
    </row>
    <row r="2169" spans="1:3" ht="14.4" x14ac:dyDescent="0.3">
      <c r="A2169" s="90" t="s">
        <v>5111</v>
      </c>
      <c r="B2169" s="90" t="s">
        <v>2566</v>
      </c>
      <c r="C2169" s="90" t="s">
        <v>2489</v>
      </c>
    </row>
    <row r="2170" spans="1:3" ht="14.4" x14ac:dyDescent="0.3">
      <c r="A2170" s="90" t="s">
        <v>5112</v>
      </c>
      <c r="B2170" s="90" t="s">
        <v>2184</v>
      </c>
      <c r="C2170" s="90" t="s">
        <v>2182</v>
      </c>
    </row>
    <row r="2171" spans="1:3" ht="14.4" x14ac:dyDescent="0.3">
      <c r="A2171" s="90" t="s">
        <v>5113</v>
      </c>
      <c r="B2171" s="90" t="s">
        <v>2565</v>
      </c>
      <c r="C2171" s="90" t="s">
        <v>2489</v>
      </c>
    </row>
    <row r="2172" spans="1:3" ht="14.4" x14ac:dyDescent="0.3">
      <c r="A2172" s="90" t="s">
        <v>5114</v>
      </c>
      <c r="B2172" s="90" t="s">
        <v>2661</v>
      </c>
      <c r="C2172" s="90" t="s">
        <v>2633</v>
      </c>
    </row>
    <row r="2173" spans="1:3" ht="14.4" x14ac:dyDescent="0.3">
      <c r="A2173" s="90" t="s">
        <v>5115</v>
      </c>
      <c r="B2173" s="90" t="s">
        <v>2202</v>
      </c>
      <c r="C2173" s="90" t="s">
        <v>2182</v>
      </c>
    </row>
    <row r="2174" spans="1:3" ht="14.4" x14ac:dyDescent="0.3">
      <c r="A2174" s="90" t="s">
        <v>5116</v>
      </c>
      <c r="B2174" s="90" t="s">
        <v>729</v>
      </c>
      <c r="C2174" s="90" t="s">
        <v>675</v>
      </c>
    </row>
    <row r="2175" spans="1:3" ht="14.4" x14ac:dyDescent="0.3">
      <c r="A2175" s="90" t="s">
        <v>5117</v>
      </c>
      <c r="B2175" s="90" t="s">
        <v>1793</v>
      </c>
      <c r="C2175" s="90" t="s">
        <v>1741</v>
      </c>
    </row>
    <row r="2176" spans="1:3" ht="14.4" x14ac:dyDescent="0.3">
      <c r="A2176" s="90" t="s">
        <v>5118</v>
      </c>
      <c r="B2176" s="90" t="s">
        <v>726</v>
      </c>
      <c r="C2176" s="90" t="s">
        <v>675</v>
      </c>
    </row>
    <row r="2177" spans="1:3" ht="14.4" x14ac:dyDescent="0.3">
      <c r="A2177" s="90" t="s">
        <v>5119</v>
      </c>
      <c r="B2177" s="90" t="s">
        <v>2309</v>
      </c>
      <c r="C2177" s="90" t="s">
        <v>2275</v>
      </c>
    </row>
    <row r="2178" spans="1:3" ht="14.4" x14ac:dyDescent="0.3">
      <c r="A2178" s="90" t="s">
        <v>5120</v>
      </c>
      <c r="B2178" s="90" t="s">
        <v>2261</v>
      </c>
      <c r="C2178" s="90" t="s">
        <v>2257</v>
      </c>
    </row>
    <row r="2179" spans="1:3" ht="14.4" x14ac:dyDescent="0.3">
      <c r="A2179" s="90" t="s">
        <v>5121</v>
      </c>
      <c r="B2179" s="90" t="s">
        <v>2846</v>
      </c>
      <c r="C2179" s="90" t="s">
        <v>2839</v>
      </c>
    </row>
    <row r="2180" spans="1:3" ht="14.4" x14ac:dyDescent="0.3">
      <c r="A2180" s="90" t="s">
        <v>5122</v>
      </c>
      <c r="B2180" s="90" t="s">
        <v>2761</v>
      </c>
      <c r="C2180" s="90" t="s">
        <v>2754</v>
      </c>
    </row>
    <row r="2181" spans="1:3" ht="14.4" x14ac:dyDescent="0.3">
      <c r="A2181" s="90" t="s">
        <v>5123</v>
      </c>
      <c r="B2181" s="90" t="s">
        <v>2939</v>
      </c>
      <c r="C2181" s="90" t="s">
        <v>2932</v>
      </c>
    </row>
    <row r="2182" spans="1:3" ht="14.4" x14ac:dyDescent="0.3">
      <c r="A2182" s="90" t="s">
        <v>5124</v>
      </c>
      <c r="B2182" s="90" t="s">
        <v>2059</v>
      </c>
      <c r="C2182" s="90" t="s">
        <v>2015</v>
      </c>
    </row>
    <row r="2183" spans="1:3" ht="14.4" x14ac:dyDescent="0.3">
      <c r="A2183" s="90" t="s">
        <v>5125</v>
      </c>
      <c r="B2183" s="90" t="s">
        <v>1738</v>
      </c>
      <c r="C2183" s="90" t="s">
        <v>1727</v>
      </c>
    </row>
    <row r="2184" spans="1:3" ht="14.4" x14ac:dyDescent="0.3">
      <c r="A2184" s="90" t="s">
        <v>5126</v>
      </c>
      <c r="B2184" s="90" t="s">
        <v>2569</v>
      </c>
      <c r="C2184" s="90" t="s">
        <v>2489</v>
      </c>
    </row>
    <row r="2185" spans="1:3" ht="14.4" x14ac:dyDescent="0.3">
      <c r="A2185" s="90" t="s">
        <v>5127</v>
      </c>
      <c r="B2185" s="90" t="s">
        <v>849</v>
      </c>
      <c r="C2185" s="90" t="s">
        <v>841</v>
      </c>
    </row>
    <row r="2186" spans="1:3" ht="14.4" x14ac:dyDescent="0.3">
      <c r="A2186" s="90" t="s">
        <v>5128</v>
      </c>
      <c r="B2186" s="90" t="s">
        <v>2286</v>
      </c>
      <c r="C2186" s="90" t="s">
        <v>2275</v>
      </c>
    </row>
    <row r="2187" spans="1:3" ht="14.4" x14ac:dyDescent="0.3">
      <c r="A2187" s="90" t="s">
        <v>5129</v>
      </c>
      <c r="B2187" s="90" t="s">
        <v>2384</v>
      </c>
      <c r="C2187" s="90" t="s">
        <v>2365</v>
      </c>
    </row>
    <row r="2188" spans="1:3" ht="14.4" x14ac:dyDescent="0.3">
      <c r="A2188" s="90" t="s">
        <v>5130</v>
      </c>
      <c r="B2188" s="90" t="s">
        <v>1665</v>
      </c>
      <c r="C2188" s="90" t="s">
        <v>1631</v>
      </c>
    </row>
    <row r="2189" spans="1:3" ht="14.4" x14ac:dyDescent="0.3">
      <c r="A2189" s="90" t="s">
        <v>5131</v>
      </c>
      <c r="B2189" s="90" t="s">
        <v>35</v>
      </c>
      <c r="C2189" s="90" t="s">
        <v>7</v>
      </c>
    </row>
    <row r="2190" spans="1:3" ht="14.4" x14ac:dyDescent="0.3">
      <c r="A2190" s="90" t="s">
        <v>5132</v>
      </c>
      <c r="B2190" s="90" t="s">
        <v>1046</v>
      </c>
      <c r="C2190" s="90" t="s">
        <v>1038</v>
      </c>
    </row>
    <row r="2191" spans="1:3" ht="14.4" x14ac:dyDescent="0.3">
      <c r="A2191" s="90" t="s">
        <v>5133</v>
      </c>
      <c r="B2191" s="90" t="s">
        <v>2621</v>
      </c>
      <c r="C2191" s="90" t="s">
        <v>2589</v>
      </c>
    </row>
    <row r="2192" spans="1:3" ht="14.4" x14ac:dyDescent="0.3">
      <c r="A2192" s="90" t="s">
        <v>5134</v>
      </c>
      <c r="B2192" s="90" t="s">
        <v>2631</v>
      </c>
      <c r="C2192" s="90" t="s">
        <v>2628</v>
      </c>
    </row>
    <row r="2193" spans="1:3" ht="14.4" x14ac:dyDescent="0.3">
      <c r="A2193" s="90" t="s">
        <v>5135</v>
      </c>
      <c r="B2193" s="90" t="s">
        <v>160</v>
      </c>
      <c r="C2193" s="90" t="s">
        <v>151</v>
      </c>
    </row>
    <row r="2194" spans="1:3" ht="14.4" x14ac:dyDescent="0.3">
      <c r="A2194" s="90" t="s">
        <v>5136</v>
      </c>
      <c r="B2194" s="90" t="s">
        <v>161</v>
      </c>
      <c r="C2194" s="90" t="s">
        <v>151</v>
      </c>
    </row>
    <row r="2195" spans="1:3" ht="14.4" x14ac:dyDescent="0.3">
      <c r="A2195" s="90" t="s">
        <v>5137</v>
      </c>
      <c r="B2195" s="90" t="s">
        <v>2310</v>
      </c>
      <c r="C2195" s="90" t="s">
        <v>2275</v>
      </c>
    </row>
    <row r="2196" spans="1:3" ht="14.4" x14ac:dyDescent="0.3">
      <c r="A2196" s="90" t="s">
        <v>5138</v>
      </c>
      <c r="B2196" s="90" t="s">
        <v>582</v>
      </c>
      <c r="C2196" s="90" t="s">
        <v>449</v>
      </c>
    </row>
    <row r="2197" spans="1:3" ht="14.4" x14ac:dyDescent="0.3">
      <c r="A2197" s="90" t="s">
        <v>5139</v>
      </c>
      <c r="B2197" s="90" t="s">
        <v>2058</v>
      </c>
      <c r="C2197" s="90" t="s">
        <v>2015</v>
      </c>
    </row>
    <row r="2198" spans="1:3" ht="14.4" x14ac:dyDescent="0.3">
      <c r="A2198" s="90" t="s">
        <v>5140</v>
      </c>
      <c r="B2198" s="90" t="s">
        <v>536</v>
      </c>
      <c r="C2198" s="90" t="s">
        <v>449</v>
      </c>
    </row>
    <row r="2199" spans="1:3" ht="14.4" x14ac:dyDescent="0.3">
      <c r="A2199" s="90" t="s">
        <v>5141</v>
      </c>
      <c r="B2199" s="90" t="s">
        <v>1022</v>
      </c>
      <c r="C2199" s="90" t="s">
        <v>972</v>
      </c>
    </row>
    <row r="2200" spans="1:3" ht="14.4" x14ac:dyDescent="0.3">
      <c r="A2200" s="90" t="s">
        <v>5142</v>
      </c>
      <c r="B2200" s="90" t="s">
        <v>791</v>
      </c>
      <c r="C2200" s="90" t="s">
        <v>776</v>
      </c>
    </row>
    <row r="2201" spans="1:3" ht="14.4" x14ac:dyDescent="0.3">
      <c r="A2201" s="90" t="s">
        <v>5143</v>
      </c>
      <c r="B2201" s="90" t="s">
        <v>1725</v>
      </c>
      <c r="C2201" s="90" t="s">
        <v>1715</v>
      </c>
    </row>
    <row r="2202" spans="1:3" ht="14.4" x14ac:dyDescent="0.3">
      <c r="A2202" s="90" t="s">
        <v>5144</v>
      </c>
      <c r="B2202" s="90" t="s">
        <v>1566</v>
      </c>
      <c r="C2202" s="90" t="s">
        <v>1562</v>
      </c>
    </row>
    <row r="2203" spans="1:3" ht="14.4" x14ac:dyDescent="0.3">
      <c r="A2203" s="90" t="s">
        <v>5145</v>
      </c>
      <c r="B2203" s="90" t="s">
        <v>2799</v>
      </c>
      <c r="C2203" s="90" t="s">
        <v>2767</v>
      </c>
    </row>
    <row r="2204" spans="1:3" ht="14.4" x14ac:dyDescent="0.3">
      <c r="A2204" s="90" t="s">
        <v>5146</v>
      </c>
      <c r="B2204" s="90" t="s">
        <v>1356</v>
      </c>
      <c r="C2204" s="90" t="s">
        <v>1338</v>
      </c>
    </row>
    <row r="2205" spans="1:3" ht="14.4" x14ac:dyDescent="0.3">
      <c r="A2205" s="90" t="s">
        <v>5147</v>
      </c>
      <c r="B2205" s="90" t="s">
        <v>1895</v>
      </c>
      <c r="C2205" s="90" t="s">
        <v>1863</v>
      </c>
    </row>
    <row r="2206" spans="1:3" ht="14.4" x14ac:dyDescent="0.3">
      <c r="A2206" s="90" t="s">
        <v>5148</v>
      </c>
      <c r="B2206" s="90" t="s">
        <v>1429</v>
      </c>
      <c r="C2206" s="90" t="s">
        <v>1392</v>
      </c>
    </row>
    <row r="2207" spans="1:3" ht="14.4" x14ac:dyDescent="0.3">
      <c r="A2207" s="90" t="s">
        <v>5149</v>
      </c>
      <c r="B2207" s="90" t="s">
        <v>583</v>
      </c>
      <c r="C2207" s="90" t="s">
        <v>449</v>
      </c>
    </row>
    <row r="2208" spans="1:3" ht="14.4" x14ac:dyDescent="0.3">
      <c r="A2208" s="90" t="s">
        <v>5150</v>
      </c>
      <c r="B2208" s="90" t="s">
        <v>162</v>
      </c>
      <c r="C2208" s="90" t="s">
        <v>151</v>
      </c>
    </row>
    <row r="2209" spans="1:3" ht="14.4" x14ac:dyDescent="0.3">
      <c r="A2209" s="90" t="s">
        <v>5151</v>
      </c>
      <c r="B2209" s="90" t="s">
        <v>2847</v>
      </c>
      <c r="C2209" s="90" t="s">
        <v>2839</v>
      </c>
    </row>
    <row r="2210" spans="1:3" ht="14.4" x14ac:dyDescent="0.3">
      <c r="A2210" s="90" t="s">
        <v>5152</v>
      </c>
      <c r="B2210" s="90" t="s">
        <v>1357</v>
      </c>
      <c r="C2210" s="90" t="s">
        <v>1338</v>
      </c>
    </row>
    <row r="2211" spans="1:3" ht="14.4" x14ac:dyDescent="0.3">
      <c r="A2211" s="90" t="s">
        <v>5153</v>
      </c>
      <c r="B2211" s="90" t="s">
        <v>610</v>
      </c>
      <c r="C2211" s="90" t="s">
        <v>604</v>
      </c>
    </row>
    <row r="2212" spans="1:3" ht="14.4" x14ac:dyDescent="0.3">
      <c r="A2212" s="90" t="s">
        <v>5154</v>
      </c>
      <c r="B2212" s="90" t="s">
        <v>2482</v>
      </c>
      <c r="C2212" s="90" t="s">
        <v>2468</v>
      </c>
    </row>
    <row r="2213" spans="1:3" ht="14.4" x14ac:dyDescent="0.3">
      <c r="A2213" s="90" t="s">
        <v>5155</v>
      </c>
      <c r="B2213" s="90" t="s">
        <v>434</v>
      </c>
      <c r="C2213" s="90" t="s">
        <v>433</v>
      </c>
    </row>
    <row r="2214" spans="1:3" ht="14.4" x14ac:dyDescent="0.3">
      <c r="A2214" s="90" t="s">
        <v>5156</v>
      </c>
      <c r="B2214" s="90" t="s">
        <v>142</v>
      </c>
      <c r="C2214" s="90" t="s">
        <v>116</v>
      </c>
    </row>
    <row r="2215" spans="1:3" ht="14.4" x14ac:dyDescent="0.3">
      <c r="A2215" s="90" t="s">
        <v>5157</v>
      </c>
      <c r="B2215" s="90" t="s">
        <v>1131</v>
      </c>
      <c r="C2215" s="90" t="s">
        <v>1106</v>
      </c>
    </row>
    <row r="2216" spans="1:3" ht="14.4" x14ac:dyDescent="0.3">
      <c r="A2216" s="90" t="s">
        <v>5158</v>
      </c>
      <c r="B2216" s="90" t="s">
        <v>388</v>
      </c>
      <c r="C2216" s="90" t="s">
        <v>203</v>
      </c>
    </row>
    <row r="2217" spans="1:3" ht="14.4" x14ac:dyDescent="0.3">
      <c r="A2217" s="90" t="s">
        <v>5159</v>
      </c>
      <c r="B2217" s="90" t="s">
        <v>814</v>
      </c>
      <c r="C2217" s="90" t="s">
        <v>800</v>
      </c>
    </row>
    <row r="2218" spans="1:3" ht="14.4" x14ac:dyDescent="0.3">
      <c r="A2218" s="90" t="s">
        <v>5160</v>
      </c>
      <c r="B2218" s="90" t="s">
        <v>60</v>
      </c>
      <c r="C2218" s="90" t="s">
        <v>50</v>
      </c>
    </row>
    <row r="2219" spans="1:3" ht="14.4" x14ac:dyDescent="0.3">
      <c r="A2219" s="90" t="s">
        <v>5161</v>
      </c>
      <c r="B2219" s="90" t="s">
        <v>2795</v>
      </c>
      <c r="C2219" s="90" t="s">
        <v>2767</v>
      </c>
    </row>
    <row r="2220" spans="1:3" ht="14.4" x14ac:dyDescent="0.3">
      <c r="A2220" s="90" t="s">
        <v>5162</v>
      </c>
      <c r="B2220" s="90" t="s">
        <v>389</v>
      </c>
      <c r="C2220" s="90" t="s">
        <v>203</v>
      </c>
    </row>
    <row r="2221" spans="1:3" ht="14.4" x14ac:dyDescent="0.3">
      <c r="A2221" s="90" t="s">
        <v>5163</v>
      </c>
      <c r="B2221" s="90" t="s">
        <v>614</v>
      </c>
      <c r="C2221" s="90" t="s">
        <v>613</v>
      </c>
    </row>
    <row r="2222" spans="1:3" ht="14.4" x14ac:dyDescent="0.3">
      <c r="A2222" s="90" t="s">
        <v>5164</v>
      </c>
      <c r="B2222" s="90" t="s">
        <v>2725</v>
      </c>
      <c r="C2222" s="90" t="s">
        <v>2683</v>
      </c>
    </row>
    <row r="2223" spans="1:3" ht="14.4" x14ac:dyDescent="0.3">
      <c r="A2223" s="90" t="s">
        <v>5165</v>
      </c>
      <c r="B2223" s="90" t="s">
        <v>391</v>
      </c>
      <c r="C2223" s="90" t="s">
        <v>203</v>
      </c>
    </row>
    <row r="2224" spans="1:3" ht="14.4" x14ac:dyDescent="0.3">
      <c r="A2224" s="90" t="s">
        <v>5166</v>
      </c>
      <c r="B2224" s="90" t="s">
        <v>2067</v>
      </c>
      <c r="C2224" s="90" t="s">
        <v>2066</v>
      </c>
    </row>
    <row r="2225" spans="1:3" ht="14.4" x14ac:dyDescent="0.3">
      <c r="A2225" s="90" t="s">
        <v>5167</v>
      </c>
      <c r="B2225" s="90" t="s">
        <v>394</v>
      </c>
      <c r="C2225" s="90" t="s">
        <v>203</v>
      </c>
    </row>
    <row r="2226" spans="1:3" ht="14.4" x14ac:dyDescent="0.3">
      <c r="A2226" s="90" t="s">
        <v>5168</v>
      </c>
      <c r="B2226" s="90" t="s">
        <v>2313</v>
      </c>
      <c r="C2226" s="90" t="s">
        <v>2275</v>
      </c>
    </row>
    <row r="2227" spans="1:3" ht="14.4" x14ac:dyDescent="0.3">
      <c r="A2227" s="90" t="s">
        <v>5169</v>
      </c>
      <c r="B2227" s="90" t="s">
        <v>2681</v>
      </c>
      <c r="C2227" s="90" t="s">
        <v>2669</v>
      </c>
    </row>
    <row r="2228" spans="1:3" ht="14.4" x14ac:dyDescent="0.3">
      <c r="A2228" s="90" t="s">
        <v>5170</v>
      </c>
      <c r="B2228" s="90" t="s">
        <v>873</v>
      </c>
      <c r="C2228" s="90" t="s">
        <v>871</v>
      </c>
    </row>
    <row r="2229" spans="1:3" ht="14.4" x14ac:dyDescent="0.3">
      <c r="A2229" s="90" t="s">
        <v>5171</v>
      </c>
      <c r="B2229" s="90" t="s">
        <v>2899</v>
      </c>
      <c r="C2229" s="90" t="s">
        <v>2874</v>
      </c>
    </row>
    <row r="2230" spans="1:3" ht="14.4" x14ac:dyDescent="0.3">
      <c r="A2230" s="90" t="s">
        <v>5172</v>
      </c>
      <c r="B2230" s="90" t="s">
        <v>1962</v>
      </c>
      <c r="C2230" s="90" t="s">
        <v>1955</v>
      </c>
    </row>
    <row r="2231" spans="1:3" ht="14.4" x14ac:dyDescent="0.3">
      <c r="A2231" s="90" t="s">
        <v>5173</v>
      </c>
      <c r="B2231" s="90" t="s">
        <v>2762</v>
      </c>
      <c r="C2231" s="90" t="s">
        <v>2754</v>
      </c>
    </row>
    <row r="2232" spans="1:3" ht="14.4" x14ac:dyDescent="0.3">
      <c r="A2232" s="90" t="s">
        <v>5174</v>
      </c>
      <c r="B2232" s="90" t="s">
        <v>750</v>
      </c>
      <c r="C2232" s="90" t="s">
        <v>744</v>
      </c>
    </row>
    <row r="2233" spans="1:3" ht="14.4" x14ac:dyDescent="0.3">
      <c r="A2233" s="90" t="s">
        <v>5175</v>
      </c>
      <c r="B2233" s="90" t="s">
        <v>1938</v>
      </c>
      <c r="C2233" s="90" t="s">
        <v>1933</v>
      </c>
    </row>
    <row r="2234" spans="1:3" ht="14.4" x14ac:dyDescent="0.3">
      <c r="A2234" s="90" t="s">
        <v>5176</v>
      </c>
      <c r="B2234" s="90" t="s">
        <v>2664</v>
      </c>
      <c r="C2234" s="90" t="s">
        <v>2633</v>
      </c>
    </row>
    <row r="2235" spans="1:3" ht="14.4" x14ac:dyDescent="0.3">
      <c r="A2235" s="90" t="s">
        <v>5177</v>
      </c>
      <c r="B2235" s="90" t="s">
        <v>1083</v>
      </c>
      <c r="C2235" s="90" t="s">
        <v>1050</v>
      </c>
    </row>
    <row r="2236" spans="1:3" ht="14.4" x14ac:dyDescent="0.3">
      <c r="A2236" s="90" t="s">
        <v>5178</v>
      </c>
      <c r="B2236" s="90" t="s">
        <v>1084</v>
      </c>
      <c r="C2236" s="90" t="s">
        <v>1050</v>
      </c>
    </row>
    <row r="2237" spans="1:3" ht="14.4" x14ac:dyDescent="0.3">
      <c r="A2237" s="90" t="s">
        <v>5179</v>
      </c>
      <c r="B2237" s="90" t="s">
        <v>672</v>
      </c>
      <c r="C2237" s="90" t="s">
        <v>661</v>
      </c>
    </row>
    <row r="2238" spans="1:3" ht="14.4" x14ac:dyDescent="0.3">
      <c r="A2238" s="90" t="s">
        <v>5180</v>
      </c>
      <c r="B2238" s="90" t="s">
        <v>839</v>
      </c>
      <c r="C2238" s="90" t="s">
        <v>837</v>
      </c>
    </row>
    <row r="2239" spans="1:3" ht="14.4" x14ac:dyDescent="0.3">
      <c r="A2239" s="90" t="s">
        <v>5181</v>
      </c>
      <c r="B2239" s="90" t="s">
        <v>1283</v>
      </c>
      <c r="C2239" s="90" t="s">
        <v>1268</v>
      </c>
    </row>
    <row r="2240" spans="1:3" ht="14.4" x14ac:dyDescent="0.3">
      <c r="A2240" s="90" t="s">
        <v>5182</v>
      </c>
      <c r="B2240" s="90" t="s">
        <v>111</v>
      </c>
      <c r="C2240" s="90" t="s">
        <v>91</v>
      </c>
    </row>
    <row r="2241" spans="1:3" ht="14.4" x14ac:dyDescent="0.3">
      <c r="A2241" s="90" t="s">
        <v>5183</v>
      </c>
      <c r="B2241" s="90" t="s">
        <v>2571</v>
      </c>
      <c r="C2241" s="90" t="s">
        <v>2489</v>
      </c>
    </row>
    <row r="2242" spans="1:3" ht="14.4" x14ac:dyDescent="0.3">
      <c r="A2242" s="90" t="s">
        <v>5184</v>
      </c>
      <c r="B2242" s="90" t="s">
        <v>1517</v>
      </c>
      <c r="C2242" s="90" t="s">
        <v>1513</v>
      </c>
    </row>
    <row r="2243" spans="1:3" ht="14.4" x14ac:dyDescent="0.3">
      <c r="A2243" s="90" t="s">
        <v>5185</v>
      </c>
      <c r="B2243" s="90" t="s">
        <v>857</v>
      </c>
      <c r="C2243" s="90" t="s">
        <v>856</v>
      </c>
    </row>
    <row r="2244" spans="1:3" ht="14.4" x14ac:dyDescent="0.3">
      <c r="A2244" s="90" t="s">
        <v>5186</v>
      </c>
      <c r="B2244" s="90" t="s">
        <v>1904</v>
      </c>
      <c r="C2244" s="90" t="s">
        <v>1901</v>
      </c>
    </row>
    <row r="2245" spans="1:3" ht="14.4" x14ac:dyDescent="0.3">
      <c r="A2245" s="90" t="s">
        <v>5187</v>
      </c>
      <c r="B2245" s="90" t="s">
        <v>141</v>
      </c>
      <c r="C2245" s="90" t="s">
        <v>116</v>
      </c>
    </row>
    <row r="2246" spans="1:3" ht="14.4" x14ac:dyDescent="0.3">
      <c r="A2246" s="90" t="s">
        <v>5188</v>
      </c>
      <c r="B2246" s="90" t="s">
        <v>587</v>
      </c>
      <c r="C2246" s="90" t="s">
        <v>449</v>
      </c>
    </row>
    <row r="2247" spans="1:3" ht="14.4" x14ac:dyDescent="0.3">
      <c r="A2247" s="90" t="s">
        <v>5189</v>
      </c>
      <c r="B2247" s="90" t="s">
        <v>1624</v>
      </c>
      <c r="C2247" s="90" t="s">
        <v>1606</v>
      </c>
    </row>
    <row r="2248" spans="1:3" ht="14.4" x14ac:dyDescent="0.3">
      <c r="A2248" s="90" t="s">
        <v>5190</v>
      </c>
      <c r="B2248" s="90" t="s">
        <v>1846</v>
      </c>
      <c r="C2248" s="90" t="s">
        <v>1840</v>
      </c>
    </row>
    <row r="2249" spans="1:3" ht="14.4" x14ac:dyDescent="0.3">
      <c r="A2249" s="90" t="s">
        <v>5191</v>
      </c>
      <c r="B2249" s="90" t="s">
        <v>1896</v>
      </c>
      <c r="C2249" s="90" t="s">
        <v>1863</v>
      </c>
    </row>
    <row r="2250" spans="1:3" ht="14.4" x14ac:dyDescent="0.3">
      <c r="A2250" s="90" t="s">
        <v>5192</v>
      </c>
      <c r="B2250" s="90" t="s">
        <v>730</v>
      </c>
      <c r="C2250" s="90" t="s">
        <v>675</v>
      </c>
    </row>
    <row r="2251" spans="1:3" ht="14.4" x14ac:dyDescent="0.3">
      <c r="A2251" s="90" t="s">
        <v>5193</v>
      </c>
      <c r="B2251" s="90" t="s">
        <v>773</v>
      </c>
      <c r="C2251" s="90" t="s">
        <v>744</v>
      </c>
    </row>
    <row r="2252" spans="1:3" ht="14.4" x14ac:dyDescent="0.3">
      <c r="A2252" s="90" t="s">
        <v>5194</v>
      </c>
      <c r="B2252" s="90" t="s">
        <v>390</v>
      </c>
      <c r="C2252" s="90" t="s">
        <v>203</v>
      </c>
    </row>
    <row r="2253" spans="1:3" ht="14.4" x14ac:dyDescent="0.3">
      <c r="A2253" s="90" t="s">
        <v>5195</v>
      </c>
      <c r="B2253" s="90" t="s">
        <v>140</v>
      </c>
      <c r="C2253" s="90" t="s">
        <v>116</v>
      </c>
    </row>
    <row r="2254" spans="1:3" ht="14.4" x14ac:dyDescent="0.3">
      <c r="A2254" s="90" t="s">
        <v>5196</v>
      </c>
      <c r="B2254" s="90" t="s">
        <v>2484</v>
      </c>
      <c r="C2254" s="90" t="s">
        <v>2468</v>
      </c>
    </row>
    <row r="2255" spans="1:3" ht="14.4" x14ac:dyDescent="0.3">
      <c r="A2255" s="90" t="s">
        <v>5197</v>
      </c>
      <c r="B2255" s="90" t="s">
        <v>1942</v>
      </c>
      <c r="C2255" s="90" t="s">
        <v>1933</v>
      </c>
    </row>
    <row r="2256" spans="1:3" ht="14.4" x14ac:dyDescent="0.3">
      <c r="A2256" s="90" t="s">
        <v>5198</v>
      </c>
      <c r="B2256" s="90" t="s">
        <v>1233</v>
      </c>
      <c r="C2256" s="90" t="s">
        <v>1229</v>
      </c>
    </row>
    <row r="2257" spans="1:3" ht="14.4" x14ac:dyDescent="0.3">
      <c r="A2257" s="90" t="s">
        <v>5199</v>
      </c>
      <c r="B2257" s="90" t="s">
        <v>225</v>
      </c>
      <c r="C2257" s="90" t="s">
        <v>203</v>
      </c>
    </row>
    <row r="2258" spans="1:3" ht="14.4" x14ac:dyDescent="0.3">
      <c r="A2258" s="90" t="s">
        <v>5200</v>
      </c>
      <c r="B2258" s="90" t="s">
        <v>2158</v>
      </c>
      <c r="C2258" s="90" t="s">
        <v>2153</v>
      </c>
    </row>
    <row r="2259" spans="1:3" ht="14.4" x14ac:dyDescent="0.3">
      <c r="A2259" s="90" t="s">
        <v>5201</v>
      </c>
      <c r="B2259" s="90" t="s">
        <v>1232</v>
      </c>
      <c r="C2259" s="90" t="s">
        <v>1229</v>
      </c>
    </row>
    <row r="2260" spans="1:3" ht="14.4" x14ac:dyDescent="0.3">
      <c r="A2260" s="90" t="s">
        <v>5202</v>
      </c>
      <c r="B2260" s="90" t="s">
        <v>392</v>
      </c>
      <c r="C2260" s="90" t="s">
        <v>203</v>
      </c>
    </row>
    <row r="2261" spans="1:3" ht="14.4" x14ac:dyDescent="0.3">
      <c r="A2261" s="90" t="s">
        <v>5203</v>
      </c>
      <c r="B2261" s="90" t="s">
        <v>609</v>
      </c>
      <c r="C2261" s="90" t="s">
        <v>604</v>
      </c>
    </row>
    <row r="2262" spans="1:3" ht="14.4" x14ac:dyDescent="0.3">
      <c r="A2262" s="90" t="s">
        <v>5204</v>
      </c>
      <c r="B2262" s="90" t="s">
        <v>398</v>
      </c>
      <c r="C2262" s="90" t="s">
        <v>203</v>
      </c>
    </row>
    <row r="2263" spans="1:3" ht="14.4" x14ac:dyDescent="0.3">
      <c r="A2263" s="90" t="s">
        <v>5205</v>
      </c>
      <c r="B2263" s="90" t="s">
        <v>86</v>
      </c>
      <c r="C2263" s="90" t="s">
        <v>72</v>
      </c>
    </row>
    <row r="2264" spans="1:3" ht="14.4" x14ac:dyDescent="0.3">
      <c r="A2264" s="90" t="s">
        <v>5206</v>
      </c>
      <c r="B2264" s="90" t="s">
        <v>586</v>
      </c>
      <c r="C2264" s="90" t="s">
        <v>449</v>
      </c>
    </row>
    <row r="2265" spans="1:3" ht="14.4" x14ac:dyDescent="0.3">
      <c r="A2265" s="90" t="s">
        <v>5207</v>
      </c>
      <c r="B2265" s="90" t="s">
        <v>584</v>
      </c>
      <c r="C2265" s="90" t="s">
        <v>449</v>
      </c>
    </row>
    <row r="2266" spans="1:3" ht="14.4" x14ac:dyDescent="0.3">
      <c r="A2266" s="90" t="s">
        <v>5208</v>
      </c>
      <c r="B2266" s="90" t="s">
        <v>1224</v>
      </c>
      <c r="C2266" s="90" t="s">
        <v>1220</v>
      </c>
    </row>
    <row r="2267" spans="1:3" ht="14.4" x14ac:dyDescent="0.3">
      <c r="A2267" s="90" t="s">
        <v>5209</v>
      </c>
      <c r="B2267" s="90" t="s">
        <v>1625</v>
      </c>
      <c r="C2267" s="90" t="s">
        <v>1606</v>
      </c>
    </row>
    <row r="2268" spans="1:3" ht="14.4" x14ac:dyDescent="0.3">
      <c r="A2268" s="90" t="s">
        <v>5210</v>
      </c>
      <c r="B2268" s="90" t="s">
        <v>1087</v>
      </c>
      <c r="C2268" s="90" t="s">
        <v>1050</v>
      </c>
    </row>
    <row r="2269" spans="1:3" ht="14.4" x14ac:dyDescent="0.3">
      <c r="A2269" s="90" t="s">
        <v>5211</v>
      </c>
      <c r="B2269" s="90" t="s">
        <v>2311</v>
      </c>
      <c r="C2269" s="90" t="s">
        <v>2275</v>
      </c>
    </row>
    <row r="2270" spans="1:3" ht="14.4" x14ac:dyDescent="0.3">
      <c r="A2270" s="90" t="s">
        <v>5212</v>
      </c>
      <c r="B2270" s="90" t="s">
        <v>223</v>
      </c>
      <c r="C2270" s="90" t="s">
        <v>203</v>
      </c>
    </row>
    <row r="2271" spans="1:3" ht="14.4" x14ac:dyDescent="0.3">
      <c r="A2271" s="90" t="s">
        <v>5213</v>
      </c>
      <c r="B2271" s="90" t="s">
        <v>2796</v>
      </c>
      <c r="C2271" s="90" t="s">
        <v>2767</v>
      </c>
    </row>
    <row r="2272" spans="1:3" ht="14.4" x14ac:dyDescent="0.3">
      <c r="A2272" s="90" t="s">
        <v>5214</v>
      </c>
      <c r="B2272" s="90" t="s">
        <v>915</v>
      </c>
      <c r="C2272" s="90" t="s">
        <v>909</v>
      </c>
    </row>
    <row r="2273" spans="1:3" ht="14.4" x14ac:dyDescent="0.3">
      <c r="A2273" s="90" t="s">
        <v>5215</v>
      </c>
      <c r="B2273" s="90" t="s">
        <v>780</v>
      </c>
      <c r="C2273" s="90" t="s">
        <v>776</v>
      </c>
    </row>
    <row r="2274" spans="1:3" ht="14.4" x14ac:dyDescent="0.3">
      <c r="A2274" s="90" t="s">
        <v>5216</v>
      </c>
      <c r="B2274" s="90" t="s">
        <v>2104</v>
      </c>
      <c r="C2274" s="90" t="s">
        <v>2087</v>
      </c>
    </row>
    <row r="2275" spans="1:3" ht="14.4" x14ac:dyDescent="0.3">
      <c r="A2275" s="90" t="s">
        <v>5217</v>
      </c>
      <c r="B2275" s="90" t="s">
        <v>1216</v>
      </c>
      <c r="C2275" s="90" t="s">
        <v>1208</v>
      </c>
    </row>
    <row r="2276" spans="1:3" ht="14.4" x14ac:dyDescent="0.3">
      <c r="A2276" s="90" t="s">
        <v>5218</v>
      </c>
      <c r="B2276" s="90" t="s">
        <v>830</v>
      </c>
      <c r="C2276" s="90" t="s">
        <v>800</v>
      </c>
    </row>
    <row r="2277" spans="1:3" ht="14.4" x14ac:dyDescent="0.3">
      <c r="A2277" s="90" t="s">
        <v>5219</v>
      </c>
      <c r="B2277" s="90" t="s">
        <v>2663</v>
      </c>
      <c r="C2277" s="90" t="s">
        <v>2633</v>
      </c>
    </row>
    <row r="2278" spans="1:3" ht="14.4" x14ac:dyDescent="0.3">
      <c r="A2278" s="90" t="s">
        <v>5220</v>
      </c>
      <c r="B2278" s="90" t="s">
        <v>2359</v>
      </c>
      <c r="C2278" s="90" t="s">
        <v>2328</v>
      </c>
    </row>
    <row r="2279" spans="1:3" ht="14.4" x14ac:dyDescent="0.3">
      <c r="A2279" s="90" t="s">
        <v>5221</v>
      </c>
      <c r="B2279" s="90" t="s">
        <v>1571</v>
      </c>
      <c r="C2279" s="90" t="s">
        <v>1568</v>
      </c>
    </row>
    <row r="2280" spans="1:3" ht="14.4" x14ac:dyDescent="0.3">
      <c r="A2280" s="90" t="s">
        <v>5222</v>
      </c>
      <c r="B2280" s="90" t="s">
        <v>1430</v>
      </c>
      <c r="C2280" s="90" t="s">
        <v>1392</v>
      </c>
    </row>
    <row r="2281" spans="1:3" ht="14.4" x14ac:dyDescent="0.3">
      <c r="A2281" s="90" t="s">
        <v>5223</v>
      </c>
      <c r="B2281" s="90" t="s">
        <v>2463</v>
      </c>
      <c r="C2281" s="90" t="s">
        <v>2421</v>
      </c>
    </row>
    <row r="2282" spans="1:3" ht="14.4" x14ac:dyDescent="0.3">
      <c r="A2282" s="90" t="s">
        <v>5224</v>
      </c>
      <c r="B2282" s="90" t="s">
        <v>2020</v>
      </c>
      <c r="C2282" s="90" t="s">
        <v>2015</v>
      </c>
    </row>
    <row r="2283" spans="1:3" ht="14.4" x14ac:dyDescent="0.3">
      <c r="A2283" s="90" t="s">
        <v>5225</v>
      </c>
      <c r="B2283" s="90" t="s">
        <v>611</v>
      </c>
      <c r="C2283" s="90" t="s">
        <v>604</v>
      </c>
    </row>
    <row r="2284" spans="1:3" ht="14.4" x14ac:dyDescent="0.3">
      <c r="A2284" s="90" t="s">
        <v>5226</v>
      </c>
      <c r="B2284" s="90" t="s">
        <v>1326</v>
      </c>
      <c r="C2284" s="90" t="s">
        <v>1313</v>
      </c>
    </row>
    <row r="2285" spans="1:3" ht="14.4" x14ac:dyDescent="0.3">
      <c r="A2285" s="90" t="s">
        <v>5227</v>
      </c>
      <c r="B2285" s="90" t="s">
        <v>402</v>
      </c>
      <c r="C2285" s="90" t="s">
        <v>203</v>
      </c>
    </row>
    <row r="2286" spans="1:3" ht="14.4" x14ac:dyDescent="0.3">
      <c r="A2286" s="90" t="s">
        <v>5228</v>
      </c>
      <c r="B2286" s="90" t="s">
        <v>1537</v>
      </c>
      <c r="C2286" s="90" t="s">
        <v>1513</v>
      </c>
    </row>
    <row r="2287" spans="1:3" ht="14.4" x14ac:dyDescent="0.3">
      <c r="A2287" s="90" t="s">
        <v>5229</v>
      </c>
      <c r="B2287" s="90" t="s">
        <v>2915</v>
      </c>
      <c r="C2287" s="90" t="s">
        <v>2904</v>
      </c>
    </row>
    <row r="2288" spans="1:3" ht="14.4" x14ac:dyDescent="0.3">
      <c r="A2288" s="90" t="s">
        <v>5230</v>
      </c>
      <c r="B2288" s="90" t="s">
        <v>1881</v>
      </c>
      <c r="C2288" s="90" t="s">
        <v>1863</v>
      </c>
    </row>
    <row r="2289" spans="1:3" ht="14.4" x14ac:dyDescent="0.3">
      <c r="A2289" s="90" t="s">
        <v>5231</v>
      </c>
      <c r="B2289" s="90" t="s">
        <v>2930</v>
      </c>
      <c r="C2289" s="90" t="s">
        <v>2919</v>
      </c>
    </row>
    <row r="2290" spans="1:3" ht="14.4" x14ac:dyDescent="0.3">
      <c r="A2290" s="90" t="s">
        <v>5232</v>
      </c>
      <c r="B2290" s="90" t="s">
        <v>2185</v>
      </c>
      <c r="C2290" s="90" t="s">
        <v>2182</v>
      </c>
    </row>
    <row r="2291" spans="1:3" ht="14.4" x14ac:dyDescent="0.3">
      <c r="A2291" s="90" t="s">
        <v>5233</v>
      </c>
      <c r="B2291" s="90" t="s">
        <v>1215</v>
      </c>
      <c r="C2291" s="90" t="s">
        <v>1208</v>
      </c>
    </row>
    <row r="2292" spans="1:3" ht="14.4" x14ac:dyDescent="0.3">
      <c r="A2292" s="90" t="s">
        <v>5234</v>
      </c>
      <c r="B2292" s="90" t="s">
        <v>58</v>
      </c>
      <c r="C2292" s="90" t="s">
        <v>50</v>
      </c>
    </row>
    <row r="2293" spans="1:3" ht="14.4" x14ac:dyDescent="0.3">
      <c r="A2293" s="90" t="s">
        <v>5235</v>
      </c>
      <c r="B2293" s="90" t="s">
        <v>2424</v>
      </c>
      <c r="C2293" s="90" t="s">
        <v>2421</v>
      </c>
    </row>
    <row r="2294" spans="1:3" ht="14.4" x14ac:dyDescent="0.3">
      <c r="A2294" s="90" t="s">
        <v>5236</v>
      </c>
      <c r="B2294" s="90" t="s">
        <v>1828</v>
      </c>
      <c r="C2294" s="90" t="s">
        <v>1800</v>
      </c>
    </row>
    <row r="2295" spans="1:3" ht="14.4" x14ac:dyDescent="0.3">
      <c r="A2295" s="90" t="s">
        <v>5237</v>
      </c>
      <c r="B2295" s="90" t="s">
        <v>1333</v>
      </c>
      <c r="C2295" s="90" t="s">
        <v>1331</v>
      </c>
    </row>
    <row r="2296" spans="1:3" ht="14.4" x14ac:dyDescent="0.3">
      <c r="A2296" s="90" t="s">
        <v>5238</v>
      </c>
      <c r="B2296" s="90" t="s">
        <v>2150</v>
      </c>
      <c r="C2296" s="90" t="s">
        <v>2124</v>
      </c>
    </row>
    <row r="2297" spans="1:3" ht="14.4" x14ac:dyDescent="0.3">
      <c r="A2297" s="90" t="s">
        <v>5239</v>
      </c>
      <c r="B2297" s="90" t="s">
        <v>1916</v>
      </c>
      <c r="C2297" s="90" t="s">
        <v>1901</v>
      </c>
    </row>
    <row r="2298" spans="1:3" ht="14.4" x14ac:dyDescent="0.3">
      <c r="A2298" s="90" t="s">
        <v>5240</v>
      </c>
      <c r="B2298" s="90" t="s">
        <v>898</v>
      </c>
      <c r="C2298" s="90" t="s">
        <v>874</v>
      </c>
    </row>
    <row r="2299" spans="1:3" ht="14.4" x14ac:dyDescent="0.3">
      <c r="A2299" s="90" t="s">
        <v>5241</v>
      </c>
      <c r="B2299" s="90" t="s">
        <v>1753</v>
      </c>
      <c r="C2299" s="90" t="s">
        <v>1741</v>
      </c>
    </row>
    <row r="2300" spans="1:3" ht="14.4" x14ac:dyDescent="0.3">
      <c r="A2300" s="90" t="s">
        <v>5242</v>
      </c>
      <c r="B2300" s="90" t="s">
        <v>2330</v>
      </c>
      <c r="C2300" s="90" t="s">
        <v>2328</v>
      </c>
    </row>
    <row r="2301" spans="1:3" ht="14.4" x14ac:dyDescent="0.3">
      <c r="A2301" s="90" t="s">
        <v>5243</v>
      </c>
      <c r="B2301" s="90" t="s">
        <v>831</v>
      </c>
      <c r="C2301" s="90" t="s">
        <v>800</v>
      </c>
    </row>
    <row r="2302" spans="1:3" ht="14.4" x14ac:dyDescent="0.3">
      <c r="A2302" s="90" t="s">
        <v>5244</v>
      </c>
      <c r="B2302" s="90" t="s">
        <v>49</v>
      </c>
      <c r="C2302" s="90" t="s">
        <v>42</v>
      </c>
    </row>
    <row r="2303" spans="1:3" ht="14.4" x14ac:dyDescent="0.3">
      <c r="A2303" s="90" t="s">
        <v>5245</v>
      </c>
      <c r="B2303" s="90" t="s">
        <v>399</v>
      </c>
      <c r="C2303" s="90" t="s">
        <v>203</v>
      </c>
    </row>
    <row r="2304" spans="1:3" ht="14.4" x14ac:dyDescent="0.3">
      <c r="A2304" s="90" t="s">
        <v>5246</v>
      </c>
      <c r="B2304" s="90" t="s">
        <v>189</v>
      </c>
      <c r="C2304" s="90" t="s">
        <v>168</v>
      </c>
    </row>
    <row r="2305" spans="1:3" ht="14.4" x14ac:dyDescent="0.3">
      <c r="A2305" s="90" t="s">
        <v>5247</v>
      </c>
      <c r="B2305" s="90" t="s">
        <v>2462</v>
      </c>
      <c r="C2305" s="90" t="s">
        <v>2421</v>
      </c>
    </row>
    <row r="2306" spans="1:3" ht="14.4" x14ac:dyDescent="0.3">
      <c r="A2306" s="90" t="s">
        <v>5248</v>
      </c>
      <c r="B2306" s="90" t="s">
        <v>1796</v>
      </c>
      <c r="C2306" s="90" t="s">
        <v>1741</v>
      </c>
    </row>
    <row r="2307" spans="1:3" ht="14.4" x14ac:dyDescent="0.3">
      <c r="A2307" s="90" t="s">
        <v>5249</v>
      </c>
      <c r="B2307" s="90" t="s">
        <v>2820</v>
      </c>
      <c r="C2307" s="90" t="s">
        <v>2819</v>
      </c>
    </row>
    <row r="2308" spans="1:3" ht="14.4" x14ac:dyDescent="0.3">
      <c r="A2308" s="90" t="s">
        <v>5250</v>
      </c>
      <c r="B2308" s="90" t="s">
        <v>400</v>
      </c>
      <c r="C2308" s="90" t="s">
        <v>203</v>
      </c>
    </row>
    <row r="2309" spans="1:3" ht="14.4" x14ac:dyDescent="0.3">
      <c r="A2309" s="90" t="s">
        <v>5251</v>
      </c>
      <c r="B2309" s="90" t="s">
        <v>1432</v>
      </c>
      <c r="C2309" s="90" t="s">
        <v>1392</v>
      </c>
    </row>
    <row r="2310" spans="1:3" ht="14.4" x14ac:dyDescent="0.3">
      <c r="A2310" s="90" t="s">
        <v>5252</v>
      </c>
      <c r="B2310" s="90" t="s">
        <v>2577</v>
      </c>
      <c r="C2310" s="90" t="s">
        <v>2489</v>
      </c>
    </row>
    <row r="2311" spans="1:3" ht="14.4" x14ac:dyDescent="0.3">
      <c r="A2311" s="90" t="s">
        <v>5253</v>
      </c>
      <c r="B2311" s="90" t="s">
        <v>1332</v>
      </c>
      <c r="C2311" s="90" t="s">
        <v>1331</v>
      </c>
    </row>
    <row r="2312" spans="1:3" ht="14.4" x14ac:dyDescent="0.3">
      <c r="A2312" s="90" t="s">
        <v>5254</v>
      </c>
      <c r="B2312" s="90" t="s">
        <v>1086</v>
      </c>
      <c r="C2312" s="90" t="s">
        <v>1050</v>
      </c>
    </row>
    <row r="2313" spans="1:3" ht="14.4" x14ac:dyDescent="0.3">
      <c r="A2313" s="90" t="s">
        <v>5255</v>
      </c>
      <c r="B2313" s="90" t="s">
        <v>2082</v>
      </c>
      <c r="C2313" s="90" t="s">
        <v>2066</v>
      </c>
    </row>
    <row r="2314" spans="1:3" ht="14.4" x14ac:dyDescent="0.3">
      <c r="A2314" s="90" t="s">
        <v>5256</v>
      </c>
      <c r="B2314" s="90" t="s">
        <v>1028</v>
      </c>
      <c r="C2314" s="90" t="s">
        <v>972</v>
      </c>
    </row>
    <row r="2315" spans="1:3" ht="14.4" x14ac:dyDescent="0.3">
      <c r="A2315" s="90" t="s">
        <v>5257</v>
      </c>
      <c r="B2315" s="90" t="s">
        <v>623</v>
      </c>
      <c r="C2315" s="90" t="s">
        <v>613</v>
      </c>
    </row>
    <row r="2316" spans="1:3" ht="14.4" x14ac:dyDescent="0.3">
      <c r="A2316" s="90" t="s">
        <v>5258</v>
      </c>
      <c r="B2316" s="90" t="s">
        <v>1515</v>
      </c>
      <c r="C2316" s="90" t="s">
        <v>1513</v>
      </c>
    </row>
    <row r="2317" spans="1:3" ht="14.4" x14ac:dyDescent="0.3">
      <c r="A2317" s="90" t="s">
        <v>5259</v>
      </c>
      <c r="B2317" s="90" t="s">
        <v>2411</v>
      </c>
      <c r="C2317" s="90" t="s">
        <v>2397</v>
      </c>
    </row>
    <row r="2318" spans="1:3" ht="14.4" x14ac:dyDescent="0.3">
      <c r="A2318" s="90" t="s">
        <v>5260</v>
      </c>
      <c r="B2318" s="90" t="s">
        <v>2051</v>
      </c>
      <c r="C2318" s="90" t="s">
        <v>2015</v>
      </c>
    </row>
    <row r="2319" spans="1:3" ht="14.4" x14ac:dyDescent="0.3">
      <c r="A2319" s="90" t="s">
        <v>5261</v>
      </c>
      <c r="B2319" s="90" t="s">
        <v>403</v>
      </c>
      <c r="C2319" s="90" t="s">
        <v>203</v>
      </c>
    </row>
    <row r="2320" spans="1:3" ht="14.4" x14ac:dyDescent="0.3">
      <c r="A2320" s="90" t="s">
        <v>5262</v>
      </c>
      <c r="B2320" s="90" t="s">
        <v>732</v>
      </c>
      <c r="C2320" s="90" t="s">
        <v>675</v>
      </c>
    </row>
    <row r="2321" spans="1:3" ht="14.4" x14ac:dyDescent="0.3">
      <c r="A2321" s="90" t="s">
        <v>5263</v>
      </c>
      <c r="B2321" s="90" t="s">
        <v>2877</v>
      </c>
      <c r="C2321" s="90" t="s">
        <v>2874</v>
      </c>
    </row>
    <row r="2322" spans="1:3" ht="14.4" x14ac:dyDescent="0.3">
      <c r="A2322" s="90" t="s">
        <v>5264</v>
      </c>
      <c r="B2322" s="90" t="s">
        <v>1905</v>
      </c>
      <c r="C2322" s="90" t="s">
        <v>1901</v>
      </c>
    </row>
    <row r="2323" spans="1:3" ht="14.4" x14ac:dyDescent="0.3">
      <c r="A2323" s="90" t="s">
        <v>5265</v>
      </c>
      <c r="B2323" s="90" t="s">
        <v>393</v>
      </c>
      <c r="C2323" s="90" t="s">
        <v>203</v>
      </c>
    </row>
    <row r="2324" spans="1:3" ht="14.4" x14ac:dyDescent="0.3">
      <c r="A2324" s="90" t="s">
        <v>5266</v>
      </c>
      <c r="B2324" s="90" t="s">
        <v>2312</v>
      </c>
      <c r="C2324" s="90" t="s">
        <v>2275</v>
      </c>
    </row>
    <row r="2325" spans="1:3" ht="14.4" x14ac:dyDescent="0.3">
      <c r="A2325" s="90" t="s">
        <v>5267</v>
      </c>
      <c r="B2325" s="90" t="s">
        <v>2797</v>
      </c>
      <c r="C2325" s="90" t="s">
        <v>2767</v>
      </c>
    </row>
    <row r="2326" spans="1:3" ht="14.4" x14ac:dyDescent="0.3">
      <c r="A2326" s="90" t="s">
        <v>5268</v>
      </c>
      <c r="B2326" s="90" t="s">
        <v>731</v>
      </c>
      <c r="C2326" s="90" t="s">
        <v>675</v>
      </c>
    </row>
    <row r="2327" spans="1:3" ht="14.4" x14ac:dyDescent="0.3">
      <c r="A2327" s="90" t="s">
        <v>5269</v>
      </c>
      <c r="B2327" s="90" t="s">
        <v>1132</v>
      </c>
      <c r="C2327" s="90" t="s">
        <v>1106</v>
      </c>
    </row>
    <row r="2328" spans="1:3" ht="14.4" x14ac:dyDescent="0.3">
      <c r="A2328" s="90" t="s">
        <v>5270</v>
      </c>
      <c r="B2328" s="90" t="s">
        <v>2837</v>
      </c>
      <c r="C2328" s="90" t="s">
        <v>2831</v>
      </c>
    </row>
    <row r="2329" spans="1:3" ht="14.4" x14ac:dyDescent="0.3">
      <c r="A2329" s="90" t="s">
        <v>5271</v>
      </c>
      <c r="B2329" s="90" t="s">
        <v>1310</v>
      </c>
      <c r="C2329" s="90" t="s">
        <v>1292</v>
      </c>
    </row>
    <row r="2330" spans="1:3" ht="14.4" x14ac:dyDescent="0.3">
      <c r="A2330" s="90" t="s">
        <v>5272</v>
      </c>
      <c r="B2330" s="90" t="s">
        <v>2208</v>
      </c>
      <c r="C2330" s="90" t="s">
        <v>2182</v>
      </c>
    </row>
    <row r="2331" spans="1:3" ht="14.4" x14ac:dyDescent="0.3">
      <c r="A2331" s="90" t="s">
        <v>5273</v>
      </c>
      <c r="B2331" s="90" t="s">
        <v>772</v>
      </c>
      <c r="C2331" s="90" t="s">
        <v>744</v>
      </c>
    </row>
    <row r="2332" spans="1:3" ht="14.4" x14ac:dyDescent="0.3">
      <c r="A2332" s="90" t="s">
        <v>5274</v>
      </c>
      <c r="B2332" s="90" t="s">
        <v>2900</v>
      </c>
      <c r="C2332" s="90" t="s">
        <v>2874</v>
      </c>
    </row>
    <row r="2333" spans="1:3" ht="14.4" x14ac:dyDescent="0.3">
      <c r="A2333" s="90" t="s">
        <v>5275</v>
      </c>
      <c r="B2333" s="90" t="s">
        <v>2498</v>
      </c>
      <c r="C2333" s="90" t="s">
        <v>2489</v>
      </c>
    </row>
    <row r="2334" spans="1:3" ht="14.4" x14ac:dyDescent="0.3">
      <c r="A2334" s="90" t="s">
        <v>5276</v>
      </c>
      <c r="B2334" s="90" t="s">
        <v>2727</v>
      </c>
      <c r="C2334" s="90" t="s">
        <v>2683</v>
      </c>
    </row>
    <row r="2335" spans="1:3" ht="14.4" x14ac:dyDescent="0.3">
      <c r="A2335" s="90" t="s">
        <v>5277</v>
      </c>
      <c r="B2335" s="90" t="s">
        <v>1831</v>
      </c>
      <c r="C2335" s="90" t="s">
        <v>1800</v>
      </c>
    </row>
    <row r="2336" spans="1:3" ht="14.4" x14ac:dyDescent="0.3">
      <c r="A2336" s="90" t="s">
        <v>5278</v>
      </c>
      <c r="B2336" s="90" t="s">
        <v>1669</v>
      </c>
      <c r="C2336" s="90" t="s">
        <v>1631</v>
      </c>
    </row>
    <row r="2337" spans="1:3" ht="14.4" x14ac:dyDescent="0.3">
      <c r="A2337" s="90" t="s">
        <v>5279</v>
      </c>
      <c r="B2337" s="90" t="s">
        <v>2798</v>
      </c>
      <c r="C2337" s="90" t="s">
        <v>2767</v>
      </c>
    </row>
    <row r="2338" spans="1:3" ht="14.4" x14ac:dyDescent="0.3">
      <c r="A2338" s="90" t="s">
        <v>5280</v>
      </c>
      <c r="B2338" s="90" t="s">
        <v>590</v>
      </c>
      <c r="C2338" s="90" t="s">
        <v>449</v>
      </c>
    </row>
    <row r="2339" spans="1:3" ht="14.4" x14ac:dyDescent="0.3">
      <c r="A2339" s="90" t="s">
        <v>5281</v>
      </c>
      <c r="B2339" s="90" t="s">
        <v>37</v>
      </c>
      <c r="C2339" s="90" t="s">
        <v>7</v>
      </c>
    </row>
    <row r="2340" spans="1:3" ht="14.4" x14ac:dyDescent="0.3">
      <c r="A2340" s="90" t="s">
        <v>5282</v>
      </c>
      <c r="B2340" s="90" t="s">
        <v>2573</v>
      </c>
      <c r="C2340" s="90" t="s">
        <v>2489</v>
      </c>
    </row>
    <row r="2341" spans="1:3" ht="14.4" x14ac:dyDescent="0.3">
      <c r="A2341" s="90" t="s">
        <v>5283</v>
      </c>
      <c r="B2341" s="90" t="s">
        <v>1204</v>
      </c>
      <c r="C2341" s="90" t="s">
        <v>1199</v>
      </c>
    </row>
    <row r="2342" spans="1:3" ht="14.4" x14ac:dyDescent="0.3">
      <c r="A2342" s="90" t="s">
        <v>5284</v>
      </c>
      <c r="B2342" s="90" t="s">
        <v>1539</v>
      </c>
      <c r="C2342" s="90" t="s">
        <v>1513</v>
      </c>
    </row>
    <row r="2343" spans="1:3" ht="14.4" x14ac:dyDescent="0.3">
      <c r="A2343" s="90" t="s">
        <v>5285</v>
      </c>
      <c r="B2343" s="90" t="s">
        <v>2630</v>
      </c>
      <c r="C2343" s="90" t="s">
        <v>2628</v>
      </c>
    </row>
    <row r="2344" spans="1:3" ht="14.4" x14ac:dyDescent="0.3">
      <c r="A2344" s="90" t="s">
        <v>5286</v>
      </c>
      <c r="B2344" s="90" t="s">
        <v>1025</v>
      </c>
      <c r="C2344" s="90" t="s">
        <v>972</v>
      </c>
    </row>
    <row r="2345" spans="1:3" ht="14.4" x14ac:dyDescent="0.3">
      <c r="A2345" s="90" t="s">
        <v>5287</v>
      </c>
      <c r="B2345" s="90" t="s">
        <v>2574</v>
      </c>
      <c r="C2345" s="90" t="s">
        <v>2489</v>
      </c>
    </row>
    <row r="2346" spans="1:3" ht="14.4" x14ac:dyDescent="0.3">
      <c r="A2346" s="90" t="s">
        <v>5288</v>
      </c>
      <c r="B2346" s="90" t="s">
        <v>85</v>
      </c>
      <c r="C2346" s="90" t="s">
        <v>72</v>
      </c>
    </row>
    <row r="2347" spans="1:3" ht="14.4" x14ac:dyDescent="0.3">
      <c r="A2347" s="90" t="s">
        <v>5289</v>
      </c>
      <c r="B2347" s="90" t="s">
        <v>2916</v>
      </c>
      <c r="C2347" s="90" t="s">
        <v>2904</v>
      </c>
    </row>
    <row r="2348" spans="1:3" ht="14.4" x14ac:dyDescent="0.3">
      <c r="A2348" s="90" t="s">
        <v>5290</v>
      </c>
      <c r="B2348" s="90" t="s">
        <v>2060</v>
      </c>
      <c r="C2348" s="90" t="s">
        <v>2015</v>
      </c>
    </row>
    <row r="2349" spans="1:3" ht="14.4" x14ac:dyDescent="0.3">
      <c r="A2349" s="90" t="s">
        <v>5291</v>
      </c>
      <c r="B2349" s="90" t="s">
        <v>232</v>
      </c>
      <c r="C2349" s="90" t="s">
        <v>203</v>
      </c>
    </row>
    <row r="2350" spans="1:3" ht="14.4" x14ac:dyDescent="0.3">
      <c r="A2350" s="90" t="s">
        <v>5292</v>
      </c>
      <c r="B2350" s="90" t="s">
        <v>1830</v>
      </c>
      <c r="C2350" s="90" t="s">
        <v>1800</v>
      </c>
    </row>
    <row r="2351" spans="1:3" ht="14.4" x14ac:dyDescent="0.3">
      <c r="A2351" s="90" t="s">
        <v>5293</v>
      </c>
      <c r="B2351" s="90" t="s">
        <v>2940</v>
      </c>
      <c r="C2351" s="90" t="s">
        <v>2932</v>
      </c>
    </row>
    <row r="2352" spans="1:3" ht="14.4" x14ac:dyDescent="0.3">
      <c r="A2352" s="90" t="s">
        <v>5294</v>
      </c>
      <c r="B2352" s="90" t="s">
        <v>958</v>
      </c>
      <c r="C2352" s="90" t="s">
        <v>916</v>
      </c>
    </row>
    <row r="2353" spans="1:3" ht="14.4" x14ac:dyDescent="0.3">
      <c r="A2353" s="90" t="s">
        <v>5295</v>
      </c>
      <c r="B2353" s="90" t="s">
        <v>2863</v>
      </c>
      <c r="C2353" s="90" t="s">
        <v>2852</v>
      </c>
    </row>
    <row r="2354" spans="1:3" ht="14.4" x14ac:dyDescent="0.3">
      <c r="A2354" s="90" t="s">
        <v>5296</v>
      </c>
      <c r="B2354" s="90" t="s">
        <v>2619</v>
      </c>
      <c r="C2354" s="90" t="s">
        <v>2589</v>
      </c>
    </row>
    <row r="2355" spans="1:3" ht="14.4" x14ac:dyDescent="0.3">
      <c r="A2355" s="90" t="s">
        <v>5297</v>
      </c>
      <c r="B2355" s="90" t="s">
        <v>2207</v>
      </c>
      <c r="C2355" s="90" t="s">
        <v>2182</v>
      </c>
    </row>
    <row r="2356" spans="1:3" ht="14.4" x14ac:dyDescent="0.3">
      <c r="A2356" s="90" t="s">
        <v>5298</v>
      </c>
      <c r="B2356" s="90" t="s">
        <v>190</v>
      </c>
      <c r="C2356" s="90" t="s">
        <v>168</v>
      </c>
    </row>
    <row r="2357" spans="1:3" ht="14.4" x14ac:dyDescent="0.3">
      <c r="A2357" s="90" t="s">
        <v>5299</v>
      </c>
      <c r="B2357" s="90" t="s">
        <v>585</v>
      </c>
      <c r="C2357" s="90" t="s">
        <v>449</v>
      </c>
    </row>
    <row r="2358" spans="1:3" ht="14.4" x14ac:dyDescent="0.3">
      <c r="A2358" s="90" t="s">
        <v>5300</v>
      </c>
      <c r="B2358" s="90" t="s">
        <v>226</v>
      </c>
      <c r="C2358" s="90" t="s">
        <v>203</v>
      </c>
    </row>
    <row r="2359" spans="1:3" ht="14.4" x14ac:dyDescent="0.3">
      <c r="A2359" s="90" t="s">
        <v>5301</v>
      </c>
      <c r="B2359" s="90" t="s">
        <v>2827</v>
      </c>
      <c r="C2359" s="90" t="s">
        <v>2819</v>
      </c>
    </row>
    <row r="2360" spans="1:3" ht="14.4" x14ac:dyDescent="0.3">
      <c r="A2360" s="90" t="s">
        <v>5302</v>
      </c>
      <c r="B2360" s="90" t="s">
        <v>2620</v>
      </c>
      <c r="C2360" s="90" t="s">
        <v>2589</v>
      </c>
    </row>
    <row r="2361" spans="1:3" ht="14.4" x14ac:dyDescent="0.3">
      <c r="A2361" s="90" t="s">
        <v>5303</v>
      </c>
      <c r="B2361" s="90" t="s">
        <v>850</v>
      </c>
      <c r="C2361" s="90" t="s">
        <v>841</v>
      </c>
    </row>
    <row r="2362" spans="1:3" ht="14.4" x14ac:dyDescent="0.3">
      <c r="A2362" s="90" t="s">
        <v>5304</v>
      </c>
      <c r="B2362" s="90" t="s">
        <v>625</v>
      </c>
      <c r="C2362" s="90" t="s">
        <v>613</v>
      </c>
    </row>
    <row r="2363" spans="1:3" ht="14.4" x14ac:dyDescent="0.3">
      <c r="A2363" s="90" t="s">
        <v>5305</v>
      </c>
      <c r="B2363" s="90" t="s">
        <v>1504</v>
      </c>
      <c r="C2363" s="90" t="s">
        <v>1485</v>
      </c>
    </row>
    <row r="2364" spans="1:3" ht="14.4" x14ac:dyDescent="0.3">
      <c r="A2364" s="90" t="s">
        <v>5306</v>
      </c>
      <c r="B2364" s="90" t="s">
        <v>851</v>
      </c>
      <c r="C2364" s="90" t="s">
        <v>841</v>
      </c>
    </row>
    <row r="2365" spans="1:3" ht="14.4" x14ac:dyDescent="0.3">
      <c r="A2365" s="90" t="s">
        <v>5307</v>
      </c>
      <c r="B2365" s="90" t="s">
        <v>1710</v>
      </c>
      <c r="C2365" s="90" t="s">
        <v>1681</v>
      </c>
    </row>
    <row r="2366" spans="1:3" ht="14.4" x14ac:dyDescent="0.3">
      <c r="A2366" s="90" t="s">
        <v>5308</v>
      </c>
      <c r="B2366" s="90" t="s">
        <v>2121</v>
      </c>
      <c r="C2366" s="90" t="s">
        <v>2106</v>
      </c>
    </row>
    <row r="2367" spans="1:3" ht="14.4" x14ac:dyDescent="0.3">
      <c r="A2367" s="90" t="s">
        <v>5309</v>
      </c>
      <c r="B2367" s="90" t="s">
        <v>2046</v>
      </c>
      <c r="C2367" s="90" t="s">
        <v>2015</v>
      </c>
    </row>
    <row r="2368" spans="1:3" ht="14.4" x14ac:dyDescent="0.3">
      <c r="A2368" s="90" t="s">
        <v>5310</v>
      </c>
      <c r="B2368" s="90" t="s">
        <v>1547</v>
      </c>
      <c r="C2368" s="90" t="s">
        <v>1544</v>
      </c>
    </row>
    <row r="2369" spans="1:3" ht="14.4" x14ac:dyDescent="0.3">
      <c r="A2369" s="90" t="s">
        <v>5311</v>
      </c>
      <c r="B2369" s="90" t="s">
        <v>387</v>
      </c>
      <c r="C2369" s="90" t="s">
        <v>203</v>
      </c>
    </row>
    <row r="2370" spans="1:3" ht="14.4" x14ac:dyDescent="0.3">
      <c r="A2370" s="90" t="s">
        <v>5312</v>
      </c>
      <c r="B2370" s="90" t="s">
        <v>395</v>
      </c>
      <c r="C2370" s="90" t="s">
        <v>203</v>
      </c>
    </row>
    <row r="2371" spans="1:3" ht="14.4" x14ac:dyDescent="0.3">
      <c r="A2371" s="90" t="s">
        <v>5313</v>
      </c>
      <c r="B2371" s="90" t="s">
        <v>1433</v>
      </c>
      <c r="C2371" s="90" t="s">
        <v>1392</v>
      </c>
    </row>
    <row r="2372" spans="1:3" ht="14.4" x14ac:dyDescent="0.3">
      <c r="A2372" s="90" t="s">
        <v>5314</v>
      </c>
      <c r="B2372" s="90" t="s">
        <v>1431</v>
      </c>
      <c r="C2372" s="90" t="s">
        <v>1392</v>
      </c>
    </row>
    <row r="2373" spans="1:3" ht="14.4" x14ac:dyDescent="0.3">
      <c r="A2373" s="90" t="s">
        <v>5315</v>
      </c>
      <c r="B2373" s="90" t="s">
        <v>401</v>
      </c>
      <c r="C2373" s="90" t="s">
        <v>203</v>
      </c>
    </row>
    <row r="2374" spans="1:3" ht="14.4" x14ac:dyDescent="0.3">
      <c r="A2374" s="90" t="s">
        <v>5316</v>
      </c>
      <c r="B2374" s="90" t="s">
        <v>396</v>
      </c>
      <c r="C2374" s="90" t="s">
        <v>203</v>
      </c>
    </row>
    <row r="2375" spans="1:3" ht="14.4" x14ac:dyDescent="0.3">
      <c r="A2375" s="90" t="s">
        <v>5317</v>
      </c>
      <c r="B2375" s="90" t="s">
        <v>2763</v>
      </c>
      <c r="C2375" s="90" t="s">
        <v>2754</v>
      </c>
    </row>
    <row r="2376" spans="1:3" ht="14.4" x14ac:dyDescent="0.3">
      <c r="A2376" s="90" t="s">
        <v>5318</v>
      </c>
      <c r="B2376" s="90" t="s">
        <v>591</v>
      </c>
      <c r="C2376" s="90" t="s">
        <v>449</v>
      </c>
    </row>
    <row r="2377" spans="1:3" ht="14.4" x14ac:dyDescent="0.3">
      <c r="A2377" s="90" t="s">
        <v>5319</v>
      </c>
      <c r="B2377" s="90" t="s">
        <v>2575</v>
      </c>
      <c r="C2377" s="90" t="s">
        <v>2489</v>
      </c>
    </row>
    <row r="2378" spans="1:3" ht="14.4" x14ac:dyDescent="0.3">
      <c r="A2378" s="90" t="s">
        <v>5320</v>
      </c>
      <c r="B2378" s="90" t="s">
        <v>2483</v>
      </c>
      <c r="C2378" s="90" t="s">
        <v>2468</v>
      </c>
    </row>
    <row r="2379" spans="1:3" ht="14.4" x14ac:dyDescent="0.3">
      <c r="A2379" s="90" t="s">
        <v>5321</v>
      </c>
      <c r="B2379" s="90" t="s">
        <v>2062</v>
      </c>
      <c r="C2379" s="90" t="s">
        <v>2015</v>
      </c>
    </row>
    <row r="2380" spans="1:3" ht="14.4" x14ac:dyDescent="0.3">
      <c r="A2380" s="90" t="s">
        <v>5322</v>
      </c>
      <c r="B2380" s="90" t="s">
        <v>1105</v>
      </c>
      <c r="C2380" s="90" t="s">
        <v>1090</v>
      </c>
    </row>
    <row r="2381" spans="1:3" ht="14.4" x14ac:dyDescent="0.3">
      <c r="A2381" s="90" t="s">
        <v>5323</v>
      </c>
      <c r="B2381" s="90" t="s">
        <v>2800</v>
      </c>
      <c r="C2381" s="90" t="s">
        <v>2767</v>
      </c>
    </row>
    <row r="2382" spans="1:3" ht="14.4" x14ac:dyDescent="0.3">
      <c r="A2382" s="90" t="s">
        <v>5324</v>
      </c>
      <c r="B2382" s="90" t="s">
        <v>1983</v>
      </c>
      <c r="C2382" s="90" t="s">
        <v>1977</v>
      </c>
    </row>
    <row r="2383" spans="1:3" ht="14.4" x14ac:dyDescent="0.3">
      <c r="A2383" s="90" t="s">
        <v>5325</v>
      </c>
      <c r="B2383" s="90" t="s">
        <v>2832</v>
      </c>
      <c r="C2383" s="90" t="s">
        <v>2831</v>
      </c>
    </row>
    <row r="2384" spans="1:3" ht="14.4" x14ac:dyDescent="0.3">
      <c r="A2384" s="90" t="s">
        <v>5326</v>
      </c>
      <c r="B2384" s="90" t="s">
        <v>143</v>
      </c>
      <c r="C2384" s="90" t="s">
        <v>116</v>
      </c>
    </row>
    <row r="2385" spans="1:3" ht="14.4" x14ac:dyDescent="0.3">
      <c r="A2385" s="90" t="s">
        <v>5327</v>
      </c>
      <c r="B2385" s="90" t="s">
        <v>2061</v>
      </c>
      <c r="C2385" s="90" t="s">
        <v>2015</v>
      </c>
    </row>
    <row r="2386" spans="1:3" ht="14.4" x14ac:dyDescent="0.3">
      <c r="A2386" s="90" t="s">
        <v>5328</v>
      </c>
      <c r="B2386" s="90" t="s">
        <v>448</v>
      </c>
      <c r="C2386" s="90" t="s">
        <v>445</v>
      </c>
    </row>
    <row r="2387" spans="1:3" ht="14.4" x14ac:dyDescent="0.3">
      <c r="A2387" s="90" t="s">
        <v>5329</v>
      </c>
      <c r="B2387" s="90" t="s">
        <v>2178</v>
      </c>
      <c r="C2387" s="90" t="s">
        <v>2153</v>
      </c>
    </row>
    <row r="2388" spans="1:3" ht="14.4" x14ac:dyDescent="0.3">
      <c r="A2388" s="90" t="s">
        <v>5330</v>
      </c>
      <c r="B2388" s="90" t="s">
        <v>655</v>
      </c>
      <c r="C2388" s="90" t="s">
        <v>627</v>
      </c>
    </row>
    <row r="2389" spans="1:3" ht="14.4" x14ac:dyDescent="0.3">
      <c r="A2389" s="90" t="s">
        <v>5331</v>
      </c>
      <c r="B2389" s="90" t="s">
        <v>191</v>
      </c>
      <c r="C2389" s="90" t="s">
        <v>168</v>
      </c>
    </row>
    <row r="2390" spans="1:3" ht="14.4" x14ac:dyDescent="0.3">
      <c r="A2390" s="90" t="s">
        <v>5332</v>
      </c>
      <c r="B2390" s="90" t="s">
        <v>1085</v>
      </c>
      <c r="C2390" s="90" t="s">
        <v>1050</v>
      </c>
    </row>
    <row r="2391" spans="1:3" ht="14.4" x14ac:dyDescent="0.3">
      <c r="A2391" s="90" t="s">
        <v>5333</v>
      </c>
      <c r="B2391" s="90" t="s">
        <v>1234</v>
      </c>
      <c r="C2391" s="90" t="s">
        <v>1229</v>
      </c>
    </row>
    <row r="2392" spans="1:3" ht="14.4" x14ac:dyDescent="0.3">
      <c r="A2392" s="90" t="s">
        <v>5334</v>
      </c>
      <c r="B2392" s="90" t="s">
        <v>2848</v>
      </c>
      <c r="C2392" s="90" t="s">
        <v>2839</v>
      </c>
    </row>
    <row r="2393" spans="1:3" ht="14.4" x14ac:dyDescent="0.3">
      <c r="A2393" s="90" t="s">
        <v>5335</v>
      </c>
      <c r="B2393" s="90" t="s">
        <v>2828</v>
      </c>
      <c r="C2393" s="90" t="s">
        <v>2819</v>
      </c>
    </row>
    <row r="2394" spans="1:3" ht="14.4" x14ac:dyDescent="0.3">
      <c r="A2394" s="90" t="s">
        <v>5336</v>
      </c>
      <c r="B2394" s="90" t="s">
        <v>2464</v>
      </c>
      <c r="C2394" s="90" t="s">
        <v>2421</v>
      </c>
    </row>
    <row r="2395" spans="1:3" ht="14.4" x14ac:dyDescent="0.3">
      <c r="A2395" s="90" t="s">
        <v>5337</v>
      </c>
      <c r="B2395" s="90" t="s">
        <v>1925</v>
      </c>
      <c r="C2395" s="90" t="s">
        <v>1919</v>
      </c>
    </row>
    <row r="2396" spans="1:3" ht="14.4" x14ac:dyDescent="0.3">
      <c r="A2396" s="90" t="s">
        <v>5338</v>
      </c>
      <c r="B2396" s="90" t="s">
        <v>1797</v>
      </c>
      <c r="C2396" s="90" t="s">
        <v>1741</v>
      </c>
    </row>
    <row r="2397" spans="1:3" ht="14.4" x14ac:dyDescent="0.3">
      <c r="A2397" s="90" t="s">
        <v>5339</v>
      </c>
      <c r="B2397" s="90" t="s">
        <v>2905</v>
      </c>
      <c r="C2397" s="90" t="s">
        <v>2904</v>
      </c>
    </row>
    <row r="2398" spans="1:3" ht="14.4" x14ac:dyDescent="0.3">
      <c r="A2398" s="90" t="s">
        <v>5340</v>
      </c>
      <c r="B2398" s="90" t="s">
        <v>799</v>
      </c>
      <c r="C2398" s="90" t="s">
        <v>796</v>
      </c>
    </row>
    <row r="2399" spans="1:3" ht="14.4" x14ac:dyDescent="0.3">
      <c r="A2399" s="90" t="s">
        <v>5341</v>
      </c>
      <c r="B2399" s="90" t="s">
        <v>1027</v>
      </c>
      <c r="C2399" s="90" t="s">
        <v>972</v>
      </c>
    </row>
    <row r="2400" spans="1:3" ht="14.4" x14ac:dyDescent="0.3">
      <c r="A2400" s="90" t="s">
        <v>5342</v>
      </c>
      <c r="B2400" s="90" t="s">
        <v>2662</v>
      </c>
      <c r="C2400" s="90" t="s">
        <v>2633</v>
      </c>
    </row>
    <row r="2401" spans="1:3" ht="14.4" x14ac:dyDescent="0.3">
      <c r="A2401" s="90" t="s">
        <v>5343</v>
      </c>
      <c r="B2401" s="90" t="s">
        <v>397</v>
      </c>
      <c r="C2401" s="90" t="s">
        <v>203</v>
      </c>
    </row>
    <row r="2402" spans="1:3" ht="14.4" x14ac:dyDescent="0.3">
      <c r="A2402" s="90" t="s">
        <v>5344</v>
      </c>
      <c r="B2402" s="90" t="s">
        <v>899</v>
      </c>
      <c r="C2402" s="90" t="s">
        <v>874</v>
      </c>
    </row>
    <row r="2403" spans="1:3" ht="14.4" x14ac:dyDescent="0.3">
      <c r="A2403" s="90" t="s">
        <v>5345</v>
      </c>
      <c r="B2403" s="90" t="s">
        <v>1666</v>
      </c>
      <c r="C2403" s="90" t="s">
        <v>1631</v>
      </c>
    </row>
    <row r="2404" spans="1:3" ht="14.4" x14ac:dyDescent="0.3">
      <c r="A2404" s="90" t="s">
        <v>5346</v>
      </c>
      <c r="B2404" s="90" t="s">
        <v>1358</v>
      </c>
      <c r="C2404" s="90" t="s">
        <v>1338</v>
      </c>
    </row>
    <row r="2405" spans="1:3" ht="14.4" x14ac:dyDescent="0.3">
      <c r="A2405" s="90" t="s">
        <v>5347</v>
      </c>
      <c r="B2405" s="90" t="s">
        <v>2499</v>
      </c>
      <c r="C2405" s="90" t="s">
        <v>2489</v>
      </c>
    </row>
    <row r="2406" spans="1:3" ht="14.4" x14ac:dyDescent="0.3">
      <c r="A2406" s="90" t="s">
        <v>5348</v>
      </c>
      <c r="B2406" s="90" t="s">
        <v>2576</v>
      </c>
      <c r="C2406" s="90" t="s">
        <v>2489</v>
      </c>
    </row>
    <row r="2407" spans="1:3" ht="14.4" x14ac:dyDescent="0.3">
      <c r="A2407" s="90" t="s">
        <v>5349</v>
      </c>
      <c r="B2407" s="90" t="s">
        <v>1359</v>
      </c>
      <c r="C2407" s="90" t="s">
        <v>1338</v>
      </c>
    </row>
    <row r="2408" spans="1:3" ht="14.4" x14ac:dyDescent="0.3">
      <c r="A2408" s="90" t="s">
        <v>5350</v>
      </c>
      <c r="B2408" s="90" t="s">
        <v>592</v>
      </c>
      <c r="C2408" s="90" t="s">
        <v>449</v>
      </c>
    </row>
    <row r="2409" spans="1:3" ht="14.4" x14ac:dyDescent="0.3">
      <c r="A2409" s="90" t="s">
        <v>5351</v>
      </c>
      <c r="B2409" s="90" t="s">
        <v>2728</v>
      </c>
      <c r="C2409" s="90" t="s">
        <v>2683</v>
      </c>
    </row>
    <row r="2410" spans="1:3" ht="14.4" x14ac:dyDescent="0.3">
      <c r="A2410" s="90" t="s">
        <v>5352</v>
      </c>
      <c r="B2410" s="90" t="s">
        <v>1205</v>
      </c>
      <c r="C2410" s="90" t="s">
        <v>1199</v>
      </c>
    </row>
    <row r="2411" spans="1:3" ht="14.4" x14ac:dyDescent="0.3">
      <c r="A2411" s="90" t="s">
        <v>5353</v>
      </c>
      <c r="B2411" s="90" t="s">
        <v>2771</v>
      </c>
      <c r="C2411" s="90" t="s">
        <v>2767</v>
      </c>
    </row>
    <row r="2412" spans="1:3" ht="14.4" x14ac:dyDescent="0.3">
      <c r="A2412" s="90" t="s">
        <v>5354</v>
      </c>
      <c r="B2412" s="90" t="s">
        <v>2298</v>
      </c>
      <c r="C2412" s="90" t="s">
        <v>2275</v>
      </c>
    </row>
    <row r="2413" spans="1:3" ht="14.4" x14ac:dyDescent="0.3">
      <c r="A2413" s="90" t="s">
        <v>5355</v>
      </c>
      <c r="B2413" s="90" t="s">
        <v>436</v>
      </c>
      <c r="C2413" s="90" t="s">
        <v>433</v>
      </c>
    </row>
    <row r="2414" spans="1:3" ht="14.4" x14ac:dyDescent="0.3">
      <c r="A2414" s="90" t="s">
        <v>5356</v>
      </c>
      <c r="B2414" s="90" t="s">
        <v>2293</v>
      </c>
      <c r="C2414" s="90" t="s">
        <v>2275</v>
      </c>
    </row>
    <row r="2415" spans="1:3" ht="14.4" x14ac:dyDescent="0.3">
      <c r="A2415" s="90" t="s">
        <v>5357</v>
      </c>
      <c r="B2415" s="90" t="s">
        <v>1935</v>
      </c>
      <c r="C2415" s="90" t="s">
        <v>1933</v>
      </c>
    </row>
    <row r="2416" spans="1:3" ht="14.4" x14ac:dyDescent="0.3">
      <c r="A2416" s="90" t="s">
        <v>5358</v>
      </c>
      <c r="B2416" s="90" t="s">
        <v>405</v>
      </c>
      <c r="C2416" s="90" t="s">
        <v>203</v>
      </c>
    </row>
    <row r="2417" spans="1:3" ht="14.4" x14ac:dyDescent="0.3">
      <c r="A2417" s="90" t="s">
        <v>5359</v>
      </c>
      <c r="B2417" s="90" t="s">
        <v>2753</v>
      </c>
      <c r="C2417" s="90" t="s">
        <v>2740</v>
      </c>
    </row>
    <row r="2418" spans="1:3" ht="14.4" x14ac:dyDescent="0.3">
      <c r="A2418" s="90" t="s">
        <v>5360</v>
      </c>
      <c r="B2418" s="90" t="s">
        <v>410</v>
      </c>
      <c r="C2418" s="90" t="s">
        <v>203</v>
      </c>
    </row>
    <row r="2419" spans="1:3" ht="14.4" x14ac:dyDescent="0.3">
      <c r="A2419" s="90" t="s">
        <v>5361</v>
      </c>
      <c r="B2419" s="90" t="s">
        <v>2360</v>
      </c>
      <c r="C2419" s="90" t="s">
        <v>2328</v>
      </c>
    </row>
    <row r="2420" spans="1:3" ht="14.4" x14ac:dyDescent="0.3">
      <c r="A2420" s="90" t="s">
        <v>5362</v>
      </c>
      <c r="B2420" s="90" t="s">
        <v>595</v>
      </c>
      <c r="C2420" s="90" t="s">
        <v>449</v>
      </c>
    </row>
    <row r="2421" spans="1:3" ht="14.4" x14ac:dyDescent="0.3">
      <c r="A2421" s="90" t="s">
        <v>5363</v>
      </c>
      <c r="B2421" s="90" t="s">
        <v>229</v>
      </c>
      <c r="C2421" s="90" t="s">
        <v>203</v>
      </c>
    </row>
    <row r="2422" spans="1:3" ht="14.4" x14ac:dyDescent="0.3">
      <c r="A2422" s="90" t="s">
        <v>5364</v>
      </c>
      <c r="B2422" s="90" t="s">
        <v>408</v>
      </c>
      <c r="C2422" s="90" t="s">
        <v>203</v>
      </c>
    </row>
    <row r="2423" spans="1:3" ht="14.4" x14ac:dyDescent="0.3">
      <c r="A2423" s="90" t="s">
        <v>5365</v>
      </c>
      <c r="B2423" s="90" t="s">
        <v>228</v>
      </c>
      <c r="C2423" s="90" t="s">
        <v>203</v>
      </c>
    </row>
    <row r="2424" spans="1:3" ht="14.4" x14ac:dyDescent="0.3">
      <c r="A2424" s="90" t="s">
        <v>5366</v>
      </c>
      <c r="B2424" s="90" t="s">
        <v>1667</v>
      </c>
      <c r="C2424" s="90" t="s">
        <v>1631</v>
      </c>
    </row>
    <row r="2425" spans="1:3" ht="14.4" x14ac:dyDescent="0.3">
      <c r="A2425" s="90" t="s">
        <v>5367</v>
      </c>
      <c r="B2425" s="90" t="s">
        <v>2209</v>
      </c>
      <c r="C2425" s="90" t="s">
        <v>2182</v>
      </c>
    </row>
    <row r="2426" spans="1:3" ht="14.4" x14ac:dyDescent="0.3">
      <c r="A2426" s="90" t="s">
        <v>5368</v>
      </c>
      <c r="B2426" s="90" t="s">
        <v>2729</v>
      </c>
      <c r="C2426" s="90" t="s">
        <v>2683</v>
      </c>
    </row>
    <row r="2427" spans="1:3" ht="14.4" x14ac:dyDescent="0.3">
      <c r="A2427" s="90" t="s">
        <v>5369</v>
      </c>
      <c r="B2427" s="90" t="s">
        <v>907</v>
      </c>
      <c r="C2427" s="90" t="s">
        <v>903</v>
      </c>
    </row>
    <row r="2428" spans="1:3" ht="14.4" x14ac:dyDescent="0.3">
      <c r="A2428" s="90" t="s">
        <v>5370</v>
      </c>
      <c r="B2428" s="90" t="s">
        <v>39</v>
      </c>
      <c r="C2428" s="90" t="s">
        <v>7</v>
      </c>
    </row>
    <row r="2429" spans="1:3" ht="14.4" x14ac:dyDescent="0.3">
      <c r="A2429" s="90" t="s">
        <v>5371</v>
      </c>
      <c r="B2429" s="90" t="s">
        <v>1265</v>
      </c>
      <c r="C2429" s="90" t="s">
        <v>1251</v>
      </c>
    </row>
    <row r="2430" spans="1:3" ht="14.4" x14ac:dyDescent="0.3">
      <c r="A2430" s="90" t="s">
        <v>5372</v>
      </c>
      <c r="B2430" s="90" t="s">
        <v>2802</v>
      </c>
      <c r="C2430" s="90" t="s">
        <v>2767</v>
      </c>
    </row>
    <row r="2431" spans="1:3" ht="14.4" x14ac:dyDescent="0.3">
      <c r="A2431" s="90" t="s">
        <v>5373</v>
      </c>
      <c r="B2431" s="90" t="s">
        <v>2385</v>
      </c>
      <c r="C2431" s="90" t="s">
        <v>2365</v>
      </c>
    </row>
    <row r="2432" spans="1:3" ht="14.4" x14ac:dyDescent="0.3">
      <c r="A2432" s="90" t="s">
        <v>5374</v>
      </c>
      <c r="B2432" s="90" t="s">
        <v>2513</v>
      </c>
      <c r="C2432" s="90" t="s">
        <v>2489</v>
      </c>
    </row>
    <row r="2433" spans="1:3" ht="14.4" x14ac:dyDescent="0.3">
      <c r="A2433" s="90" t="s">
        <v>5375</v>
      </c>
      <c r="B2433" s="90" t="s">
        <v>840</v>
      </c>
      <c r="C2433" s="90" t="s">
        <v>837</v>
      </c>
    </row>
    <row r="2434" spans="1:3" ht="14.4" x14ac:dyDescent="0.3">
      <c r="A2434" s="90" t="s">
        <v>5376</v>
      </c>
      <c r="B2434" s="90" t="s">
        <v>503</v>
      </c>
      <c r="C2434" s="90" t="s">
        <v>449</v>
      </c>
    </row>
    <row r="2435" spans="1:3" ht="14.4" x14ac:dyDescent="0.3">
      <c r="A2435" s="90" t="s">
        <v>5377</v>
      </c>
      <c r="B2435" s="90" t="s">
        <v>192</v>
      </c>
      <c r="C2435" s="90" t="s">
        <v>168</v>
      </c>
    </row>
    <row r="2436" spans="1:3" ht="14.4" x14ac:dyDescent="0.3">
      <c r="A2436" s="90" t="s">
        <v>5378</v>
      </c>
      <c r="B2436" s="90" t="s">
        <v>2412</v>
      </c>
      <c r="C2436" s="90" t="s">
        <v>2397</v>
      </c>
    </row>
    <row r="2437" spans="1:3" ht="14.4" x14ac:dyDescent="0.3">
      <c r="A2437" s="90" t="s">
        <v>5379</v>
      </c>
      <c r="B2437" s="90" t="s">
        <v>2873</v>
      </c>
      <c r="C2437" s="90" t="s">
        <v>2866</v>
      </c>
    </row>
    <row r="2438" spans="1:3" ht="14.4" x14ac:dyDescent="0.3">
      <c r="A2438" s="90" t="s">
        <v>5380</v>
      </c>
      <c r="B2438" s="90" t="s">
        <v>1802</v>
      </c>
      <c r="C2438" s="90" t="s">
        <v>1800</v>
      </c>
    </row>
    <row r="2439" spans="1:3" ht="14.4" x14ac:dyDescent="0.3">
      <c r="A2439" s="90" t="s">
        <v>5381</v>
      </c>
      <c r="B2439" s="90" t="s">
        <v>1183</v>
      </c>
      <c r="C2439" s="90" t="s">
        <v>1173</v>
      </c>
    </row>
    <row r="2440" spans="1:3" ht="14.4" x14ac:dyDescent="0.3">
      <c r="A2440" s="90" t="s">
        <v>5382</v>
      </c>
      <c r="B2440" s="90" t="s">
        <v>404</v>
      </c>
      <c r="C2440" s="90" t="s">
        <v>203</v>
      </c>
    </row>
    <row r="2441" spans="1:3" ht="14.4" x14ac:dyDescent="0.3">
      <c r="A2441" s="90" t="s">
        <v>5383</v>
      </c>
      <c r="B2441" s="90" t="s">
        <v>1668</v>
      </c>
      <c r="C2441" s="90" t="s">
        <v>1631</v>
      </c>
    </row>
    <row r="2442" spans="1:3" ht="14.4" x14ac:dyDescent="0.3">
      <c r="A2442" s="90" t="s">
        <v>5384</v>
      </c>
      <c r="B2442" s="90" t="s">
        <v>2326</v>
      </c>
      <c r="C2442" s="90" t="s">
        <v>2320</v>
      </c>
    </row>
    <row r="2443" spans="1:3" ht="14.4" x14ac:dyDescent="0.3">
      <c r="A2443" s="90" t="s">
        <v>5385</v>
      </c>
      <c r="B2443" s="90" t="s">
        <v>2230</v>
      </c>
      <c r="C2443" s="90" t="s">
        <v>2214</v>
      </c>
    </row>
    <row r="2444" spans="1:3" ht="14.4" x14ac:dyDescent="0.3">
      <c r="A2444" s="90" t="s">
        <v>5386</v>
      </c>
      <c r="B2444" s="90" t="s">
        <v>40</v>
      </c>
      <c r="C2444" s="90" t="s">
        <v>7</v>
      </c>
    </row>
    <row r="2445" spans="1:3" ht="14.4" x14ac:dyDescent="0.3">
      <c r="A2445" s="90" t="s">
        <v>5387</v>
      </c>
      <c r="B2445" s="90" t="s">
        <v>624</v>
      </c>
      <c r="C2445" s="90" t="s">
        <v>613</v>
      </c>
    </row>
    <row r="2446" spans="1:3" ht="14.4" x14ac:dyDescent="0.3">
      <c r="A2446" s="90" t="s">
        <v>5388</v>
      </c>
      <c r="B2446" s="90" t="s">
        <v>970</v>
      </c>
      <c r="C2446" s="90" t="s">
        <v>961</v>
      </c>
    </row>
    <row r="2447" spans="1:3" ht="14.4" x14ac:dyDescent="0.3">
      <c r="A2447" s="90" t="s">
        <v>5389</v>
      </c>
      <c r="B2447" s="90" t="s">
        <v>594</v>
      </c>
      <c r="C2447" s="90" t="s">
        <v>449</v>
      </c>
    </row>
    <row r="2448" spans="1:3" ht="14.4" x14ac:dyDescent="0.3">
      <c r="A2448" s="90" t="s">
        <v>5390</v>
      </c>
      <c r="B2448" s="90" t="s">
        <v>1626</v>
      </c>
      <c r="C2448" s="90" t="s">
        <v>1606</v>
      </c>
    </row>
    <row r="2449" spans="1:3" ht="14.4" x14ac:dyDescent="0.3">
      <c r="A2449" s="90" t="s">
        <v>5391</v>
      </c>
      <c r="B2449" s="90" t="s">
        <v>308</v>
      </c>
      <c r="C2449" s="90" t="s">
        <v>203</v>
      </c>
    </row>
    <row r="2450" spans="1:3" ht="14.4" x14ac:dyDescent="0.3">
      <c r="A2450" s="90" t="s">
        <v>5392</v>
      </c>
      <c r="B2450" s="90" t="s">
        <v>1434</v>
      </c>
      <c r="C2450" s="90" t="s">
        <v>1392</v>
      </c>
    </row>
    <row r="2451" spans="1:3" ht="14.4" x14ac:dyDescent="0.3">
      <c r="A2451" s="90" t="s">
        <v>5393</v>
      </c>
      <c r="B2451" s="90" t="s">
        <v>2013</v>
      </c>
      <c r="C2451" s="90" t="s">
        <v>2003</v>
      </c>
    </row>
    <row r="2452" spans="1:3" ht="14.4" x14ac:dyDescent="0.3">
      <c r="A2452" s="90" t="s">
        <v>5394</v>
      </c>
      <c r="B2452" s="90" t="s">
        <v>1031</v>
      </c>
      <c r="C2452" s="90" t="s">
        <v>972</v>
      </c>
    </row>
    <row r="2453" spans="1:3" ht="14.4" x14ac:dyDescent="0.3">
      <c r="A2453" s="90" t="s">
        <v>5395</v>
      </c>
      <c r="B2453" s="90" t="s">
        <v>183</v>
      </c>
      <c r="C2453" s="90" t="s">
        <v>168</v>
      </c>
    </row>
    <row r="2454" spans="1:3" ht="14.4" x14ac:dyDescent="0.3">
      <c r="A2454" s="90" t="s">
        <v>5396</v>
      </c>
      <c r="B2454" s="90" t="s">
        <v>1900</v>
      </c>
      <c r="C2454" s="90" t="s">
        <v>1863</v>
      </c>
    </row>
    <row r="2455" spans="1:3" ht="14.4" x14ac:dyDescent="0.3">
      <c r="A2455" s="90" t="s">
        <v>5397</v>
      </c>
      <c r="B2455" s="90" t="s">
        <v>2151</v>
      </c>
      <c r="C2455" s="90" t="s">
        <v>2124</v>
      </c>
    </row>
    <row r="2456" spans="1:3" ht="14.4" x14ac:dyDescent="0.3">
      <c r="A2456" s="90" t="s">
        <v>5398</v>
      </c>
      <c r="B2456" s="90" t="s">
        <v>1572</v>
      </c>
      <c r="C2456" s="90" t="s">
        <v>1568</v>
      </c>
    </row>
    <row r="2457" spans="1:3" ht="14.4" x14ac:dyDescent="0.3">
      <c r="A2457" s="90" t="s">
        <v>5399</v>
      </c>
      <c r="B2457" s="90" t="s">
        <v>2810</v>
      </c>
      <c r="C2457" s="90" t="s">
        <v>2808</v>
      </c>
    </row>
    <row r="2458" spans="1:3" ht="14.4" x14ac:dyDescent="0.3">
      <c r="A2458" s="90" t="s">
        <v>5400</v>
      </c>
      <c r="B2458" s="90" t="s">
        <v>1963</v>
      </c>
      <c r="C2458" s="90" t="s">
        <v>1955</v>
      </c>
    </row>
    <row r="2459" spans="1:3" ht="14.4" x14ac:dyDescent="0.3">
      <c r="A2459" s="90" t="s">
        <v>5401</v>
      </c>
      <c r="B2459" s="90" t="s">
        <v>1391</v>
      </c>
      <c r="C2459" s="90" t="s">
        <v>1375</v>
      </c>
    </row>
    <row r="2460" spans="1:3" ht="14.4" x14ac:dyDescent="0.3">
      <c r="A2460" s="90" t="s">
        <v>5402</v>
      </c>
      <c r="B2460" s="90" t="s">
        <v>1308</v>
      </c>
      <c r="C2460" s="90" t="s">
        <v>1292</v>
      </c>
    </row>
    <row r="2461" spans="1:3" ht="14.4" x14ac:dyDescent="0.3">
      <c r="A2461" s="90" t="s">
        <v>5403</v>
      </c>
      <c r="B2461" s="90" t="s">
        <v>680</v>
      </c>
      <c r="C2461" s="90" t="s">
        <v>675</v>
      </c>
    </row>
    <row r="2462" spans="1:3" ht="14.4" x14ac:dyDescent="0.3">
      <c r="A2462" s="90" t="s">
        <v>5404</v>
      </c>
      <c r="B2462" s="90" t="s">
        <v>1327</v>
      </c>
      <c r="C2462" s="90" t="s">
        <v>1313</v>
      </c>
    </row>
    <row r="2463" spans="1:3" ht="14.4" x14ac:dyDescent="0.3">
      <c r="A2463" s="90" t="s">
        <v>5405</v>
      </c>
      <c r="B2463" s="90" t="s">
        <v>2580</v>
      </c>
      <c r="C2463" s="90" t="s">
        <v>2489</v>
      </c>
    </row>
    <row r="2464" spans="1:3" ht="14.4" x14ac:dyDescent="0.3">
      <c r="A2464" s="90" t="s">
        <v>5406</v>
      </c>
      <c r="B2464" s="90" t="s">
        <v>114</v>
      </c>
      <c r="C2464" s="90" t="s">
        <v>91</v>
      </c>
    </row>
    <row r="2465" spans="1:3" ht="14.4" x14ac:dyDescent="0.3">
      <c r="A2465" s="90" t="s">
        <v>5407</v>
      </c>
      <c r="B2465" s="90" t="s">
        <v>1839</v>
      </c>
      <c r="C2465" s="90" t="s">
        <v>1833</v>
      </c>
    </row>
    <row r="2466" spans="1:3" ht="14.4" x14ac:dyDescent="0.3">
      <c r="A2466" s="90" t="s">
        <v>5408</v>
      </c>
      <c r="B2466" s="90" t="s">
        <v>2829</v>
      </c>
      <c r="C2466" s="90" t="s">
        <v>2819</v>
      </c>
    </row>
    <row r="2467" spans="1:3" ht="14.4" x14ac:dyDescent="0.3">
      <c r="A2467" s="90" t="s">
        <v>5409</v>
      </c>
      <c r="B2467" s="90" t="s">
        <v>1088</v>
      </c>
      <c r="C2467" s="90" t="s">
        <v>1050</v>
      </c>
    </row>
    <row r="2468" spans="1:3" ht="14.4" x14ac:dyDescent="0.3">
      <c r="A2468" s="90" t="s">
        <v>5410</v>
      </c>
      <c r="B2468" s="90" t="s">
        <v>112</v>
      </c>
      <c r="C2468" s="90" t="s">
        <v>91</v>
      </c>
    </row>
    <row r="2469" spans="1:3" ht="14.4" x14ac:dyDescent="0.3">
      <c r="A2469" s="90" t="s">
        <v>5411</v>
      </c>
      <c r="B2469" s="90" t="s">
        <v>113</v>
      </c>
      <c r="C2469" s="90" t="s">
        <v>91</v>
      </c>
    </row>
    <row r="2470" spans="1:3" ht="14.4" x14ac:dyDescent="0.3">
      <c r="A2470" s="90" t="s">
        <v>5412</v>
      </c>
      <c r="B2470" s="90" t="s">
        <v>2251</v>
      </c>
      <c r="C2470" s="90" t="s">
        <v>2234</v>
      </c>
    </row>
    <row r="2471" spans="1:3" ht="14.4" x14ac:dyDescent="0.3">
      <c r="A2471" s="90" t="s">
        <v>5413</v>
      </c>
      <c r="B2471" s="90" t="s">
        <v>1376</v>
      </c>
      <c r="C2471" s="90" t="s">
        <v>1375</v>
      </c>
    </row>
    <row r="2472" spans="1:3" ht="14.4" x14ac:dyDescent="0.3">
      <c r="A2472" s="90" t="s">
        <v>5414</v>
      </c>
      <c r="B2472" s="90" t="s">
        <v>959</v>
      </c>
      <c r="C2472" s="90" t="s">
        <v>916</v>
      </c>
    </row>
    <row r="2473" spans="1:3" ht="14.4" x14ac:dyDescent="0.3">
      <c r="A2473" s="90" t="s">
        <v>5415</v>
      </c>
      <c r="B2473" s="90" t="s">
        <v>406</v>
      </c>
      <c r="C2473" s="90" t="s">
        <v>203</v>
      </c>
    </row>
    <row r="2474" spans="1:3" ht="14.4" x14ac:dyDescent="0.3">
      <c r="A2474" s="90" t="s">
        <v>5416</v>
      </c>
      <c r="B2474" s="90" t="s">
        <v>2764</v>
      </c>
      <c r="C2474" s="90" t="s">
        <v>2754</v>
      </c>
    </row>
    <row r="2475" spans="1:3" ht="14.4" x14ac:dyDescent="0.3">
      <c r="A2475" s="90" t="s">
        <v>5417</v>
      </c>
      <c r="B2475" s="90" t="s">
        <v>2801</v>
      </c>
      <c r="C2475" s="90" t="s">
        <v>2767</v>
      </c>
    </row>
    <row r="2476" spans="1:3" ht="14.4" x14ac:dyDescent="0.3">
      <c r="A2476" s="90" t="s">
        <v>5418</v>
      </c>
      <c r="B2476" s="90" t="s">
        <v>1506</v>
      </c>
      <c r="C2476" s="90" t="s">
        <v>1485</v>
      </c>
    </row>
    <row r="2477" spans="1:3" ht="14.4" x14ac:dyDescent="0.3">
      <c r="A2477" s="90" t="s">
        <v>5419</v>
      </c>
      <c r="B2477" s="90" t="s">
        <v>1029</v>
      </c>
      <c r="C2477" s="90" t="s">
        <v>972</v>
      </c>
    </row>
    <row r="2478" spans="1:3" ht="14.4" x14ac:dyDescent="0.3">
      <c r="A2478" s="90" t="s">
        <v>5420</v>
      </c>
      <c r="B2478" s="90" t="s">
        <v>737</v>
      </c>
      <c r="C2478" s="90" t="s">
        <v>675</v>
      </c>
    </row>
    <row r="2479" spans="1:3" ht="14.4" x14ac:dyDescent="0.3">
      <c r="A2479" s="90" t="s">
        <v>5421</v>
      </c>
      <c r="B2479" s="90" t="s">
        <v>2485</v>
      </c>
      <c r="C2479" s="90" t="s">
        <v>2468</v>
      </c>
    </row>
    <row r="2480" spans="1:3" ht="14.4" x14ac:dyDescent="0.3">
      <c r="A2480" s="90" t="s">
        <v>5422</v>
      </c>
      <c r="B2480" s="90" t="s">
        <v>2253</v>
      </c>
      <c r="C2480" s="90" t="s">
        <v>2234</v>
      </c>
    </row>
    <row r="2481" spans="1:3" ht="14.4" x14ac:dyDescent="0.3">
      <c r="A2481" s="90" t="s">
        <v>5423</v>
      </c>
      <c r="B2481" s="90" t="s">
        <v>407</v>
      </c>
      <c r="C2481" s="90" t="s">
        <v>203</v>
      </c>
    </row>
    <row r="2482" spans="1:3" ht="14.4" x14ac:dyDescent="0.3">
      <c r="A2482" s="90" t="s">
        <v>5424</v>
      </c>
      <c r="B2482" s="90" t="s">
        <v>176</v>
      </c>
      <c r="C2482" s="90" t="s">
        <v>168</v>
      </c>
    </row>
    <row r="2483" spans="1:3" ht="14.4" x14ac:dyDescent="0.3">
      <c r="A2483" s="90" t="s">
        <v>5425</v>
      </c>
      <c r="B2483" s="90" t="s">
        <v>2816</v>
      </c>
      <c r="C2483" s="90" t="s">
        <v>2812</v>
      </c>
    </row>
    <row r="2484" spans="1:3" ht="14.4" x14ac:dyDescent="0.3">
      <c r="A2484" s="90" t="s">
        <v>5426</v>
      </c>
      <c r="B2484" s="90" t="s">
        <v>1171</v>
      </c>
      <c r="C2484" s="90" t="s">
        <v>1147</v>
      </c>
    </row>
    <row r="2485" spans="1:3" ht="14.4" x14ac:dyDescent="0.3">
      <c r="A2485" s="90" t="s">
        <v>5427</v>
      </c>
      <c r="B2485" s="90" t="s">
        <v>2254</v>
      </c>
      <c r="C2485" s="90" t="s">
        <v>2234</v>
      </c>
    </row>
    <row r="2486" spans="1:3" ht="14.4" x14ac:dyDescent="0.3">
      <c r="A2486" s="90" t="s">
        <v>5428</v>
      </c>
      <c r="B2486" s="90" t="s">
        <v>1987</v>
      </c>
      <c r="C2486" s="90" t="s">
        <v>1977</v>
      </c>
    </row>
    <row r="2487" spans="1:3" ht="14.4" x14ac:dyDescent="0.3">
      <c r="A2487" s="90" t="s">
        <v>5429</v>
      </c>
      <c r="B2487" s="90" t="s">
        <v>1032</v>
      </c>
      <c r="C2487" s="90" t="s">
        <v>972</v>
      </c>
    </row>
    <row r="2488" spans="1:3" ht="14.4" x14ac:dyDescent="0.3">
      <c r="A2488" s="90" t="s">
        <v>5430</v>
      </c>
      <c r="B2488" s="90" t="s">
        <v>1449</v>
      </c>
      <c r="C2488" s="90" t="s">
        <v>1440</v>
      </c>
    </row>
    <row r="2489" spans="1:3" ht="14.4" x14ac:dyDescent="0.3">
      <c r="A2489" s="90" t="s">
        <v>5431</v>
      </c>
      <c r="B2489" s="90" t="s">
        <v>1284</v>
      </c>
      <c r="C2489" s="90" t="s">
        <v>1268</v>
      </c>
    </row>
    <row r="2490" spans="1:3" ht="14.4" x14ac:dyDescent="0.3">
      <c r="A2490" s="90" t="s">
        <v>5432</v>
      </c>
      <c r="B2490" s="90" t="s">
        <v>855</v>
      </c>
      <c r="C2490" s="90" t="s">
        <v>852</v>
      </c>
    </row>
    <row r="2491" spans="1:3" ht="14.4" x14ac:dyDescent="0.3">
      <c r="A2491" s="90" t="s">
        <v>5433</v>
      </c>
      <c r="B2491" s="90" t="s">
        <v>1984</v>
      </c>
      <c r="C2491" s="90" t="s">
        <v>1977</v>
      </c>
    </row>
    <row r="2492" spans="1:3" ht="14.4" x14ac:dyDescent="0.3">
      <c r="A2492" s="90" t="s">
        <v>5434</v>
      </c>
      <c r="B2492" s="90" t="s">
        <v>626</v>
      </c>
      <c r="C2492" s="90" t="s">
        <v>613</v>
      </c>
    </row>
    <row r="2493" spans="1:3" ht="14.4" x14ac:dyDescent="0.3">
      <c r="A2493" s="90" t="s">
        <v>5435</v>
      </c>
      <c r="B2493" s="90" t="s">
        <v>792</v>
      </c>
      <c r="C2493" s="90" t="s">
        <v>776</v>
      </c>
    </row>
    <row r="2494" spans="1:3" ht="14.4" x14ac:dyDescent="0.3">
      <c r="A2494" s="90" t="s">
        <v>5436</v>
      </c>
      <c r="B2494" s="90" t="s">
        <v>2675</v>
      </c>
      <c r="C2494" s="90" t="s">
        <v>2669</v>
      </c>
    </row>
    <row r="2495" spans="1:3" ht="14.4" x14ac:dyDescent="0.3">
      <c r="A2495" s="90" t="s">
        <v>5437</v>
      </c>
      <c r="B2495" s="90" t="s">
        <v>657</v>
      </c>
      <c r="C2495" s="90" t="s">
        <v>627</v>
      </c>
    </row>
    <row r="2496" spans="1:3" ht="14.4" x14ac:dyDescent="0.3">
      <c r="A2496" s="90" t="s">
        <v>5438</v>
      </c>
      <c r="B2496" s="90" t="s">
        <v>1842</v>
      </c>
      <c r="C2496" s="90" t="s">
        <v>1840</v>
      </c>
    </row>
    <row r="2497" spans="1:3" ht="14.4" x14ac:dyDescent="0.3">
      <c r="A2497" s="90" t="s">
        <v>5439</v>
      </c>
      <c r="B2497" s="90" t="s">
        <v>1264</v>
      </c>
      <c r="C2497" s="90" t="s">
        <v>1251</v>
      </c>
    </row>
    <row r="2498" spans="1:3" ht="14.4" x14ac:dyDescent="0.3">
      <c r="A2498" s="90" t="s">
        <v>5440</v>
      </c>
      <c r="B2498" s="90" t="s">
        <v>1542</v>
      </c>
      <c r="C2498" s="90" t="s">
        <v>1513</v>
      </c>
    </row>
    <row r="2499" spans="1:3" ht="14.4" x14ac:dyDescent="0.3">
      <c r="A2499" s="90" t="s">
        <v>5441</v>
      </c>
      <c r="B2499" s="90" t="s">
        <v>1538</v>
      </c>
      <c r="C2499" s="90" t="s">
        <v>1513</v>
      </c>
    </row>
    <row r="2500" spans="1:3" ht="14.4" x14ac:dyDescent="0.3">
      <c r="A2500" s="90" t="s">
        <v>5442</v>
      </c>
      <c r="B2500" s="90" t="s">
        <v>2386</v>
      </c>
      <c r="C2500" s="90" t="s">
        <v>2365</v>
      </c>
    </row>
    <row r="2501" spans="1:3" ht="14.4" x14ac:dyDescent="0.3">
      <c r="A2501" s="90" t="s">
        <v>5443</v>
      </c>
      <c r="B2501" s="90" t="s">
        <v>412</v>
      </c>
      <c r="C2501" s="90" t="s">
        <v>203</v>
      </c>
    </row>
    <row r="2502" spans="1:3" ht="14.4" x14ac:dyDescent="0.3">
      <c r="A2502" s="90" t="s">
        <v>5444</v>
      </c>
      <c r="B2502" s="90" t="s">
        <v>1975</v>
      </c>
      <c r="C2502" s="90" t="s">
        <v>1966</v>
      </c>
    </row>
    <row r="2503" spans="1:3" ht="14.4" x14ac:dyDescent="0.3">
      <c r="A2503" s="90" t="s">
        <v>5445</v>
      </c>
      <c r="B2503" s="90" t="s">
        <v>1964</v>
      </c>
      <c r="C2503" s="90" t="s">
        <v>1955</v>
      </c>
    </row>
    <row r="2504" spans="1:3" ht="14.4" x14ac:dyDescent="0.3">
      <c r="A2504" s="90" t="s">
        <v>5446</v>
      </c>
      <c r="B2504" s="90" t="s">
        <v>2122</v>
      </c>
      <c r="C2504" s="90" t="s">
        <v>2106</v>
      </c>
    </row>
    <row r="2505" spans="1:3" ht="14.4" x14ac:dyDescent="0.3">
      <c r="A2505" s="90" t="s">
        <v>5447</v>
      </c>
      <c r="B2505" s="90" t="s">
        <v>144</v>
      </c>
      <c r="C2505" s="90" t="s">
        <v>116</v>
      </c>
    </row>
    <row r="2506" spans="1:3" ht="14.4" x14ac:dyDescent="0.3">
      <c r="A2506" s="90" t="s">
        <v>5448</v>
      </c>
      <c r="B2506" s="90" t="s">
        <v>779</v>
      </c>
      <c r="C2506" s="90" t="s">
        <v>776</v>
      </c>
    </row>
    <row r="2507" spans="1:3" ht="14.4" x14ac:dyDescent="0.3">
      <c r="A2507" s="90" t="s">
        <v>5449</v>
      </c>
      <c r="B2507" s="90" t="s">
        <v>1033</v>
      </c>
      <c r="C2507" s="90" t="s">
        <v>972</v>
      </c>
    </row>
    <row r="2508" spans="1:3" ht="14.4" x14ac:dyDescent="0.3">
      <c r="A2508" s="90" t="s">
        <v>5450</v>
      </c>
      <c r="B2508" s="90" t="s">
        <v>411</v>
      </c>
      <c r="C2508" s="90" t="s">
        <v>203</v>
      </c>
    </row>
    <row r="2509" spans="1:3" ht="14.4" x14ac:dyDescent="0.3">
      <c r="A2509" s="90" t="s">
        <v>5451</v>
      </c>
      <c r="B2509" s="90" t="s">
        <v>2231</v>
      </c>
      <c r="C2509" s="90" t="s">
        <v>2214</v>
      </c>
    </row>
    <row r="2510" spans="1:3" ht="14.4" x14ac:dyDescent="0.3">
      <c r="A2510" s="90" t="s">
        <v>5452</v>
      </c>
      <c r="B2510" s="90" t="s">
        <v>736</v>
      </c>
      <c r="C2510" s="90" t="s">
        <v>675</v>
      </c>
    </row>
    <row r="2511" spans="1:3" ht="14.4" x14ac:dyDescent="0.3">
      <c r="A2511" s="90" t="s">
        <v>5453</v>
      </c>
      <c r="B2511" s="90" t="s">
        <v>1508</v>
      </c>
      <c r="C2511" s="90" t="s">
        <v>1485</v>
      </c>
    </row>
    <row r="2512" spans="1:3" ht="14.4" x14ac:dyDescent="0.3">
      <c r="A2512" s="90" t="s">
        <v>5454</v>
      </c>
      <c r="B2512" s="90" t="s">
        <v>1463</v>
      </c>
      <c r="C2512" s="90" t="s">
        <v>1451</v>
      </c>
    </row>
    <row r="2513" spans="1:3" ht="14.4" x14ac:dyDescent="0.3">
      <c r="A2513" s="90" t="s">
        <v>5455</v>
      </c>
      <c r="B2513" s="90" t="s">
        <v>1435</v>
      </c>
      <c r="C2513" s="90" t="s">
        <v>1392</v>
      </c>
    </row>
    <row r="2514" spans="1:3" ht="14.4" x14ac:dyDescent="0.3">
      <c r="A2514" s="90" t="s">
        <v>5456</v>
      </c>
      <c r="B2514" s="90" t="s">
        <v>470</v>
      </c>
      <c r="C2514" s="90" t="s">
        <v>449</v>
      </c>
    </row>
    <row r="2515" spans="1:3" ht="14.4" x14ac:dyDescent="0.3">
      <c r="A2515" s="90" t="s">
        <v>5457</v>
      </c>
      <c r="B2515" s="90" t="s">
        <v>409</v>
      </c>
      <c r="C2515" s="90" t="s">
        <v>203</v>
      </c>
    </row>
    <row r="2516" spans="1:3" ht="14.4" x14ac:dyDescent="0.3">
      <c r="A2516" s="90" t="s">
        <v>5458</v>
      </c>
      <c r="B2516" s="90" t="s">
        <v>2731</v>
      </c>
      <c r="C2516" s="90" t="s">
        <v>2683</v>
      </c>
    </row>
    <row r="2517" spans="1:3" ht="14.4" x14ac:dyDescent="0.3">
      <c r="A2517" s="90" t="s">
        <v>5459</v>
      </c>
      <c r="B2517" s="90" t="s">
        <v>2327</v>
      </c>
      <c r="C2517" s="90" t="s">
        <v>2320</v>
      </c>
    </row>
    <row r="2518" spans="1:3" ht="14.4" x14ac:dyDescent="0.3">
      <c r="A2518" s="90" t="s">
        <v>5460</v>
      </c>
      <c r="B2518" s="90" t="s">
        <v>167</v>
      </c>
      <c r="C2518" s="90" t="s">
        <v>163</v>
      </c>
    </row>
    <row r="2519" spans="1:3" ht="14.4" x14ac:dyDescent="0.3">
      <c r="A2519" s="90" t="s">
        <v>5461</v>
      </c>
      <c r="B2519" s="90" t="s">
        <v>1193</v>
      </c>
      <c r="C2519" s="90" t="s">
        <v>1185</v>
      </c>
    </row>
    <row r="2520" spans="1:3" ht="14.4" x14ac:dyDescent="0.3">
      <c r="A2520" s="90" t="s">
        <v>5462</v>
      </c>
      <c r="B2520" s="90" t="s">
        <v>1859</v>
      </c>
      <c r="C2520" s="90" t="s">
        <v>1848</v>
      </c>
    </row>
    <row r="2521" spans="1:3" ht="14.4" x14ac:dyDescent="0.3">
      <c r="A2521" s="90" t="s">
        <v>5463</v>
      </c>
      <c r="B2521" s="90" t="s">
        <v>612</v>
      </c>
      <c r="C2521" s="90" t="s">
        <v>604</v>
      </c>
    </row>
    <row r="2522" spans="1:3" ht="14.4" x14ac:dyDescent="0.3">
      <c r="A2522" s="90" t="s">
        <v>5464</v>
      </c>
      <c r="B2522" s="90" t="s">
        <v>593</v>
      </c>
      <c r="C2522" s="90" t="s">
        <v>449</v>
      </c>
    </row>
    <row r="2523" spans="1:3" ht="14.4" x14ac:dyDescent="0.3">
      <c r="A2523" s="90" t="s">
        <v>5465</v>
      </c>
      <c r="B2523" s="90" t="s">
        <v>900</v>
      </c>
      <c r="C2523" s="90" t="s">
        <v>874</v>
      </c>
    </row>
    <row r="2524" spans="1:3" ht="14.4" x14ac:dyDescent="0.3">
      <c r="A2524" s="90" t="s">
        <v>5466</v>
      </c>
      <c r="B2524" s="90" t="s">
        <v>2830</v>
      </c>
      <c r="C2524" s="90" t="s">
        <v>2819</v>
      </c>
    </row>
    <row r="2525" spans="1:3" ht="14.4" x14ac:dyDescent="0.3">
      <c r="A2525" s="90" t="s">
        <v>5467</v>
      </c>
      <c r="B2525" s="90" t="s">
        <v>2579</v>
      </c>
      <c r="C2525" s="90" t="s">
        <v>2489</v>
      </c>
    </row>
    <row r="2526" spans="1:3" ht="14.4" x14ac:dyDescent="0.3">
      <c r="A2526" s="90" t="s">
        <v>5468</v>
      </c>
      <c r="B2526" s="90" t="s">
        <v>733</v>
      </c>
      <c r="C2526" s="90" t="s">
        <v>675</v>
      </c>
    </row>
    <row r="2527" spans="1:3" ht="14.4" x14ac:dyDescent="0.3">
      <c r="A2527" s="90" t="s">
        <v>5469</v>
      </c>
      <c r="B2527" s="90" t="s">
        <v>1170</v>
      </c>
      <c r="C2527" s="90" t="s">
        <v>1147</v>
      </c>
    </row>
    <row r="2528" spans="1:3" ht="14.4" x14ac:dyDescent="0.3">
      <c r="A2528" s="90" t="s">
        <v>5470</v>
      </c>
      <c r="B2528" s="90" t="s">
        <v>1505</v>
      </c>
      <c r="C2528" s="90" t="s">
        <v>1485</v>
      </c>
    </row>
    <row r="2529" spans="1:3" ht="14.4" x14ac:dyDescent="0.3">
      <c r="A2529" s="90" t="s">
        <v>5471</v>
      </c>
      <c r="B2529" s="90" t="s">
        <v>1803</v>
      </c>
      <c r="C2529" s="90" t="s">
        <v>1800</v>
      </c>
    </row>
    <row r="2530" spans="1:3" ht="14.4" x14ac:dyDescent="0.3">
      <c r="A2530" s="90" t="s">
        <v>5472</v>
      </c>
      <c r="B2530" s="90" t="s">
        <v>870</v>
      </c>
      <c r="C2530" s="90" t="s">
        <v>866</v>
      </c>
    </row>
    <row r="2531" spans="1:3" ht="14.4" x14ac:dyDescent="0.3">
      <c r="A2531" s="90" t="s">
        <v>5473</v>
      </c>
      <c r="B2531" s="90" t="s">
        <v>1053</v>
      </c>
      <c r="C2531" s="90" t="s">
        <v>1050</v>
      </c>
    </row>
    <row r="2532" spans="1:3" ht="14.4" x14ac:dyDescent="0.3">
      <c r="A2532" s="90" t="s">
        <v>5474</v>
      </c>
      <c r="B2532" s="90" t="s">
        <v>1291</v>
      </c>
      <c r="C2532" s="90" t="s">
        <v>1286</v>
      </c>
    </row>
    <row r="2533" spans="1:3" ht="14.4" x14ac:dyDescent="0.3">
      <c r="A2533" s="90" t="s">
        <v>5475</v>
      </c>
      <c r="B2533" s="90" t="s">
        <v>1140</v>
      </c>
      <c r="C2533" s="90" t="s">
        <v>1134</v>
      </c>
    </row>
    <row r="2534" spans="1:3" ht="14.4" x14ac:dyDescent="0.3">
      <c r="A2534" s="90" t="s">
        <v>5476</v>
      </c>
      <c r="B2534" s="90" t="s">
        <v>1917</v>
      </c>
      <c r="C2534" s="90" t="s">
        <v>1901</v>
      </c>
    </row>
    <row r="2535" spans="1:3" ht="14.4" x14ac:dyDescent="0.3">
      <c r="A2535" s="90" t="s">
        <v>5477</v>
      </c>
      <c r="B2535" s="90" t="s">
        <v>1837</v>
      </c>
      <c r="C2535" s="90" t="s">
        <v>1833</v>
      </c>
    </row>
    <row r="2536" spans="1:3" ht="14.4" x14ac:dyDescent="0.3">
      <c r="A2536" s="90" t="s">
        <v>5478</v>
      </c>
      <c r="B2536" s="90" t="s">
        <v>1541</v>
      </c>
      <c r="C2536" s="90" t="s">
        <v>1513</v>
      </c>
    </row>
    <row r="2537" spans="1:3" ht="14.4" x14ac:dyDescent="0.3">
      <c r="A2537" s="90" t="s">
        <v>5479</v>
      </c>
      <c r="B2537" s="90" t="s">
        <v>1627</v>
      </c>
      <c r="C2537" s="90" t="s">
        <v>1606</v>
      </c>
    </row>
    <row r="2538" spans="1:3" ht="14.4" x14ac:dyDescent="0.3">
      <c r="A2538" s="90" t="s">
        <v>5480</v>
      </c>
      <c r="B2538" s="90" t="s">
        <v>1184</v>
      </c>
      <c r="C2538" s="90" t="s">
        <v>1173</v>
      </c>
    </row>
    <row r="2539" spans="1:3" ht="14.4" x14ac:dyDescent="0.3">
      <c r="A2539" s="90" t="s">
        <v>5481</v>
      </c>
      <c r="B2539" s="90" t="s">
        <v>2581</v>
      </c>
      <c r="C2539" s="90" t="s">
        <v>2489</v>
      </c>
    </row>
    <row r="2540" spans="1:3" ht="14.4" x14ac:dyDescent="0.3">
      <c r="A2540" s="90" t="s">
        <v>5482</v>
      </c>
      <c r="B2540" s="90" t="s">
        <v>2179</v>
      </c>
      <c r="C2540" s="90" t="s">
        <v>2153</v>
      </c>
    </row>
    <row r="2541" spans="1:3" ht="14.4" x14ac:dyDescent="0.3">
      <c r="A2541" s="90" t="s">
        <v>5483</v>
      </c>
      <c r="B2541" s="90" t="s">
        <v>2593</v>
      </c>
      <c r="C2541" s="90" t="s">
        <v>2589</v>
      </c>
    </row>
    <row r="2542" spans="1:3" ht="14.4" x14ac:dyDescent="0.3">
      <c r="A2542" s="90" t="s">
        <v>5484</v>
      </c>
      <c r="B2542" s="90" t="s">
        <v>1509</v>
      </c>
      <c r="C2542" s="90" t="s">
        <v>1485</v>
      </c>
    </row>
    <row r="2543" spans="1:3" ht="14.4" x14ac:dyDescent="0.3">
      <c r="A2543" s="90" t="s">
        <v>5485</v>
      </c>
      <c r="B2543" s="90" t="s">
        <v>1600</v>
      </c>
      <c r="C2543" s="90" t="s">
        <v>1580</v>
      </c>
    </row>
    <row r="2544" spans="1:3" ht="14.4" x14ac:dyDescent="0.3">
      <c r="A2544" s="90" t="s">
        <v>5486</v>
      </c>
      <c r="B2544" s="90" t="s">
        <v>1048</v>
      </c>
      <c r="C2544" s="90" t="s">
        <v>1038</v>
      </c>
    </row>
    <row r="2545" spans="1:3" ht="14.4" x14ac:dyDescent="0.3">
      <c r="A2545" s="90" t="s">
        <v>5487</v>
      </c>
      <c r="B2545" s="90" t="s">
        <v>2465</v>
      </c>
      <c r="C2545" s="90" t="s">
        <v>2421</v>
      </c>
    </row>
    <row r="2546" spans="1:3" ht="14.4" x14ac:dyDescent="0.3">
      <c r="A2546" s="90" t="s">
        <v>5488</v>
      </c>
      <c r="B2546" s="90" t="s">
        <v>2314</v>
      </c>
      <c r="C2546" s="90" t="s">
        <v>2275</v>
      </c>
    </row>
    <row r="2547" spans="1:3" ht="14.4" x14ac:dyDescent="0.3">
      <c r="A2547" s="90" t="s">
        <v>5489</v>
      </c>
      <c r="B2547" s="90" t="s">
        <v>15</v>
      </c>
      <c r="C2547" s="90" t="s">
        <v>7</v>
      </c>
    </row>
    <row r="2548" spans="1:3" ht="14.4" x14ac:dyDescent="0.3">
      <c r="A2548" s="90" t="s">
        <v>5490</v>
      </c>
      <c r="B2548" s="90" t="s">
        <v>2582</v>
      </c>
      <c r="C2548" s="90" t="s">
        <v>2489</v>
      </c>
    </row>
    <row r="2549" spans="1:3" ht="14.4" x14ac:dyDescent="0.3">
      <c r="A2549" s="90" t="s">
        <v>5491</v>
      </c>
      <c r="B2549" s="90" t="s">
        <v>2494</v>
      </c>
      <c r="C2549" s="90" t="s">
        <v>2489</v>
      </c>
    </row>
    <row r="2550" spans="1:3" ht="14.4" x14ac:dyDescent="0.3">
      <c r="A2550" s="90" t="s">
        <v>5492</v>
      </c>
      <c r="B2550" s="90" t="s">
        <v>88</v>
      </c>
      <c r="C2550" s="90" t="s">
        <v>72</v>
      </c>
    </row>
    <row r="2551" spans="1:3" ht="14.4" x14ac:dyDescent="0.3">
      <c r="A2551" s="90" t="s">
        <v>5493</v>
      </c>
      <c r="B2551" s="90" t="s">
        <v>87</v>
      </c>
      <c r="C2551" s="90" t="s">
        <v>72</v>
      </c>
    </row>
    <row r="2552" spans="1:3" ht="14.4" x14ac:dyDescent="0.3">
      <c r="A2552" s="90" t="s">
        <v>5494</v>
      </c>
      <c r="B2552" s="90" t="s">
        <v>61</v>
      </c>
      <c r="C2552" s="90" t="s">
        <v>50</v>
      </c>
    </row>
    <row r="2553" spans="1:3" ht="14.4" x14ac:dyDescent="0.3">
      <c r="A2553" s="90" t="s">
        <v>5495</v>
      </c>
      <c r="B2553" s="90" t="s">
        <v>2210</v>
      </c>
      <c r="C2553" s="90" t="s">
        <v>2182</v>
      </c>
    </row>
    <row r="2554" spans="1:3" ht="14.4" x14ac:dyDescent="0.3">
      <c r="A2554" s="90" t="s">
        <v>5496</v>
      </c>
      <c r="B2554" s="90" t="s">
        <v>2362</v>
      </c>
      <c r="C2554" s="90" t="s">
        <v>2328</v>
      </c>
    </row>
    <row r="2555" spans="1:3" ht="14.4" x14ac:dyDescent="0.3">
      <c r="A2555" s="90" t="s">
        <v>5497</v>
      </c>
      <c r="B2555" s="90" t="s">
        <v>832</v>
      </c>
      <c r="C2555" s="90" t="s">
        <v>800</v>
      </c>
    </row>
    <row r="2556" spans="1:3" ht="14.4" x14ac:dyDescent="0.3">
      <c r="A2556" s="90" t="s">
        <v>5498</v>
      </c>
      <c r="B2556" s="90" t="s">
        <v>415</v>
      </c>
      <c r="C2556" s="90" t="s">
        <v>203</v>
      </c>
    </row>
    <row r="2557" spans="1:3" ht="14.4" x14ac:dyDescent="0.3">
      <c r="A2557" s="90" t="s">
        <v>5499</v>
      </c>
      <c r="B2557" s="90" t="s">
        <v>230</v>
      </c>
      <c r="C2557" s="90" t="s">
        <v>203</v>
      </c>
    </row>
    <row r="2558" spans="1:3" ht="14.4" x14ac:dyDescent="0.3">
      <c r="A2558" s="90" t="s">
        <v>5500</v>
      </c>
      <c r="B2558" s="90" t="s">
        <v>417</v>
      </c>
      <c r="C2558" s="90" t="s">
        <v>203</v>
      </c>
    </row>
    <row r="2559" spans="1:3" ht="14.4" x14ac:dyDescent="0.3">
      <c r="A2559" s="90" t="s">
        <v>5501</v>
      </c>
      <c r="B2559" s="90" t="s">
        <v>2361</v>
      </c>
      <c r="C2559" s="90" t="s">
        <v>2328</v>
      </c>
    </row>
    <row r="2560" spans="1:3" ht="14.4" x14ac:dyDescent="0.3">
      <c r="A2560" s="90" t="s">
        <v>5502</v>
      </c>
      <c r="B2560" s="90" t="s">
        <v>2255</v>
      </c>
      <c r="C2560" s="90" t="s">
        <v>2234</v>
      </c>
    </row>
    <row r="2561" spans="1:3" ht="14.4" x14ac:dyDescent="0.3">
      <c r="A2561" s="90" t="s">
        <v>5503</v>
      </c>
      <c r="B2561" s="90" t="s">
        <v>2413</v>
      </c>
      <c r="C2561" s="90" t="s">
        <v>2397</v>
      </c>
    </row>
    <row r="2562" spans="1:3" ht="14.4" x14ac:dyDescent="0.3">
      <c r="A2562" s="90" t="s">
        <v>5504</v>
      </c>
      <c r="B2562" s="90" t="s">
        <v>2180</v>
      </c>
      <c r="C2562" s="90" t="s">
        <v>2153</v>
      </c>
    </row>
    <row r="2563" spans="1:3" ht="14.4" x14ac:dyDescent="0.3">
      <c r="A2563" s="90" t="s">
        <v>5505</v>
      </c>
      <c r="B2563" s="90" t="s">
        <v>2021</v>
      </c>
      <c r="C2563" s="90" t="s">
        <v>2015</v>
      </c>
    </row>
    <row r="2564" spans="1:3" ht="14.4" x14ac:dyDescent="0.3">
      <c r="A2564" s="90" t="s">
        <v>5506</v>
      </c>
      <c r="B2564" s="90" t="s">
        <v>865</v>
      </c>
      <c r="C2564" s="90" t="s">
        <v>859</v>
      </c>
    </row>
    <row r="2565" spans="1:3" ht="14.4" x14ac:dyDescent="0.3">
      <c r="A2565" s="90" t="s">
        <v>5507</v>
      </c>
      <c r="B2565" s="90" t="s">
        <v>1436</v>
      </c>
      <c r="C2565" s="90" t="s">
        <v>1392</v>
      </c>
    </row>
    <row r="2566" spans="1:3" ht="14.4" x14ac:dyDescent="0.3">
      <c r="A2566" s="90" t="s">
        <v>5508</v>
      </c>
      <c r="B2566" s="90" t="s">
        <v>2811</v>
      </c>
      <c r="C2566" s="90" t="s">
        <v>2808</v>
      </c>
    </row>
    <row r="2567" spans="1:3" ht="14.4" x14ac:dyDescent="0.3">
      <c r="A2567" s="90" t="s">
        <v>5509</v>
      </c>
      <c r="B2567" s="90" t="s">
        <v>1563</v>
      </c>
      <c r="C2567" s="90" t="s">
        <v>1562</v>
      </c>
    </row>
    <row r="2568" spans="1:3" ht="14.4" x14ac:dyDescent="0.3">
      <c r="A2568" s="90" t="s">
        <v>5510</v>
      </c>
      <c r="B2568" s="90" t="s">
        <v>1906</v>
      </c>
      <c r="C2568" s="90" t="s">
        <v>1901</v>
      </c>
    </row>
    <row r="2569" spans="1:3" ht="14.4" x14ac:dyDescent="0.3">
      <c r="A2569" s="90" t="s">
        <v>5511</v>
      </c>
      <c r="B2569" s="90" t="s">
        <v>1921</v>
      </c>
      <c r="C2569" s="90" t="s">
        <v>1919</v>
      </c>
    </row>
    <row r="2570" spans="1:3" ht="14.4" x14ac:dyDescent="0.3">
      <c r="A2570" s="90" t="s">
        <v>5512</v>
      </c>
      <c r="B2570" s="90" t="s">
        <v>2906</v>
      </c>
      <c r="C2570" s="90" t="s">
        <v>2904</v>
      </c>
    </row>
    <row r="2571" spans="1:3" ht="14.4" x14ac:dyDescent="0.3">
      <c r="A2571" s="90" t="s">
        <v>5513</v>
      </c>
      <c r="B2571" s="90" t="s">
        <v>2219</v>
      </c>
      <c r="C2571" s="90" t="s">
        <v>2214</v>
      </c>
    </row>
    <row r="2572" spans="1:3" ht="14.4" x14ac:dyDescent="0.3">
      <c r="A2572" s="90" t="s">
        <v>5514</v>
      </c>
      <c r="B2572" s="90" t="s">
        <v>1628</v>
      </c>
      <c r="C2572" s="90" t="s">
        <v>1606</v>
      </c>
    </row>
    <row r="2573" spans="1:3" ht="14.4" x14ac:dyDescent="0.3">
      <c r="A2573" s="90" t="s">
        <v>5515</v>
      </c>
      <c r="B2573" s="90" t="s">
        <v>2084</v>
      </c>
      <c r="C2573" s="90" t="s">
        <v>2066</v>
      </c>
    </row>
    <row r="2574" spans="1:3" ht="14.4" x14ac:dyDescent="0.3">
      <c r="A2574" s="90" t="s">
        <v>5516</v>
      </c>
      <c r="B2574" s="90" t="s">
        <v>1437</v>
      </c>
      <c r="C2574" s="90" t="s">
        <v>1392</v>
      </c>
    </row>
    <row r="2575" spans="1:3" ht="14.4" x14ac:dyDescent="0.3">
      <c r="A2575" s="90" t="s">
        <v>5517</v>
      </c>
      <c r="B2575" s="90" t="s">
        <v>1360</v>
      </c>
      <c r="C2575" s="90" t="s">
        <v>1338</v>
      </c>
    </row>
    <row r="2576" spans="1:3" ht="14.4" x14ac:dyDescent="0.3">
      <c r="A2576" s="90" t="s">
        <v>5518</v>
      </c>
      <c r="B2576" s="90" t="s">
        <v>2849</v>
      </c>
      <c r="C2576" s="90" t="s">
        <v>2839</v>
      </c>
    </row>
    <row r="2577" spans="1:3" ht="14.4" x14ac:dyDescent="0.3">
      <c r="A2577" s="90" t="s">
        <v>5519</v>
      </c>
      <c r="B2577" s="90" t="s">
        <v>2732</v>
      </c>
      <c r="C2577" s="90" t="s">
        <v>2683</v>
      </c>
    </row>
    <row r="2578" spans="1:3" ht="14.4" x14ac:dyDescent="0.3">
      <c r="A2578" s="90" t="s">
        <v>5520</v>
      </c>
      <c r="B2578" s="90" t="s">
        <v>2622</v>
      </c>
      <c r="C2578" s="90" t="s">
        <v>2589</v>
      </c>
    </row>
    <row r="2579" spans="1:3" ht="14.4" x14ac:dyDescent="0.3">
      <c r="A2579" s="90" t="s">
        <v>5521</v>
      </c>
      <c r="B2579" s="90" t="s">
        <v>413</v>
      </c>
      <c r="C2579" s="90" t="s">
        <v>203</v>
      </c>
    </row>
    <row r="2580" spans="1:3" ht="14.4" x14ac:dyDescent="0.3">
      <c r="A2580" s="90" t="s">
        <v>5522</v>
      </c>
      <c r="B2580" s="90" t="s">
        <v>2181</v>
      </c>
      <c r="C2580" s="90" t="s">
        <v>2153</v>
      </c>
    </row>
    <row r="2581" spans="1:3" ht="14.4" x14ac:dyDescent="0.3">
      <c r="A2581" s="90" t="s">
        <v>5523</v>
      </c>
      <c r="B2581" s="90" t="s">
        <v>414</v>
      </c>
      <c r="C2581" s="90" t="s">
        <v>203</v>
      </c>
    </row>
    <row r="2582" spans="1:3" ht="14.4" x14ac:dyDescent="0.3">
      <c r="A2582" s="90" t="s">
        <v>5524</v>
      </c>
      <c r="B2582" s="90" t="s">
        <v>416</v>
      </c>
      <c r="C2582" s="90" t="s">
        <v>203</v>
      </c>
    </row>
    <row r="2583" spans="1:3" ht="14.4" x14ac:dyDescent="0.3">
      <c r="A2583" s="90" t="s">
        <v>5525</v>
      </c>
      <c r="B2583" s="90" t="s">
        <v>89</v>
      </c>
      <c r="C2583" s="90" t="s">
        <v>72</v>
      </c>
    </row>
    <row r="2584" spans="1:3" ht="14.4" x14ac:dyDescent="0.3">
      <c r="A2584" s="90" t="s">
        <v>5526</v>
      </c>
      <c r="B2584" s="90" t="s">
        <v>1200</v>
      </c>
      <c r="C2584" s="90" t="s">
        <v>1199</v>
      </c>
    </row>
    <row r="2585" spans="1:3" ht="14.4" x14ac:dyDescent="0.3">
      <c r="A2585" s="90" t="s">
        <v>5527</v>
      </c>
      <c r="B2585" s="90" t="s">
        <v>1249</v>
      </c>
      <c r="C2585" s="90" t="s">
        <v>1239</v>
      </c>
    </row>
    <row r="2586" spans="1:3" ht="14.4" x14ac:dyDescent="0.3">
      <c r="A2586" s="90" t="s">
        <v>5528</v>
      </c>
      <c r="B2586" s="90" t="s">
        <v>2123</v>
      </c>
      <c r="C2586" s="90" t="s">
        <v>2106</v>
      </c>
    </row>
    <row r="2587" spans="1:3" ht="14.4" x14ac:dyDescent="0.3">
      <c r="A2587" s="90" t="s">
        <v>5529</v>
      </c>
      <c r="B2587" s="90" t="s">
        <v>1377</v>
      </c>
      <c r="C2587" s="90" t="s">
        <v>1375</v>
      </c>
    </row>
    <row r="2588" spans="1:3" ht="14.4" x14ac:dyDescent="0.3">
      <c r="A2588" s="90" t="s">
        <v>5530</v>
      </c>
      <c r="B2588" s="90" t="s">
        <v>1967</v>
      </c>
      <c r="C2588" s="90" t="s">
        <v>1966</v>
      </c>
    </row>
    <row r="2589" spans="1:3" ht="14.4" x14ac:dyDescent="0.3">
      <c r="A2589" s="90" t="s">
        <v>5531</v>
      </c>
      <c r="B2589" s="90" t="s">
        <v>1740</v>
      </c>
      <c r="C2589" s="90" t="s">
        <v>1727</v>
      </c>
    </row>
    <row r="2590" spans="1:3" ht="14.4" x14ac:dyDescent="0.3">
      <c r="A2590" s="90" t="s">
        <v>5532</v>
      </c>
      <c r="B2590" s="90" t="s">
        <v>793</v>
      </c>
      <c r="C2590" s="90" t="s">
        <v>776</v>
      </c>
    </row>
    <row r="2591" spans="1:3" ht="14.4" x14ac:dyDescent="0.3">
      <c r="A2591" s="90" t="s">
        <v>5533</v>
      </c>
      <c r="B2591" s="90" t="s">
        <v>1483</v>
      </c>
      <c r="C2591" s="90" t="s">
        <v>1472</v>
      </c>
    </row>
    <row r="2592" spans="1:3" ht="14.4" x14ac:dyDescent="0.3">
      <c r="A2592" s="90" t="s">
        <v>5534</v>
      </c>
      <c r="B2592" s="90" t="s">
        <v>115</v>
      </c>
      <c r="C2592" s="90" t="s">
        <v>91</v>
      </c>
    </row>
    <row r="2593" spans="1:3" ht="14.4" x14ac:dyDescent="0.3">
      <c r="A2593" s="90" t="s">
        <v>5535</v>
      </c>
      <c r="B2593" s="90" t="s">
        <v>2232</v>
      </c>
      <c r="C2593" s="90" t="s">
        <v>2214</v>
      </c>
    </row>
    <row r="2594" spans="1:3" ht="14.4" x14ac:dyDescent="0.3">
      <c r="A2594" s="90" t="s">
        <v>5536</v>
      </c>
      <c r="B2594" s="90" t="s">
        <v>2623</v>
      </c>
      <c r="C2594" s="90" t="s">
        <v>2589</v>
      </c>
    </row>
    <row r="2595" spans="1:3" ht="14.4" x14ac:dyDescent="0.3">
      <c r="A2595" s="90" t="s">
        <v>5537</v>
      </c>
      <c r="B2595" s="90" t="s">
        <v>419</v>
      </c>
      <c r="C2595" s="90" t="s">
        <v>203</v>
      </c>
    </row>
    <row r="2596" spans="1:3" ht="14.4" x14ac:dyDescent="0.3">
      <c r="A2596" s="90" t="s">
        <v>5538</v>
      </c>
      <c r="B2596" s="90" t="s">
        <v>659</v>
      </c>
      <c r="C2596" s="90" t="s">
        <v>627</v>
      </c>
    </row>
    <row r="2597" spans="1:3" ht="14.4" x14ac:dyDescent="0.3">
      <c r="A2597" s="90" t="s">
        <v>5539</v>
      </c>
      <c r="B2597" s="90" t="s">
        <v>1207</v>
      </c>
      <c r="C2597" s="90" t="s">
        <v>1199</v>
      </c>
    </row>
    <row r="2598" spans="1:3" ht="14.4" x14ac:dyDescent="0.3">
      <c r="A2598" s="90" t="s">
        <v>5540</v>
      </c>
      <c r="B2598" s="90" t="s">
        <v>631</v>
      </c>
      <c r="C2598" s="90" t="s">
        <v>627</v>
      </c>
    </row>
    <row r="2599" spans="1:3" ht="14.4" x14ac:dyDescent="0.3">
      <c r="A2599" s="90" t="s">
        <v>5541</v>
      </c>
      <c r="B2599" s="90" t="s">
        <v>658</v>
      </c>
      <c r="C2599" s="90" t="s">
        <v>627</v>
      </c>
    </row>
    <row r="2600" spans="1:3" ht="14.4" x14ac:dyDescent="0.3">
      <c r="A2600" s="90" t="s">
        <v>5542</v>
      </c>
      <c r="B2600" s="90" t="s">
        <v>2803</v>
      </c>
      <c r="C2600" s="90" t="s">
        <v>2767</v>
      </c>
    </row>
    <row r="2601" spans="1:3" ht="14.4" x14ac:dyDescent="0.3">
      <c r="A2601" s="90" t="s">
        <v>5543</v>
      </c>
      <c r="B2601" s="90" t="s">
        <v>1312</v>
      </c>
      <c r="C2601" s="90" t="s">
        <v>1292</v>
      </c>
    </row>
    <row r="2602" spans="1:3" ht="14.4" x14ac:dyDescent="0.3">
      <c r="A2602" s="90" t="s">
        <v>5544</v>
      </c>
      <c r="B2602" s="90" t="s">
        <v>1629</v>
      </c>
      <c r="C2602" s="90" t="s">
        <v>1606</v>
      </c>
    </row>
    <row r="2603" spans="1:3" ht="14.4" x14ac:dyDescent="0.3">
      <c r="A2603" s="90" t="s">
        <v>5545</v>
      </c>
      <c r="B2603" s="90" t="s">
        <v>597</v>
      </c>
      <c r="C2603" s="90" t="s">
        <v>449</v>
      </c>
    </row>
    <row r="2604" spans="1:3" ht="14.4" x14ac:dyDescent="0.3">
      <c r="A2604" s="90" t="s">
        <v>5546</v>
      </c>
      <c r="B2604" s="90" t="s">
        <v>2865</v>
      </c>
      <c r="C2604" s="90" t="s">
        <v>2852</v>
      </c>
    </row>
    <row r="2605" spans="1:3" ht="14.4" x14ac:dyDescent="0.3">
      <c r="A2605" s="90" t="s">
        <v>5547</v>
      </c>
      <c r="B2605" s="90" t="s">
        <v>1712</v>
      </c>
      <c r="C2605" s="90" t="s">
        <v>1681</v>
      </c>
    </row>
    <row r="2606" spans="1:3" ht="14.4" x14ac:dyDescent="0.3">
      <c r="A2606" s="90" t="s">
        <v>5548</v>
      </c>
      <c r="B2606" s="90" t="s">
        <v>41</v>
      </c>
      <c r="C2606" s="90" t="s">
        <v>7</v>
      </c>
    </row>
    <row r="2607" spans="1:3" ht="14.4" x14ac:dyDescent="0.3">
      <c r="A2607" s="90" t="s">
        <v>5549</v>
      </c>
      <c r="B2607" s="90" t="s">
        <v>1438</v>
      </c>
      <c r="C2607" s="90" t="s">
        <v>1392</v>
      </c>
    </row>
    <row r="2608" spans="1:3" ht="14.4" x14ac:dyDescent="0.3">
      <c r="A2608" s="90" t="s">
        <v>5550</v>
      </c>
      <c r="B2608" s="90" t="s">
        <v>418</v>
      </c>
      <c r="C2608" s="90" t="s">
        <v>203</v>
      </c>
    </row>
    <row r="2609" spans="1:3" ht="14.4" x14ac:dyDescent="0.3">
      <c r="A2609" s="90" t="s">
        <v>5551</v>
      </c>
      <c r="B2609" s="90" t="s">
        <v>2817</v>
      </c>
      <c r="C2609" s="90" t="s">
        <v>2812</v>
      </c>
    </row>
    <row r="2610" spans="1:3" ht="14.4" x14ac:dyDescent="0.3">
      <c r="A2610" s="90" t="s">
        <v>5552</v>
      </c>
      <c r="B2610" s="90" t="s">
        <v>901</v>
      </c>
      <c r="C2610" s="90" t="s">
        <v>874</v>
      </c>
    </row>
    <row r="2611" spans="1:3" ht="14.4" x14ac:dyDescent="0.3">
      <c r="A2611" s="90" t="s">
        <v>5553</v>
      </c>
      <c r="B2611" s="90" t="s">
        <v>2270</v>
      </c>
      <c r="C2611" s="90" t="s">
        <v>2257</v>
      </c>
    </row>
    <row r="2612" spans="1:3" ht="14.4" x14ac:dyDescent="0.3">
      <c r="A2612" s="90" t="s">
        <v>5554</v>
      </c>
      <c r="B2612" s="90" t="s">
        <v>1965</v>
      </c>
      <c r="C2612" s="90" t="s">
        <v>1955</v>
      </c>
    </row>
    <row r="2613" spans="1:3" ht="14.4" x14ac:dyDescent="0.3">
      <c r="A2613" s="90" t="s">
        <v>5555</v>
      </c>
      <c r="B2613" s="90" t="s">
        <v>1670</v>
      </c>
      <c r="C2613" s="90" t="s">
        <v>1631</v>
      </c>
    </row>
    <row r="2614" spans="1:3" ht="14.4" x14ac:dyDescent="0.3">
      <c r="A2614" s="90" t="s">
        <v>5556</v>
      </c>
      <c r="B2614" s="90" t="s">
        <v>231</v>
      </c>
      <c r="C2614" s="90" t="s">
        <v>203</v>
      </c>
    </row>
    <row r="2615" spans="1:3" ht="14.4" x14ac:dyDescent="0.3">
      <c r="A2615" s="90" t="s">
        <v>5557</v>
      </c>
      <c r="B2615" s="90" t="s">
        <v>193</v>
      </c>
      <c r="C2615" s="90" t="s">
        <v>168</v>
      </c>
    </row>
    <row r="2616" spans="1:3" ht="14.4" x14ac:dyDescent="0.3">
      <c r="A2616" s="90" t="s">
        <v>5558</v>
      </c>
      <c r="B2616" s="90" t="s">
        <v>835</v>
      </c>
      <c r="C2616" s="90" t="s">
        <v>800</v>
      </c>
    </row>
    <row r="2617" spans="1:3" ht="14.4" x14ac:dyDescent="0.3">
      <c r="A2617" s="90" t="s">
        <v>5559</v>
      </c>
      <c r="B2617" s="90" t="s">
        <v>599</v>
      </c>
      <c r="C2617" s="90" t="s">
        <v>449</v>
      </c>
    </row>
    <row r="2618" spans="1:3" ht="14.4" x14ac:dyDescent="0.3">
      <c r="A2618" s="90" t="s">
        <v>5560</v>
      </c>
      <c r="B2618" s="90" t="s">
        <v>2583</v>
      </c>
      <c r="C2618" s="90" t="s">
        <v>2489</v>
      </c>
    </row>
    <row r="2619" spans="1:3" ht="14.4" x14ac:dyDescent="0.3">
      <c r="A2619" s="90" t="s">
        <v>5561</v>
      </c>
      <c r="B2619" s="90" t="s">
        <v>739</v>
      </c>
      <c r="C2619" s="90" t="s">
        <v>675</v>
      </c>
    </row>
    <row r="2620" spans="1:3" ht="14.4" x14ac:dyDescent="0.3">
      <c r="A2620" s="90" t="s">
        <v>5562</v>
      </c>
      <c r="B2620" s="90" t="s">
        <v>2415</v>
      </c>
      <c r="C2620" s="90" t="s">
        <v>2397</v>
      </c>
    </row>
    <row r="2621" spans="1:3" ht="14.4" x14ac:dyDescent="0.3">
      <c r="A2621" s="90" t="s">
        <v>5563</v>
      </c>
      <c r="B2621" s="90" t="s">
        <v>1266</v>
      </c>
      <c r="C2621" s="90" t="s">
        <v>1251</v>
      </c>
    </row>
    <row r="2622" spans="1:3" ht="14.4" x14ac:dyDescent="0.3">
      <c r="A2622" s="90" t="s">
        <v>5564</v>
      </c>
      <c r="B2622" s="90" t="s">
        <v>2022</v>
      </c>
      <c r="C2622" s="90" t="s">
        <v>2015</v>
      </c>
    </row>
    <row r="2623" spans="1:3" ht="14.4" x14ac:dyDescent="0.3">
      <c r="A2623" s="90" t="s">
        <v>5565</v>
      </c>
      <c r="B2623" s="90" t="s">
        <v>90</v>
      </c>
      <c r="C2623" s="90" t="s">
        <v>72</v>
      </c>
    </row>
    <row r="2624" spans="1:3" ht="14.4" x14ac:dyDescent="0.3">
      <c r="A2624" s="90" t="s">
        <v>5566</v>
      </c>
      <c r="B2624" s="90" t="s">
        <v>2805</v>
      </c>
      <c r="C2624" s="90" t="s">
        <v>2767</v>
      </c>
    </row>
    <row r="2625" spans="1:3" ht="14.4" x14ac:dyDescent="0.3">
      <c r="A2625" s="90" t="s">
        <v>5567</v>
      </c>
      <c r="B2625" s="90" t="s">
        <v>2818</v>
      </c>
      <c r="C2625" s="90" t="s">
        <v>2812</v>
      </c>
    </row>
    <row r="2626" spans="1:3" ht="14.4" x14ac:dyDescent="0.3">
      <c r="A2626" s="90" t="s">
        <v>5568</v>
      </c>
      <c r="B2626" s="90" t="s">
        <v>2625</v>
      </c>
      <c r="C2626" s="90" t="s">
        <v>2589</v>
      </c>
    </row>
    <row r="2627" spans="1:3" ht="14.4" x14ac:dyDescent="0.3">
      <c r="A2627" s="90" t="s">
        <v>5569</v>
      </c>
      <c r="B2627" s="90" t="s">
        <v>794</v>
      </c>
      <c r="C2627" s="90" t="s">
        <v>776</v>
      </c>
    </row>
    <row r="2628" spans="1:3" ht="14.4" x14ac:dyDescent="0.3">
      <c r="A2628" s="90" t="s">
        <v>5570</v>
      </c>
      <c r="B2628" s="90" t="s">
        <v>1603</v>
      </c>
      <c r="C2628" s="90" t="s">
        <v>1580</v>
      </c>
    </row>
    <row r="2629" spans="1:3" ht="14.4" x14ac:dyDescent="0.3">
      <c r="A2629" s="90" t="s">
        <v>5571</v>
      </c>
      <c r="B2629" s="90" t="s">
        <v>1584</v>
      </c>
      <c r="C2629" s="90" t="s">
        <v>1580</v>
      </c>
    </row>
    <row r="2630" spans="1:3" ht="14.4" x14ac:dyDescent="0.3">
      <c r="A2630" s="90" t="s">
        <v>5572</v>
      </c>
      <c r="B2630" s="90" t="s">
        <v>834</v>
      </c>
      <c r="C2630" s="90" t="s">
        <v>800</v>
      </c>
    </row>
    <row r="2631" spans="1:3" ht="14.4" x14ac:dyDescent="0.3">
      <c r="A2631" s="90" t="s">
        <v>5573</v>
      </c>
      <c r="B2631" s="90" t="s">
        <v>1133</v>
      </c>
      <c r="C2631" s="90" t="s">
        <v>1106</v>
      </c>
    </row>
    <row r="2632" spans="1:3" ht="14.4" x14ac:dyDescent="0.3">
      <c r="A2632" s="90" t="s">
        <v>5574</v>
      </c>
      <c r="B2632" s="90" t="s">
        <v>775</v>
      </c>
      <c r="C2632" s="90" t="s">
        <v>744</v>
      </c>
    </row>
    <row r="2633" spans="1:3" ht="14.4" x14ac:dyDescent="0.3">
      <c r="A2633" s="90" t="s">
        <v>5575</v>
      </c>
      <c r="B2633" s="90" t="s">
        <v>942</v>
      </c>
      <c r="C2633" s="90" t="s">
        <v>916</v>
      </c>
    </row>
    <row r="2634" spans="1:3" ht="14.4" x14ac:dyDescent="0.3">
      <c r="A2634" s="90" t="s">
        <v>5576</v>
      </c>
      <c r="B2634" s="90" t="s">
        <v>1236</v>
      </c>
      <c r="C2634" s="90" t="s">
        <v>1229</v>
      </c>
    </row>
    <row r="2635" spans="1:3" ht="14.4" x14ac:dyDescent="0.3">
      <c r="A2635" s="90" t="s">
        <v>5577</v>
      </c>
      <c r="B2635" s="90" t="s">
        <v>1860</v>
      </c>
      <c r="C2635" s="90" t="s">
        <v>1848</v>
      </c>
    </row>
    <row r="2636" spans="1:3" ht="14.4" x14ac:dyDescent="0.3">
      <c r="A2636" s="90" t="s">
        <v>5578</v>
      </c>
      <c r="B2636" s="90" t="s">
        <v>420</v>
      </c>
      <c r="C2636" s="90" t="s">
        <v>203</v>
      </c>
    </row>
    <row r="2637" spans="1:3" ht="14.4" x14ac:dyDescent="0.3">
      <c r="A2637" s="90" t="s">
        <v>5579</v>
      </c>
      <c r="B2637" s="90" t="s">
        <v>660</v>
      </c>
      <c r="C2637" s="90" t="s">
        <v>627</v>
      </c>
    </row>
    <row r="2638" spans="1:3" ht="14.4" x14ac:dyDescent="0.3">
      <c r="A2638" s="90" t="s">
        <v>5580</v>
      </c>
      <c r="B2638" s="90" t="s">
        <v>1726</v>
      </c>
      <c r="C2638" s="90" t="s">
        <v>1715</v>
      </c>
    </row>
    <row r="2639" spans="1:3" ht="14.4" x14ac:dyDescent="0.3">
      <c r="A2639" s="90" t="s">
        <v>5581</v>
      </c>
      <c r="B2639" s="90" t="s">
        <v>2626</v>
      </c>
      <c r="C2639" s="90" t="s">
        <v>2589</v>
      </c>
    </row>
    <row r="2640" spans="1:3" ht="14.4" x14ac:dyDescent="0.3">
      <c r="A2640" s="90" t="s">
        <v>5582</v>
      </c>
      <c r="B2640" s="90" t="s">
        <v>598</v>
      </c>
      <c r="C2640" s="90" t="s">
        <v>449</v>
      </c>
    </row>
    <row r="2641" spans="1:3" ht="14.4" x14ac:dyDescent="0.3">
      <c r="A2641" s="90" t="s">
        <v>5583</v>
      </c>
      <c r="B2641" s="90" t="s">
        <v>2063</v>
      </c>
      <c r="C2641" s="90" t="s">
        <v>2015</v>
      </c>
    </row>
    <row r="2642" spans="1:3" ht="14.4" x14ac:dyDescent="0.3">
      <c r="A2642" s="90" t="s">
        <v>5584</v>
      </c>
      <c r="B2642" s="90" t="s">
        <v>738</v>
      </c>
      <c r="C2642" s="90" t="s">
        <v>675</v>
      </c>
    </row>
    <row r="2643" spans="1:3" ht="14.4" x14ac:dyDescent="0.3">
      <c r="A2643" s="90" t="s">
        <v>5585</v>
      </c>
      <c r="B2643" s="90" t="s">
        <v>146</v>
      </c>
      <c r="C2643" s="90" t="s">
        <v>116</v>
      </c>
    </row>
    <row r="2644" spans="1:3" ht="14.4" x14ac:dyDescent="0.3">
      <c r="A2644" s="90" t="s">
        <v>5586</v>
      </c>
      <c r="B2644" s="90" t="s">
        <v>2387</v>
      </c>
      <c r="C2644" s="90" t="s">
        <v>2365</v>
      </c>
    </row>
    <row r="2645" spans="1:3" ht="14.4" x14ac:dyDescent="0.3">
      <c r="A2645" s="90" t="s">
        <v>5587</v>
      </c>
      <c r="B2645" s="90" t="s">
        <v>1442</v>
      </c>
      <c r="C2645" s="90" t="s">
        <v>1440</v>
      </c>
    </row>
    <row r="2646" spans="1:3" ht="14.4" x14ac:dyDescent="0.3">
      <c r="A2646" s="90" t="s">
        <v>5588</v>
      </c>
      <c r="B2646" s="90" t="s">
        <v>1217</v>
      </c>
      <c r="C2646" s="90" t="s">
        <v>1208</v>
      </c>
    </row>
    <row r="2647" spans="1:3" ht="14.4" x14ac:dyDescent="0.3">
      <c r="A2647" s="90" t="s">
        <v>5589</v>
      </c>
      <c r="B2647" s="90" t="s">
        <v>1633</v>
      </c>
      <c r="C2647" s="90" t="s">
        <v>1631</v>
      </c>
    </row>
    <row r="2648" spans="1:3" ht="14.4" x14ac:dyDescent="0.3">
      <c r="A2648" s="90" t="s">
        <v>5590</v>
      </c>
      <c r="B2648" s="90" t="s">
        <v>921</v>
      </c>
      <c r="C2648" s="90" t="s">
        <v>916</v>
      </c>
    </row>
    <row r="2649" spans="1:3" ht="14.4" x14ac:dyDescent="0.3">
      <c r="A2649" s="90" t="s">
        <v>5591</v>
      </c>
      <c r="B2649" s="90" t="s">
        <v>2624</v>
      </c>
      <c r="C2649" s="90" t="s">
        <v>2589</v>
      </c>
    </row>
    <row r="2650" spans="1:3" ht="14.4" x14ac:dyDescent="0.3">
      <c r="A2650" s="90" t="s">
        <v>5592</v>
      </c>
      <c r="B2650" s="90" t="s">
        <v>2584</v>
      </c>
      <c r="C2650" s="90" t="s">
        <v>2489</v>
      </c>
    </row>
    <row r="2651" spans="1:3" ht="14.4" x14ac:dyDescent="0.3">
      <c r="A2651" s="90" t="s">
        <v>5593</v>
      </c>
      <c r="B2651" s="90" t="s">
        <v>740</v>
      </c>
      <c r="C2651" s="90" t="s">
        <v>675</v>
      </c>
    </row>
    <row r="2652" spans="1:3" ht="14.4" x14ac:dyDescent="0.3">
      <c r="A2652" s="90" t="s">
        <v>5594</v>
      </c>
      <c r="B2652" s="90" t="s">
        <v>1510</v>
      </c>
      <c r="C2652" s="90" t="s">
        <v>1485</v>
      </c>
    </row>
    <row r="2653" spans="1:3" ht="14.4" x14ac:dyDescent="0.3">
      <c r="A2653" s="90" t="s">
        <v>5595</v>
      </c>
      <c r="B2653" s="90" t="s">
        <v>145</v>
      </c>
      <c r="C2653" s="90" t="s">
        <v>116</v>
      </c>
    </row>
    <row r="2654" spans="1:3" ht="14.4" x14ac:dyDescent="0.3">
      <c r="A2654" s="90" t="s">
        <v>5596</v>
      </c>
      <c r="B2654" s="90" t="s">
        <v>1361</v>
      </c>
      <c r="C2654" s="90" t="s">
        <v>1338</v>
      </c>
    </row>
    <row r="2655" spans="1:3" ht="14.4" x14ac:dyDescent="0.3">
      <c r="A2655" s="90" t="s">
        <v>5597</v>
      </c>
      <c r="B2655" s="90" t="s">
        <v>674</v>
      </c>
      <c r="C2655" s="90" t="s">
        <v>661</v>
      </c>
    </row>
    <row r="2656" spans="1:3" ht="14.4" x14ac:dyDescent="0.3">
      <c r="A2656" s="90" t="s">
        <v>5598</v>
      </c>
      <c r="B2656" s="90" t="s">
        <v>601</v>
      </c>
      <c r="C2656" s="90" t="s">
        <v>449</v>
      </c>
    </row>
    <row r="2657" spans="1:3" ht="14.4" x14ac:dyDescent="0.3">
      <c r="A2657" s="90" t="s">
        <v>5599</v>
      </c>
      <c r="B2657" s="90" t="s">
        <v>600</v>
      </c>
      <c r="C2657" s="90" t="s">
        <v>449</v>
      </c>
    </row>
    <row r="2658" spans="1:3" ht="14.4" x14ac:dyDescent="0.3">
      <c r="A2658" s="90" t="s">
        <v>5600</v>
      </c>
      <c r="B2658" s="90" t="s">
        <v>833</v>
      </c>
      <c r="C2658" s="90" t="s">
        <v>800</v>
      </c>
    </row>
    <row r="2659" spans="1:3" ht="14.4" x14ac:dyDescent="0.3">
      <c r="A2659" s="90" t="s">
        <v>5601</v>
      </c>
      <c r="B2659" s="90" t="s">
        <v>1172</v>
      </c>
      <c r="C2659" s="90" t="s">
        <v>1147</v>
      </c>
    </row>
    <row r="2660" spans="1:3" ht="14.4" x14ac:dyDescent="0.3">
      <c r="A2660" s="90" t="s">
        <v>5602</v>
      </c>
      <c r="B2660" s="90" t="s">
        <v>2466</v>
      </c>
      <c r="C2660" s="90" t="s">
        <v>2421</v>
      </c>
    </row>
    <row r="2661" spans="1:3" ht="14.4" x14ac:dyDescent="0.3">
      <c r="A2661" s="90" t="s">
        <v>5603</v>
      </c>
      <c r="B2661" s="90" t="s">
        <v>2733</v>
      </c>
      <c r="C2661" s="90" t="s">
        <v>2683</v>
      </c>
    </row>
    <row r="2662" spans="1:3" ht="14.4" x14ac:dyDescent="0.3">
      <c r="A2662" s="90" t="s">
        <v>5604</v>
      </c>
      <c r="B2662" s="90" t="s">
        <v>2632</v>
      </c>
      <c r="C2662" s="90" t="s">
        <v>2628</v>
      </c>
    </row>
    <row r="2663" spans="1:3" ht="14.4" x14ac:dyDescent="0.3">
      <c r="A2663" s="90" t="s">
        <v>5605</v>
      </c>
      <c r="B2663" s="90" t="s">
        <v>795</v>
      </c>
      <c r="C2663" s="90" t="s">
        <v>776</v>
      </c>
    </row>
    <row r="2664" spans="1:3" ht="14.4" x14ac:dyDescent="0.3">
      <c r="A2664" s="90" t="s">
        <v>5606</v>
      </c>
      <c r="B2664" s="90" t="s">
        <v>1543</v>
      </c>
      <c r="C2664" s="90" t="s">
        <v>1513</v>
      </c>
    </row>
    <row r="2665" spans="1:3" ht="14.4" x14ac:dyDescent="0.3">
      <c r="A2665" s="90" t="s">
        <v>5607</v>
      </c>
      <c r="B2665" s="90" t="s">
        <v>2085</v>
      </c>
      <c r="C2665" s="90" t="s">
        <v>2066</v>
      </c>
    </row>
    <row r="2666" spans="1:3" ht="14.4" x14ac:dyDescent="0.3">
      <c r="A2666" s="90" t="s">
        <v>5608</v>
      </c>
      <c r="B2666" s="90" t="s">
        <v>472</v>
      </c>
      <c r="C2666" s="90" t="s">
        <v>449</v>
      </c>
    </row>
    <row r="2667" spans="1:3" ht="14.4" x14ac:dyDescent="0.3">
      <c r="A2667" s="90" t="s">
        <v>5609</v>
      </c>
      <c r="B2667" s="90" t="s">
        <v>2917</v>
      </c>
      <c r="C2667" s="90" t="s">
        <v>2904</v>
      </c>
    </row>
    <row r="2668" spans="1:3" ht="14.4" x14ac:dyDescent="0.3">
      <c r="A2668" s="90" t="s">
        <v>5610</v>
      </c>
      <c r="B2668" s="90" t="s">
        <v>741</v>
      </c>
      <c r="C2668" s="90" t="s">
        <v>675</v>
      </c>
    </row>
    <row r="2669" spans="1:3" ht="14.4" x14ac:dyDescent="0.3">
      <c r="A2669" s="90" t="s">
        <v>5611</v>
      </c>
      <c r="B2669" s="90" t="s">
        <v>1861</v>
      </c>
      <c r="C2669" s="90" t="s">
        <v>1848</v>
      </c>
    </row>
    <row r="2670" spans="1:3" ht="14.4" x14ac:dyDescent="0.3">
      <c r="A2670" s="90" t="s">
        <v>5612</v>
      </c>
      <c r="B2670" s="90" t="s">
        <v>960</v>
      </c>
      <c r="C2670" s="90" t="s">
        <v>916</v>
      </c>
    </row>
    <row r="2671" spans="1:3" ht="14.4" x14ac:dyDescent="0.3">
      <c r="A2671" s="90" t="s">
        <v>5613</v>
      </c>
      <c r="B2671" s="90" t="s">
        <v>471</v>
      </c>
      <c r="C2671" s="90" t="s">
        <v>449</v>
      </c>
    </row>
    <row r="2672" spans="1:3" ht="14.4" x14ac:dyDescent="0.3">
      <c r="A2672" s="90" t="s">
        <v>5614</v>
      </c>
      <c r="B2672" s="90" t="s">
        <v>2804</v>
      </c>
      <c r="C2672" s="90" t="s">
        <v>2767</v>
      </c>
    </row>
    <row r="2673" spans="1:3" ht="14.4" x14ac:dyDescent="0.3">
      <c r="A2673" s="90" t="s">
        <v>5615</v>
      </c>
      <c r="B2673" s="90" t="s">
        <v>2734</v>
      </c>
      <c r="C2673" s="90" t="s">
        <v>2683</v>
      </c>
    </row>
    <row r="2674" spans="1:3" ht="14.4" x14ac:dyDescent="0.3">
      <c r="A2674" s="90" t="s">
        <v>5616</v>
      </c>
      <c r="B2674" s="90" t="s">
        <v>2923</v>
      </c>
      <c r="C2674" s="90" t="s">
        <v>2919</v>
      </c>
    </row>
    <row r="2675" spans="1:3" ht="14.4" x14ac:dyDescent="0.3">
      <c r="A2675" s="90" t="s">
        <v>5617</v>
      </c>
      <c r="B2675" s="90" t="s">
        <v>1976</v>
      </c>
      <c r="C2675" s="90" t="s">
        <v>1966</v>
      </c>
    </row>
    <row r="2676" spans="1:3" ht="14.4" x14ac:dyDescent="0.3">
      <c r="A2676" s="90" t="s">
        <v>5618</v>
      </c>
      <c r="B2676" s="90" t="s">
        <v>426</v>
      </c>
      <c r="C2676" s="90" t="s">
        <v>203</v>
      </c>
    </row>
    <row r="2677" spans="1:3" ht="14.4" x14ac:dyDescent="0.3">
      <c r="A2677" s="90" t="s">
        <v>5619</v>
      </c>
      <c r="B2677" s="90" t="s">
        <v>2363</v>
      </c>
      <c r="C2677" s="90" t="s">
        <v>2328</v>
      </c>
    </row>
    <row r="2678" spans="1:3" ht="14.4" x14ac:dyDescent="0.3">
      <c r="A2678" s="90" t="s">
        <v>5620</v>
      </c>
      <c r="B2678" s="90" t="s">
        <v>742</v>
      </c>
      <c r="C2678" s="90" t="s">
        <v>675</v>
      </c>
    </row>
    <row r="2679" spans="1:3" ht="14.4" x14ac:dyDescent="0.3">
      <c r="A2679" s="90" t="s">
        <v>5621</v>
      </c>
      <c r="B2679" s="90" t="s">
        <v>1329</v>
      </c>
      <c r="C2679" s="90" t="s">
        <v>1313</v>
      </c>
    </row>
    <row r="2680" spans="1:3" ht="14.4" x14ac:dyDescent="0.3">
      <c r="A2680" s="90" t="s">
        <v>5622</v>
      </c>
      <c r="B2680" s="90" t="s">
        <v>427</v>
      </c>
      <c r="C2680" s="90" t="s">
        <v>203</v>
      </c>
    </row>
    <row r="2681" spans="1:3" ht="14.4" x14ac:dyDescent="0.3">
      <c r="A2681" s="90" t="s">
        <v>5623</v>
      </c>
      <c r="B2681" s="90" t="s">
        <v>421</v>
      </c>
      <c r="C2681" s="90" t="s">
        <v>203</v>
      </c>
    </row>
    <row r="2682" spans="1:3" ht="14.4" x14ac:dyDescent="0.3">
      <c r="A2682" s="90" t="s">
        <v>5624</v>
      </c>
      <c r="B2682" s="90" t="s">
        <v>1713</v>
      </c>
      <c r="C2682" s="90" t="s">
        <v>1681</v>
      </c>
    </row>
    <row r="2683" spans="1:3" ht="14.4" x14ac:dyDescent="0.3">
      <c r="A2683" s="90" t="s">
        <v>5625</v>
      </c>
      <c r="B2683" s="90" t="s">
        <v>1123</v>
      </c>
      <c r="C2683" s="90" t="s">
        <v>1106</v>
      </c>
    </row>
    <row r="2684" spans="1:3" ht="14.4" x14ac:dyDescent="0.3">
      <c r="A2684" s="90" t="s">
        <v>5626</v>
      </c>
      <c r="B2684" s="90" t="s">
        <v>1948</v>
      </c>
      <c r="C2684" s="90" t="s">
        <v>1944</v>
      </c>
    </row>
    <row r="2685" spans="1:3" ht="14.4" x14ac:dyDescent="0.3">
      <c r="A2685" s="90" t="s">
        <v>5627</v>
      </c>
      <c r="B2685" s="90" t="s">
        <v>194</v>
      </c>
      <c r="C2685" s="90" t="s">
        <v>168</v>
      </c>
    </row>
    <row r="2686" spans="1:3" ht="14.4" x14ac:dyDescent="0.3">
      <c r="A2686" s="90" t="s">
        <v>5628</v>
      </c>
      <c r="B2686" s="90" t="s">
        <v>1267</v>
      </c>
      <c r="C2686" s="90" t="s">
        <v>1251</v>
      </c>
    </row>
    <row r="2687" spans="1:3" ht="14.4" x14ac:dyDescent="0.3">
      <c r="A2687" s="90" t="s">
        <v>5629</v>
      </c>
      <c r="B2687" s="90" t="s">
        <v>423</v>
      </c>
      <c r="C2687" s="90" t="s">
        <v>203</v>
      </c>
    </row>
    <row r="2688" spans="1:3" ht="14.4" x14ac:dyDescent="0.3">
      <c r="A2688" s="90" t="s">
        <v>5630</v>
      </c>
      <c r="B2688" s="90" t="s">
        <v>1035</v>
      </c>
      <c r="C2688" s="90" t="s">
        <v>972</v>
      </c>
    </row>
    <row r="2689" spans="1:3" ht="14.4" x14ac:dyDescent="0.3">
      <c r="A2689" s="90" t="s">
        <v>5631</v>
      </c>
      <c r="B2689" s="90" t="s">
        <v>1330</v>
      </c>
      <c r="C2689" s="90" t="s">
        <v>1313</v>
      </c>
    </row>
    <row r="2690" spans="1:3" ht="14.4" x14ac:dyDescent="0.3">
      <c r="A2690" s="90" t="s">
        <v>5632</v>
      </c>
      <c r="B2690" s="90" t="s">
        <v>1250</v>
      </c>
      <c r="C2690" s="90" t="s">
        <v>1239</v>
      </c>
    </row>
    <row r="2691" spans="1:3" ht="14.4" x14ac:dyDescent="0.3">
      <c r="A2691" s="90" t="s">
        <v>5633</v>
      </c>
      <c r="B2691" s="90" t="s">
        <v>2682</v>
      </c>
      <c r="C2691" s="90" t="s">
        <v>2669</v>
      </c>
    </row>
    <row r="2692" spans="1:3" ht="14.4" x14ac:dyDescent="0.3">
      <c r="A2692" s="90" t="s">
        <v>5634</v>
      </c>
      <c r="B2692" s="90" t="s">
        <v>2585</v>
      </c>
      <c r="C2692" s="90" t="s">
        <v>2489</v>
      </c>
    </row>
    <row r="2693" spans="1:3" ht="14.4" x14ac:dyDescent="0.3">
      <c r="A2693" s="90" t="s">
        <v>5635</v>
      </c>
      <c r="B2693" s="90" t="s">
        <v>908</v>
      </c>
      <c r="C2693" s="90" t="s">
        <v>903</v>
      </c>
    </row>
    <row r="2694" spans="1:3" ht="14.4" x14ac:dyDescent="0.3">
      <c r="A2694" s="90" t="s">
        <v>5636</v>
      </c>
      <c r="B2694" s="90" t="s">
        <v>2667</v>
      </c>
      <c r="C2694" s="90" t="s">
        <v>2633</v>
      </c>
    </row>
    <row r="2695" spans="1:3" ht="14.4" x14ac:dyDescent="0.3">
      <c r="A2695" s="90" t="s">
        <v>5637</v>
      </c>
      <c r="B2695" s="90" t="s">
        <v>147</v>
      </c>
      <c r="C2695" s="90" t="s">
        <v>116</v>
      </c>
    </row>
    <row r="2696" spans="1:3" ht="14.4" x14ac:dyDescent="0.3">
      <c r="A2696" s="90" t="s">
        <v>5638</v>
      </c>
      <c r="B2696" s="90" t="s">
        <v>1511</v>
      </c>
      <c r="C2696" s="90" t="s">
        <v>1485</v>
      </c>
    </row>
    <row r="2697" spans="1:3" ht="14.4" x14ac:dyDescent="0.3">
      <c r="A2697" s="90" t="s">
        <v>5639</v>
      </c>
      <c r="B2697" s="90" t="s">
        <v>2901</v>
      </c>
      <c r="C2697" s="90" t="s">
        <v>2874</v>
      </c>
    </row>
    <row r="2698" spans="1:3" ht="14.4" x14ac:dyDescent="0.3">
      <c r="A2698" s="90" t="s">
        <v>5640</v>
      </c>
      <c r="B2698" s="90" t="s">
        <v>2316</v>
      </c>
      <c r="C2698" s="90" t="s">
        <v>2275</v>
      </c>
    </row>
    <row r="2699" spans="1:3" ht="14.4" x14ac:dyDescent="0.3">
      <c r="A2699" s="90" t="s">
        <v>5641</v>
      </c>
      <c r="B2699" s="90" t="s">
        <v>2850</v>
      </c>
      <c r="C2699" s="90" t="s">
        <v>2839</v>
      </c>
    </row>
    <row r="2700" spans="1:3" ht="14.4" x14ac:dyDescent="0.3">
      <c r="A2700" s="90" t="s">
        <v>5642</v>
      </c>
      <c r="B2700" s="90" t="s">
        <v>150</v>
      </c>
      <c r="C2700" s="90" t="s">
        <v>116</v>
      </c>
    </row>
    <row r="2701" spans="1:3" ht="14.4" x14ac:dyDescent="0.3">
      <c r="A2701" s="90" t="s">
        <v>5643</v>
      </c>
      <c r="B2701" s="90" t="s">
        <v>743</v>
      </c>
      <c r="C2701" s="90" t="s">
        <v>675</v>
      </c>
    </row>
    <row r="2702" spans="1:3" ht="14.4" x14ac:dyDescent="0.3">
      <c r="A2702" s="90" t="s">
        <v>5644</v>
      </c>
      <c r="B2702" s="90" t="s">
        <v>1218</v>
      </c>
      <c r="C2702" s="90" t="s">
        <v>1208</v>
      </c>
    </row>
    <row r="2703" spans="1:3" ht="14.4" x14ac:dyDescent="0.3">
      <c r="A2703" s="90" t="s">
        <v>5645</v>
      </c>
      <c r="B2703" s="90" t="s">
        <v>422</v>
      </c>
      <c r="C2703" s="90" t="s">
        <v>203</v>
      </c>
    </row>
    <row r="2704" spans="1:3" ht="14.4" x14ac:dyDescent="0.3">
      <c r="A2704" s="90" t="s">
        <v>5646</v>
      </c>
      <c r="B2704" s="90" t="s">
        <v>196</v>
      </c>
      <c r="C2704" s="90" t="s">
        <v>195</v>
      </c>
    </row>
    <row r="2705" spans="1:3" ht="14.4" x14ac:dyDescent="0.3">
      <c r="A2705" s="90" t="s">
        <v>5647</v>
      </c>
      <c r="B2705" s="90" t="s">
        <v>1238</v>
      </c>
      <c r="C2705" s="90" t="s">
        <v>1229</v>
      </c>
    </row>
    <row r="2706" spans="1:3" ht="14.4" x14ac:dyDescent="0.3">
      <c r="A2706" s="90" t="s">
        <v>5648</v>
      </c>
      <c r="B2706" s="90" t="s">
        <v>1804</v>
      </c>
      <c r="C2706" s="90" t="s">
        <v>1800</v>
      </c>
    </row>
    <row r="2707" spans="1:3" ht="14.4" x14ac:dyDescent="0.3">
      <c r="A2707" s="90" t="s">
        <v>5649</v>
      </c>
      <c r="B2707" s="90" t="s">
        <v>1832</v>
      </c>
      <c r="C2707" s="90" t="s">
        <v>1800</v>
      </c>
    </row>
    <row r="2708" spans="1:3" ht="14.4" x14ac:dyDescent="0.3">
      <c r="A2708" s="90" t="s">
        <v>5650</v>
      </c>
      <c r="B2708" s="90" t="s">
        <v>2918</v>
      </c>
      <c r="C2708" s="90" t="s">
        <v>2904</v>
      </c>
    </row>
    <row r="2709" spans="1:3" ht="14.4" x14ac:dyDescent="0.3">
      <c r="A2709" s="90" t="s">
        <v>5651</v>
      </c>
      <c r="B2709" s="90" t="s">
        <v>2014</v>
      </c>
      <c r="C2709" s="90" t="s">
        <v>2003</v>
      </c>
    </row>
    <row r="2710" spans="1:3" ht="14.4" x14ac:dyDescent="0.3">
      <c r="A2710" s="90" t="s">
        <v>5652</v>
      </c>
      <c r="B2710" s="90" t="s">
        <v>148</v>
      </c>
      <c r="C2710" s="90" t="s">
        <v>116</v>
      </c>
    </row>
    <row r="2711" spans="1:3" ht="14.4" x14ac:dyDescent="0.3">
      <c r="A2711" s="90" t="s">
        <v>5653</v>
      </c>
      <c r="B2711" s="90" t="s">
        <v>1285</v>
      </c>
      <c r="C2711" s="90" t="s">
        <v>1268</v>
      </c>
    </row>
    <row r="2712" spans="1:3" ht="14.4" x14ac:dyDescent="0.3">
      <c r="A2712" s="90" t="s">
        <v>5654</v>
      </c>
      <c r="B2712" s="90" t="s">
        <v>2773</v>
      </c>
      <c r="C2712" s="90" t="s">
        <v>2767</v>
      </c>
    </row>
    <row r="2713" spans="1:3" ht="14.4" x14ac:dyDescent="0.3">
      <c r="A2713" s="90" t="s">
        <v>5655</v>
      </c>
      <c r="B2713" s="90" t="s">
        <v>2807</v>
      </c>
      <c r="C2713" s="90" t="s">
        <v>2767</v>
      </c>
    </row>
    <row r="2714" spans="1:3" ht="14.4" x14ac:dyDescent="0.3">
      <c r="A2714" s="90" t="s">
        <v>5656</v>
      </c>
      <c r="B2714" s="90" t="s">
        <v>2737</v>
      </c>
      <c r="C2714" s="90" t="s">
        <v>2683</v>
      </c>
    </row>
    <row r="2715" spans="1:3" ht="14.4" x14ac:dyDescent="0.3">
      <c r="A2715" s="90" t="s">
        <v>5657</v>
      </c>
      <c r="B2715" s="90" t="s">
        <v>2317</v>
      </c>
      <c r="C2715" s="90" t="s">
        <v>2275</v>
      </c>
    </row>
    <row r="2716" spans="1:3" ht="14.4" x14ac:dyDescent="0.3">
      <c r="A2716" s="90" t="s">
        <v>5658</v>
      </c>
      <c r="B2716" s="90" t="s">
        <v>149</v>
      </c>
      <c r="C2716" s="90" t="s">
        <v>116</v>
      </c>
    </row>
    <row r="2717" spans="1:3" ht="14.4" x14ac:dyDescent="0.3">
      <c r="A2717" s="90" t="s">
        <v>5659</v>
      </c>
      <c r="B2717" s="90" t="s">
        <v>1121</v>
      </c>
      <c r="C2717" s="90" t="s">
        <v>1106</v>
      </c>
    </row>
    <row r="2718" spans="1:3" ht="14.4" x14ac:dyDescent="0.3">
      <c r="A2718" s="90" t="s">
        <v>5660</v>
      </c>
      <c r="B2718" s="90" t="s">
        <v>2586</v>
      </c>
      <c r="C2718" s="90" t="s">
        <v>2489</v>
      </c>
    </row>
    <row r="2719" spans="1:3" ht="14.4" x14ac:dyDescent="0.3">
      <c r="A2719" s="90" t="s">
        <v>5661</v>
      </c>
      <c r="B2719" s="90" t="s">
        <v>798</v>
      </c>
      <c r="C2719" s="90" t="s">
        <v>796</v>
      </c>
    </row>
    <row r="2720" spans="1:3" ht="14.4" x14ac:dyDescent="0.3">
      <c r="A2720" s="90" t="s">
        <v>5662</v>
      </c>
      <c r="B2720" s="90" t="s">
        <v>2233</v>
      </c>
      <c r="C2720" s="90" t="s">
        <v>2214</v>
      </c>
    </row>
    <row r="2721" spans="1:3" ht="14.4" x14ac:dyDescent="0.3">
      <c r="A2721" s="90" t="s">
        <v>5663</v>
      </c>
      <c r="B2721" s="90" t="s">
        <v>2256</v>
      </c>
      <c r="C2721" s="90" t="s">
        <v>2234</v>
      </c>
    </row>
    <row r="2722" spans="1:3" ht="14.4" x14ac:dyDescent="0.3">
      <c r="A2722" s="90" t="s">
        <v>5664</v>
      </c>
      <c r="B2722" s="90" t="s">
        <v>2668</v>
      </c>
      <c r="C2722" s="90" t="s">
        <v>2633</v>
      </c>
    </row>
    <row r="2723" spans="1:3" ht="14.4" x14ac:dyDescent="0.3">
      <c r="A2723" s="90" t="s">
        <v>5665</v>
      </c>
      <c r="B2723" s="90" t="s">
        <v>1754</v>
      </c>
      <c r="C2723" s="90" t="s">
        <v>1741</v>
      </c>
    </row>
    <row r="2724" spans="1:3" ht="14.4" x14ac:dyDescent="0.3">
      <c r="A2724" s="90" t="s">
        <v>5666</v>
      </c>
      <c r="B2724" s="90" t="s">
        <v>2942</v>
      </c>
      <c r="C2724" s="90" t="s">
        <v>2932</v>
      </c>
    </row>
    <row r="2725" spans="1:3" ht="14.4" x14ac:dyDescent="0.3">
      <c r="A2725" s="90" t="s">
        <v>5667</v>
      </c>
      <c r="B2725" s="90" t="s">
        <v>2735</v>
      </c>
      <c r="C2725" s="90" t="s">
        <v>2683</v>
      </c>
    </row>
    <row r="2726" spans="1:3" ht="14.4" x14ac:dyDescent="0.3">
      <c r="A2726" s="90" t="s">
        <v>5668</v>
      </c>
      <c r="B2726" s="90" t="s">
        <v>1847</v>
      </c>
      <c r="C2726" s="90" t="s">
        <v>1840</v>
      </c>
    </row>
    <row r="2727" spans="1:3" ht="14.4" x14ac:dyDescent="0.3">
      <c r="A2727" s="90" t="s">
        <v>5669</v>
      </c>
      <c r="B2727" s="90" t="s">
        <v>2065</v>
      </c>
      <c r="C2727" s="90" t="s">
        <v>2015</v>
      </c>
    </row>
    <row r="2728" spans="1:3" ht="14.4" x14ac:dyDescent="0.3">
      <c r="A2728" s="90" t="s">
        <v>5670</v>
      </c>
      <c r="B2728" s="90" t="s">
        <v>1634</v>
      </c>
      <c r="C2728" s="90" t="s">
        <v>1631</v>
      </c>
    </row>
    <row r="2729" spans="1:3" ht="14.4" x14ac:dyDescent="0.3">
      <c r="A2729" s="90" t="s">
        <v>5671</v>
      </c>
      <c r="B2729" s="90" t="s">
        <v>1450</v>
      </c>
      <c r="C2729" s="90" t="s">
        <v>1440</v>
      </c>
    </row>
    <row r="2730" spans="1:3" ht="14.4" x14ac:dyDescent="0.3">
      <c r="A2730" s="90" t="s">
        <v>5672</v>
      </c>
      <c r="B2730" s="90" t="s">
        <v>1237</v>
      </c>
      <c r="C2730" s="90" t="s">
        <v>1229</v>
      </c>
    </row>
    <row r="2731" spans="1:3" ht="14.4" x14ac:dyDescent="0.3">
      <c r="A2731" s="90" t="s">
        <v>5673</v>
      </c>
      <c r="B2731" s="90" t="s">
        <v>2321</v>
      </c>
      <c r="C2731" s="90" t="s">
        <v>2320</v>
      </c>
    </row>
    <row r="2732" spans="1:3" ht="14.4" x14ac:dyDescent="0.3">
      <c r="A2732" s="90" t="s">
        <v>5674</v>
      </c>
      <c r="B2732" s="90" t="s">
        <v>971</v>
      </c>
      <c r="C2732" s="90" t="s">
        <v>961</v>
      </c>
    </row>
    <row r="2733" spans="1:3" ht="14.4" x14ac:dyDescent="0.3">
      <c r="A2733" s="90" t="s">
        <v>5675</v>
      </c>
      <c r="B2733" s="90" t="s">
        <v>2838</v>
      </c>
      <c r="C2733" s="90" t="s">
        <v>2831</v>
      </c>
    </row>
    <row r="2734" spans="1:3" ht="14.4" x14ac:dyDescent="0.3">
      <c r="A2734" s="90" t="s">
        <v>5676</v>
      </c>
      <c r="B2734" s="90" t="s">
        <v>428</v>
      </c>
      <c r="C2734" s="90" t="s">
        <v>203</v>
      </c>
    </row>
    <row r="2735" spans="1:3" ht="14.4" x14ac:dyDescent="0.3">
      <c r="A2735" s="90" t="s">
        <v>5677</v>
      </c>
      <c r="B2735" s="90" t="s">
        <v>1630</v>
      </c>
      <c r="C2735" s="90" t="s">
        <v>1606</v>
      </c>
    </row>
    <row r="2736" spans="1:3" ht="14.4" x14ac:dyDescent="0.3">
      <c r="A2736" s="90" t="s">
        <v>5678</v>
      </c>
      <c r="B2736" s="90" t="s">
        <v>2766</v>
      </c>
      <c r="C2736" s="90" t="s">
        <v>2754</v>
      </c>
    </row>
    <row r="2737" spans="1:3" ht="14.4" x14ac:dyDescent="0.3">
      <c r="A2737" s="90" t="s">
        <v>5679</v>
      </c>
      <c r="B2737" s="90" t="s">
        <v>2064</v>
      </c>
      <c r="C2737" s="90" t="s">
        <v>2015</v>
      </c>
    </row>
    <row r="2738" spans="1:3" ht="14.4" x14ac:dyDescent="0.3">
      <c r="A2738" s="90" t="s">
        <v>5680</v>
      </c>
      <c r="B2738" s="90" t="s">
        <v>2211</v>
      </c>
      <c r="C2738" s="90" t="s">
        <v>2182</v>
      </c>
    </row>
    <row r="2739" spans="1:3" ht="14.4" x14ac:dyDescent="0.3">
      <c r="A2739" s="90" t="s">
        <v>5681</v>
      </c>
      <c r="B2739" s="90" t="s">
        <v>1755</v>
      </c>
      <c r="C2739" s="90" t="s">
        <v>1741</v>
      </c>
    </row>
    <row r="2740" spans="1:3" ht="14.4" x14ac:dyDescent="0.3">
      <c r="A2740" s="90" t="s">
        <v>5682</v>
      </c>
      <c r="B2740" s="90" t="s">
        <v>2902</v>
      </c>
      <c r="C2740" s="90" t="s">
        <v>2874</v>
      </c>
    </row>
    <row r="2741" spans="1:3" ht="14.4" x14ac:dyDescent="0.3">
      <c r="A2741" s="90" t="s">
        <v>5683</v>
      </c>
      <c r="B2741" s="90" t="s">
        <v>1405</v>
      </c>
      <c r="C2741" s="90" t="s">
        <v>1392</v>
      </c>
    </row>
    <row r="2742" spans="1:3" ht="14.4" x14ac:dyDescent="0.3">
      <c r="A2742" s="90" t="s">
        <v>5684</v>
      </c>
      <c r="B2742" s="90" t="s">
        <v>1799</v>
      </c>
      <c r="C2742" s="90" t="s">
        <v>1741</v>
      </c>
    </row>
    <row r="2743" spans="1:3" ht="14.4" x14ac:dyDescent="0.3">
      <c r="A2743" s="90" t="s">
        <v>5685</v>
      </c>
      <c r="B2743" s="90" t="s">
        <v>2152</v>
      </c>
      <c r="C2743" s="90" t="s">
        <v>2124</v>
      </c>
    </row>
    <row r="2744" spans="1:3" ht="14.4" x14ac:dyDescent="0.3">
      <c r="A2744" s="90" t="s">
        <v>5686</v>
      </c>
      <c r="B2744" s="90" t="s">
        <v>2212</v>
      </c>
      <c r="C2744" s="90" t="s">
        <v>2182</v>
      </c>
    </row>
    <row r="2745" spans="1:3" ht="14.4" x14ac:dyDescent="0.3">
      <c r="A2745" s="90" t="s">
        <v>5687</v>
      </c>
      <c r="B2745" s="90" t="s">
        <v>1918</v>
      </c>
      <c r="C2745" s="90" t="s">
        <v>1901</v>
      </c>
    </row>
    <row r="2746" spans="1:3" ht="14.4" x14ac:dyDescent="0.3">
      <c r="A2746" s="90" t="s">
        <v>5688</v>
      </c>
      <c r="B2746" s="90" t="s">
        <v>902</v>
      </c>
      <c r="C2746" s="90" t="s">
        <v>874</v>
      </c>
    </row>
    <row r="2747" spans="1:3" ht="14.4" x14ac:dyDescent="0.3">
      <c r="A2747" s="90" t="s">
        <v>5689</v>
      </c>
      <c r="B2747" s="90" t="s">
        <v>424</v>
      </c>
      <c r="C2747" s="90" t="s">
        <v>203</v>
      </c>
    </row>
    <row r="2748" spans="1:3" ht="14.4" x14ac:dyDescent="0.3">
      <c r="A2748" s="90" t="s">
        <v>5690</v>
      </c>
      <c r="B2748" s="90" t="s">
        <v>2364</v>
      </c>
      <c r="C2748" s="90" t="s">
        <v>2328</v>
      </c>
    </row>
    <row r="2749" spans="1:3" ht="14.4" x14ac:dyDescent="0.3">
      <c r="A2749" s="90" t="s">
        <v>5691</v>
      </c>
      <c r="B2749" s="90" t="s">
        <v>430</v>
      </c>
      <c r="C2749" s="90" t="s">
        <v>203</v>
      </c>
    </row>
    <row r="2750" spans="1:3" ht="14.4" x14ac:dyDescent="0.3">
      <c r="A2750" s="90" t="s">
        <v>5692</v>
      </c>
      <c r="B2750" s="90" t="s">
        <v>2736</v>
      </c>
      <c r="C2750" s="90" t="s">
        <v>2683</v>
      </c>
    </row>
    <row r="2751" spans="1:3" ht="14.4" x14ac:dyDescent="0.3">
      <c r="A2751" s="90" t="s">
        <v>5693</v>
      </c>
      <c r="B2751" s="90" t="s">
        <v>1146</v>
      </c>
      <c r="C2751" s="90" t="s">
        <v>1142</v>
      </c>
    </row>
    <row r="2752" spans="1:3" ht="14.4" x14ac:dyDescent="0.3">
      <c r="A2752" s="90" t="s">
        <v>5694</v>
      </c>
      <c r="B2752" s="90" t="s">
        <v>2213</v>
      </c>
      <c r="C2752" s="90" t="s">
        <v>2182</v>
      </c>
    </row>
    <row r="2753" spans="1:3" ht="14.4" x14ac:dyDescent="0.3">
      <c r="A2753" s="90" t="s">
        <v>5695</v>
      </c>
      <c r="B2753" s="90" t="s">
        <v>1714</v>
      </c>
      <c r="C2753" s="90" t="s">
        <v>1681</v>
      </c>
    </row>
    <row r="2754" spans="1:3" ht="14.4" x14ac:dyDescent="0.3">
      <c r="A2754" s="90" t="s">
        <v>5696</v>
      </c>
      <c r="B2754" s="90" t="s">
        <v>2806</v>
      </c>
      <c r="C2754" s="90" t="s">
        <v>2767</v>
      </c>
    </row>
    <row r="2755" spans="1:3" ht="14.4" x14ac:dyDescent="0.3">
      <c r="A2755" s="90" t="s">
        <v>5697</v>
      </c>
      <c r="B2755" s="90" t="s">
        <v>425</v>
      </c>
      <c r="C2755" s="90" t="s">
        <v>203</v>
      </c>
    </row>
    <row r="2756" spans="1:3" ht="14.4" x14ac:dyDescent="0.3">
      <c r="A2756" s="90" t="s">
        <v>5698</v>
      </c>
      <c r="B2756" s="90" t="s">
        <v>429</v>
      </c>
      <c r="C2756" s="90" t="s">
        <v>203</v>
      </c>
    </row>
    <row r="2757" spans="1:3" ht="14.4" x14ac:dyDescent="0.3">
      <c r="A2757" s="90" t="s">
        <v>5699</v>
      </c>
      <c r="B2757" s="90" t="s">
        <v>1798</v>
      </c>
      <c r="C2757" s="90" t="s">
        <v>1741</v>
      </c>
    </row>
    <row r="2758" spans="1:3" ht="14.4" x14ac:dyDescent="0.3">
      <c r="A2758" s="90" t="s">
        <v>5700</v>
      </c>
      <c r="B2758" s="90" t="s">
        <v>1404</v>
      </c>
      <c r="C2758" s="90" t="s">
        <v>1392</v>
      </c>
    </row>
    <row r="2759" spans="1:3" ht="14.4" x14ac:dyDescent="0.3">
      <c r="A2759" s="90" t="s">
        <v>5701</v>
      </c>
      <c r="B2759" s="90" t="s">
        <v>2922</v>
      </c>
      <c r="C2759" s="90" t="s">
        <v>2919</v>
      </c>
    </row>
    <row r="2760" spans="1:3" ht="14.4" x14ac:dyDescent="0.3">
      <c r="A2760" s="90" t="s">
        <v>5702</v>
      </c>
      <c r="B2760" s="90" t="s">
        <v>1034</v>
      </c>
      <c r="C2760" s="90" t="s">
        <v>972</v>
      </c>
    </row>
    <row r="2761" spans="1:3" ht="14.4" x14ac:dyDescent="0.3">
      <c r="A2761" s="90" t="s">
        <v>5703</v>
      </c>
      <c r="B2761" s="90" t="s">
        <v>1943</v>
      </c>
      <c r="C2761" s="90" t="s">
        <v>1933</v>
      </c>
    </row>
    <row r="2762" spans="1:3" ht="14.4" x14ac:dyDescent="0.3">
      <c r="A2762" s="90" t="s">
        <v>5704</v>
      </c>
      <c r="B2762" s="90" t="s">
        <v>875</v>
      </c>
      <c r="C2762" s="90" t="s">
        <v>874</v>
      </c>
    </row>
    <row r="2763" spans="1:3" ht="14.4" x14ac:dyDescent="0.3">
      <c r="A2763" s="90" t="s">
        <v>5705</v>
      </c>
      <c r="B2763" s="90" t="s">
        <v>473</v>
      </c>
      <c r="C2763" s="90" t="s">
        <v>449</v>
      </c>
    </row>
    <row r="2764" spans="1:3" ht="14.4" x14ac:dyDescent="0.3">
      <c r="A2764" s="90" t="s">
        <v>5706</v>
      </c>
      <c r="B2764" s="90" t="s">
        <v>16</v>
      </c>
      <c r="C2764" s="90" t="s">
        <v>7</v>
      </c>
    </row>
    <row r="2765" spans="1:3" ht="14.4" x14ac:dyDescent="0.3">
      <c r="A2765" s="90" t="s">
        <v>5707</v>
      </c>
      <c r="B2765" s="90" t="s">
        <v>1605</v>
      </c>
      <c r="C2765" s="90" t="s">
        <v>1580</v>
      </c>
    </row>
    <row r="2766" spans="1:3" ht="14.4" x14ac:dyDescent="0.3">
      <c r="A2766" s="90" t="s">
        <v>5708</v>
      </c>
      <c r="B2766" s="90" t="s">
        <v>1219</v>
      </c>
      <c r="C2766" s="90" t="s">
        <v>1208</v>
      </c>
    </row>
    <row r="2767" spans="1:3" ht="14.4" x14ac:dyDescent="0.3">
      <c r="A2767" s="90" t="s">
        <v>5709</v>
      </c>
      <c r="B2767" s="90" t="s">
        <v>1567</v>
      </c>
      <c r="C2767" s="90" t="s">
        <v>1562</v>
      </c>
    </row>
    <row r="2768" spans="1:3" ht="14.4" x14ac:dyDescent="0.3">
      <c r="A2768" s="90" t="s">
        <v>5710</v>
      </c>
      <c r="B2768" s="90" t="s">
        <v>1553</v>
      </c>
      <c r="C2768" s="90" t="s">
        <v>1544</v>
      </c>
    </row>
    <row r="2769" spans="1:3" ht="14.4" x14ac:dyDescent="0.3">
      <c r="A2769" s="90" t="s">
        <v>5711</v>
      </c>
      <c r="B2769" s="90" t="s">
        <v>2274</v>
      </c>
      <c r="C2769" s="90" t="s">
        <v>2257</v>
      </c>
    </row>
    <row r="2770" spans="1:3" ht="14.4" x14ac:dyDescent="0.3">
      <c r="A2770" s="90" t="s">
        <v>5712</v>
      </c>
      <c r="B2770" s="90" t="s">
        <v>2765</v>
      </c>
      <c r="C2770" s="90" t="s">
        <v>2754</v>
      </c>
    </row>
    <row r="2771" spans="1:3" ht="14.4" x14ac:dyDescent="0.3">
      <c r="A2771" s="90" t="s">
        <v>5713</v>
      </c>
      <c r="B2771" s="90" t="s">
        <v>474</v>
      </c>
      <c r="C2771" s="90" t="s">
        <v>449</v>
      </c>
    </row>
    <row r="2772" spans="1:3" ht="14.4" x14ac:dyDescent="0.3">
      <c r="A2772" s="90" t="s">
        <v>5714</v>
      </c>
      <c r="B2772" s="90" t="s">
        <v>431</v>
      </c>
      <c r="C2772" s="90" t="s">
        <v>203</v>
      </c>
    </row>
    <row r="2773" spans="1:3" ht="14.4" x14ac:dyDescent="0.3">
      <c r="A2773" s="90" t="s">
        <v>5715</v>
      </c>
      <c r="B2773" s="90" t="s">
        <v>2416</v>
      </c>
      <c r="C2773" s="90" t="s">
        <v>2397</v>
      </c>
    </row>
    <row r="2774" spans="1:3" ht="14.4" x14ac:dyDescent="0.3">
      <c r="A2774" s="90" t="s">
        <v>5716</v>
      </c>
      <c r="B2774" s="90" t="s">
        <v>1762</v>
      </c>
      <c r="C2774" s="90" t="s">
        <v>1741</v>
      </c>
    </row>
    <row r="2775" spans="1:3" ht="14.4" x14ac:dyDescent="0.3">
      <c r="A2775" s="90" t="s">
        <v>5717</v>
      </c>
      <c r="B2775" s="90" t="s">
        <v>2903</v>
      </c>
      <c r="C2775" s="90" t="s">
        <v>2874</v>
      </c>
    </row>
    <row r="2776" spans="1:3" ht="14.4" x14ac:dyDescent="0.3">
      <c r="A2776" s="90" t="s">
        <v>5718</v>
      </c>
      <c r="B2776" s="90" t="s">
        <v>1652</v>
      </c>
      <c r="C2776" s="90" t="s">
        <v>1631</v>
      </c>
    </row>
    <row r="2777" spans="1:3" ht="14.4" x14ac:dyDescent="0.3">
      <c r="A2777" s="90" t="s">
        <v>5719</v>
      </c>
      <c r="B2777" s="90" t="s">
        <v>2105</v>
      </c>
      <c r="C2777" s="90" t="s">
        <v>2087</v>
      </c>
    </row>
    <row r="2778" spans="1:3" ht="14.4" x14ac:dyDescent="0.3">
      <c r="A2778" s="90" t="s">
        <v>5720</v>
      </c>
      <c r="B2778" s="90" t="s">
        <v>1439</v>
      </c>
      <c r="C2778" s="90" t="s">
        <v>1392</v>
      </c>
    </row>
    <row r="2779" spans="1:3" ht="14.4" x14ac:dyDescent="0.3">
      <c r="A2779" s="90" t="s">
        <v>5721</v>
      </c>
      <c r="B2779" s="90" t="s">
        <v>2467</v>
      </c>
      <c r="C2779" s="90" t="s">
        <v>2421</v>
      </c>
    </row>
    <row r="2780" spans="1:3" ht="14.4" x14ac:dyDescent="0.3">
      <c r="A2780" s="90" t="s">
        <v>5722</v>
      </c>
      <c r="B2780" s="90" t="s">
        <v>475</v>
      </c>
      <c r="C2780" s="90" t="s">
        <v>449</v>
      </c>
    </row>
    <row r="2781" spans="1:3" ht="14.4" x14ac:dyDescent="0.3">
      <c r="A2781" s="90" t="s">
        <v>5723</v>
      </c>
      <c r="B2781" s="90" t="s">
        <v>602</v>
      </c>
      <c r="C2781" s="90" t="s">
        <v>449</v>
      </c>
    </row>
    <row r="2782" spans="1:3" ht="14.4" x14ac:dyDescent="0.3">
      <c r="A2782" s="90" t="s">
        <v>5724</v>
      </c>
      <c r="B2782" s="90" t="s">
        <v>1747</v>
      </c>
      <c r="C2782" s="90" t="s">
        <v>1741</v>
      </c>
    </row>
    <row r="2783" spans="1:3" ht="14.4" x14ac:dyDescent="0.3">
      <c r="A2783" s="90" t="s">
        <v>5725</v>
      </c>
      <c r="B2783" s="90" t="s">
        <v>1836</v>
      </c>
      <c r="C2783" s="90" t="s">
        <v>1833</v>
      </c>
    </row>
    <row r="2784" spans="1:3" ht="14.4" x14ac:dyDescent="0.3">
      <c r="A2784" s="90" t="s">
        <v>5726</v>
      </c>
      <c r="B2784" s="90" t="s">
        <v>548</v>
      </c>
      <c r="C2784" s="90" t="s">
        <v>449</v>
      </c>
    </row>
    <row r="2785" spans="1:3" ht="14.4" x14ac:dyDescent="0.3">
      <c r="A2785" s="90" t="s">
        <v>5727</v>
      </c>
      <c r="B2785" s="90" t="s">
        <v>1030</v>
      </c>
      <c r="C2785" s="90" t="s">
        <v>972</v>
      </c>
    </row>
    <row r="2786" spans="1:3" ht="14.4" x14ac:dyDescent="0.3">
      <c r="A2786" s="90" t="s">
        <v>5728</v>
      </c>
      <c r="B2786" s="90" t="s">
        <v>2738</v>
      </c>
      <c r="C2786" s="90" t="s">
        <v>2683</v>
      </c>
    </row>
    <row r="2787" spans="1:3" ht="14.4" x14ac:dyDescent="0.3">
      <c r="A2787" s="90" t="s">
        <v>5729</v>
      </c>
      <c r="B2787" s="90" t="s">
        <v>2417</v>
      </c>
      <c r="C2787" s="90" t="s">
        <v>2397</v>
      </c>
    </row>
    <row r="2788" spans="1:3" ht="14.4" x14ac:dyDescent="0.3">
      <c r="A2788" s="90" t="s">
        <v>5730</v>
      </c>
      <c r="B2788" s="90" t="s">
        <v>1484</v>
      </c>
      <c r="C2788" s="90" t="s">
        <v>1472</v>
      </c>
    </row>
    <row r="2789" spans="1:3" ht="14.4" x14ac:dyDescent="0.3">
      <c r="A2789" s="90" t="s">
        <v>5731</v>
      </c>
      <c r="B2789" s="90" t="s">
        <v>1682</v>
      </c>
      <c r="C2789" s="90" t="s">
        <v>1681</v>
      </c>
    </row>
    <row r="2790" spans="1:3" ht="14.4" x14ac:dyDescent="0.3">
      <c r="A2790" s="90" t="s">
        <v>5732</v>
      </c>
      <c r="B2790" s="90" t="s">
        <v>1362</v>
      </c>
      <c r="C2790" s="90" t="s">
        <v>1338</v>
      </c>
    </row>
    <row r="2791" spans="1:3" ht="14.4" x14ac:dyDescent="0.3">
      <c r="A2791" s="90" t="s">
        <v>5733</v>
      </c>
      <c r="B2791" s="90" t="s">
        <v>2627</v>
      </c>
      <c r="C2791" s="90" t="s">
        <v>2589</v>
      </c>
    </row>
    <row r="2792" spans="1:3" ht="14.4" x14ac:dyDescent="0.3">
      <c r="A2792" s="90" t="s">
        <v>5734</v>
      </c>
      <c r="B2792" s="90" t="s">
        <v>1036</v>
      </c>
      <c r="C2792" s="90" t="s">
        <v>972</v>
      </c>
    </row>
    <row r="2793" spans="1:3" ht="14.4" x14ac:dyDescent="0.3">
      <c r="A2793" s="90" t="s">
        <v>5735</v>
      </c>
      <c r="B2793" s="90" t="s">
        <v>1393</v>
      </c>
      <c r="C2793" s="90" t="s">
        <v>1392</v>
      </c>
    </row>
    <row r="2794" spans="1:3" ht="14.4" x14ac:dyDescent="0.3">
      <c r="A2794" s="90" t="s">
        <v>5736</v>
      </c>
      <c r="B2794" s="90" t="s">
        <v>1512</v>
      </c>
      <c r="C2794" s="90" t="s">
        <v>1485</v>
      </c>
    </row>
    <row r="2795" spans="1:3" ht="14.4" x14ac:dyDescent="0.3">
      <c r="A2795" s="90" t="s">
        <v>5737</v>
      </c>
      <c r="B2795" s="90" t="s">
        <v>2931</v>
      </c>
      <c r="C2795" s="90" t="s">
        <v>2919</v>
      </c>
    </row>
    <row r="2796" spans="1:3" ht="14.4" x14ac:dyDescent="0.3">
      <c r="A2796" s="90" t="s">
        <v>5738</v>
      </c>
      <c r="B2796" s="90" t="s">
        <v>2851</v>
      </c>
      <c r="C2796" s="90" t="s">
        <v>2839</v>
      </c>
    </row>
    <row r="2797" spans="1:3" ht="14.4" x14ac:dyDescent="0.3">
      <c r="A2797" s="90" t="s">
        <v>5739</v>
      </c>
      <c r="B2797" s="90" t="s">
        <v>2318</v>
      </c>
      <c r="C2797" s="90" t="s">
        <v>2275</v>
      </c>
    </row>
    <row r="2798" spans="1:3" ht="14.4" x14ac:dyDescent="0.3">
      <c r="A2798" s="90" t="s">
        <v>5740</v>
      </c>
      <c r="B2798" s="90" t="s">
        <v>2319</v>
      </c>
      <c r="C2798" s="90" t="s">
        <v>2275</v>
      </c>
    </row>
    <row r="2799" spans="1:3" ht="14.4" x14ac:dyDescent="0.3">
      <c r="A2799" s="90" t="s">
        <v>5741</v>
      </c>
      <c r="B2799" s="90" t="s">
        <v>2002</v>
      </c>
      <c r="C2799" s="90" t="s">
        <v>1988</v>
      </c>
    </row>
    <row r="2800" spans="1:3" ht="14.4" x14ac:dyDescent="0.3">
      <c r="A2800" s="90" t="s">
        <v>5742</v>
      </c>
      <c r="B2800" s="90" t="s">
        <v>2739</v>
      </c>
      <c r="C2800" s="90" t="s">
        <v>2683</v>
      </c>
    </row>
    <row r="2801" spans="1:3" ht="14.4" x14ac:dyDescent="0.3">
      <c r="A2801" s="90" t="s">
        <v>5743</v>
      </c>
      <c r="B2801" s="90" t="s">
        <v>836</v>
      </c>
      <c r="C2801" s="90" t="s">
        <v>800</v>
      </c>
    </row>
    <row r="2802" spans="1:3" ht="14.4" x14ac:dyDescent="0.3">
      <c r="A2802" s="90" t="s">
        <v>5744</v>
      </c>
      <c r="B2802" s="90" t="s">
        <v>1671</v>
      </c>
      <c r="C2802" s="90" t="s">
        <v>1631</v>
      </c>
    </row>
    <row r="2803" spans="1:3" ht="14.4" x14ac:dyDescent="0.3">
      <c r="A2803" s="90" t="s">
        <v>5745</v>
      </c>
      <c r="B2803" s="90" t="s">
        <v>1037</v>
      </c>
      <c r="C2803" s="90" t="s">
        <v>972</v>
      </c>
    </row>
    <row r="2804" spans="1:3" ht="14.4" x14ac:dyDescent="0.3">
      <c r="A2804" s="90" t="s">
        <v>5746</v>
      </c>
      <c r="B2804" s="90" t="s">
        <v>2587</v>
      </c>
      <c r="C2804" s="90" t="s">
        <v>2489</v>
      </c>
    </row>
    <row r="2805" spans="1:3" ht="14.4" x14ac:dyDescent="0.3">
      <c r="A2805" s="90" t="s">
        <v>5747</v>
      </c>
      <c r="B2805" s="90" t="s">
        <v>2760</v>
      </c>
      <c r="C2805" s="90" t="s">
        <v>2754</v>
      </c>
    </row>
    <row r="2806" spans="1:3" ht="14.4" x14ac:dyDescent="0.3">
      <c r="A2806" s="90" t="s">
        <v>5748</v>
      </c>
      <c r="B2806" s="90" t="s">
        <v>2001</v>
      </c>
      <c r="C2806" s="90" t="s">
        <v>1988</v>
      </c>
    </row>
    <row r="2807" spans="1:3" ht="14.4" x14ac:dyDescent="0.3">
      <c r="A2807" s="90" t="s">
        <v>5749</v>
      </c>
      <c r="B2807" s="90" t="s">
        <v>1049</v>
      </c>
      <c r="C2807" s="90" t="s">
        <v>1038</v>
      </c>
    </row>
    <row r="2808" spans="1:3" ht="14.4" x14ac:dyDescent="0.3">
      <c r="A2808" s="90" t="s">
        <v>5750</v>
      </c>
      <c r="B2808" s="90" t="s">
        <v>432</v>
      </c>
      <c r="C2808" s="90" t="s">
        <v>203</v>
      </c>
    </row>
    <row r="2809" spans="1:3" ht="14.4" x14ac:dyDescent="0.3">
      <c r="A2809" s="90" t="s">
        <v>5751</v>
      </c>
      <c r="B2809" s="90" t="s">
        <v>603</v>
      </c>
      <c r="C2809" s="90" t="s">
        <v>449</v>
      </c>
    </row>
    <row r="2810" spans="1:3" ht="14.4" x14ac:dyDescent="0.3">
      <c r="A2810" s="90" t="s">
        <v>5752</v>
      </c>
      <c r="B2810" s="90" t="s">
        <v>2588</v>
      </c>
      <c r="C2810" s="90" t="s">
        <v>2489</v>
      </c>
    </row>
    <row r="2811" spans="1:3" ht="14.4" x14ac:dyDescent="0.3">
      <c r="A2811" s="90" t="s">
        <v>5753</v>
      </c>
      <c r="B2811" s="90" t="s">
        <v>1141</v>
      </c>
      <c r="C2811" s="90" t="s">
        <v>1134</v>
      </c>
    </row>
    <row r="2812" spans="1:3" ht="14.4" x14ac:dyDescent="0.3">
      <c r="A2812" s="90" t="s">
        <v>5754</v>
      </c>
      <c r="B2812" s="90" t="s">
        <v>2287</v>
      </c>
      <c r="C2812" s="90" t="s">
        <v>2275</v>
      </c>
    </row>
    <row r="2813" spans="1:3" ht="14.4" x14ac:dyDescent="0.3">
      <c r="A2813" s="90" t="s">
        <v>5755</v>
      </c>
      <c r="B2813" s="90" t="s">
        <v>1089</v>
      </c>
      <c r="C2813" s="90" t="s">
        <v>1050</v>
      </c>
    </row>
    <row r="2814" spans="1:3" ht="14.4" x14ac:dyDescent="0.3">
      <c r="A2814" s="90" t="s">
        <v>5756</v>
      </c>
      <c r="B2814" s="90" t="s">
        <v>2693</v>
      </c>
      <c r="C2814" s="90" t="s">
        <v>2683</v>
      </c>
    </row>
  </sheetData>
  <pageMargins left="0.75" right="0.75" top="1" bottom="1" header="0.3" footer="0.3"/>
  <pageSetup orientation="portrait" horizontalDpi="300" verticalDpi="300" r:id="rId1"/>
  <headerFooter alignWithMargins="0">
    <oddHeader>&amp;C&amp;"Calibri,Bold"&amp;26&amp;A&amp;R&amp;"Calibri,Bold"&amp;26&amp;P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6ADC-4B11-44A9-BB7D-B6DE0420CFB6}">
  <dimension ref="A1:H252"/>
  <sheetViews>
    <sheetView workbookViewId="0">
      <pane ySplit="1" topLeftCell="A2" activePane="bottomLeft" state="frozen"/>
      <selection pane="bottomLeft" activeCell="I13" sqref="I13"/>
    </sheetView>
  </sheetViews>
  <sheetFormatPr defaultRowHeight="13.2" x14ac:dyDescent="0.25"/>
  <cols>
    <col min="1" max="1" width="9.109375" style="94" bestFit="1" customWidth="1"/>
  </cols>
  <sheetData>
    <row r="1" spans="1:8" x14ac:dyDescent="0.25">
      <c r="A1" s="92" t="s">
        <v>5767</v>
      </c>
      <c r="B1" s="39" t="s">
        <v>5766</v>
      </c>
      <c r="C1" s="39" t="s">
        <v>5765</v>
      </c>
      <c r="D1" s="39" t="s">
        <v>5764</v>
      </c>
      <c r="E1" s="39" t="s">
        <v>5780</v>
      </c>
      <c r="F1" s="39" t="s">
        <v>5781</v>
      </c>
      <c r="G1" s="39"/>
    </row>
    <row r="2" spans="1:8" x14ac:dyDescent="0.25">
      <c r="A2" s="40">
        <v>45712</v>
      </c>
      <c r="B2" s="41">
        <v>3432.13</v>
      </c>
      <c r="C2" s="41">
        <v>3439.4</v>
      </c>
      <c r="D2" s="41">
        <v>3401.13</v>
      </c>
      <c r="E2" s="49">
        <v>3421.46</v>
      </c>
      <c r="F2" s="41">
        <v>3421.46</v>
      </c>
      <c r="H2" s="76"/>
    </row>
    <row r="3" spans="1:8" x14ac:dyDescent="0.25">
      <c r="A3" s="40">
        <v>45709</v>
      </c>
      <c r="B3" s="41">
        <v>3492.06</v>
      </c>
      <c r="C3" s="41">
        <v>3493.89</v>
      </c>
      <c r="D3" s="41">
        <v>3421.57</v>
      </c>
      <c r="E3" s="41">
        <v>3424.46</v>
      </c>
      <c r="F3" s="41">
        <v>3424.46</v>
      </c>
    </row>
    <row r="4" spans="1:8" x14ac:dyDescent="0.25">
      <c r="A4" s="40">
        <v>45708</v>
      </c>
      <c r="B4" s="41">
        <v>3505.45</v>
      </c>
      <c r="C4" s="41">
        <v>3505.45</v>
      </c>
      <c r="D4" s="41">
        <v>3471.91</v>
      </c>
      <c r="E4" s="41">
        <v>3490.34</v>
      </c>
      <c r="F4" s="41">
        <v>3490.34</v>
      </c>
    </row>
    <row r="5" spans="1:8" x14ac:dyDescent="0.25">
      <c r="A5" s="40">
        <v>45707</v>
      </c>
      <c r="B5" s="41">
        <v>3497.41</v>
      </c>
      <c r="C5" s="41">
        <v>3511.9</v>
      </c>
      <c r="D5" s="41">
        <v>3492.34</v>
      </c>
      <c r="E5" s="41">
        <v>3509.12</v>
      </c>
      <c r="F5" s="41">
        <v>3509.12</v>
      </c>
    </row>
    <row r="6" spans="1:8" x14ac:dyDescent="0.25">
      <c r="A6" s="40">
        <v>45706</v>
      </c>
      <c r="B6" s="41">
        <v>3499.44</v>
      </c>
      <c r="C6" s="41">
        <v>3505.03</v>
      </c>
      <c r="D6" s="41">
        <v>3487.84</v>
      </c>
      <c r="E6" s="41">
        <v>3505.01</v>
      </c>
      <c r="F6" s="41">
        <v>3505.01</v>
      </c>
    </row>
    <row r="7" spans="1:8" x14ac:dyDescent="0.25">
      <c r="A7" s="40">
        <v>45702</v>
      </c>
      <c r="B7" s="41">
        <v>3498.95</v>
      </c>
      <c r="C7" s="41">
        <v>3503.65</v>
      </c>
      <c r="D7" s="41">
        <v>3491.41</v>
      </c>
      <c r="E7" s="41">
        <v>3495.72</v>
      </c>
      <c r="F7" s="41">
        <v>3495.72</v>
      </c>
    </row>
    <row r="8" spans="1:8" x14ac:dyDescent="0.25">
      <c r="A8" s="40">
        <v>45701</v>
      </c>
      <c r="B8" s="41">
        <v>3466.32</v>
      </c>
      <c r="C8" s="41">
        <v>3496.93</v>
      </c>
      <c r="D8" s="41">
        <v>3461.31</v>
      </c>
      <c r="E8" s="41">
        <v>3496.04</v>
      </c>
      <c r="F8" s="41">
        <v>3496.04</v>
      </c>
    </row>
    <row r="9" spans="1:8" x14ac:dyDescent="0.25">
      <c r="A9" s="40">
        <v>45700</v>
      </c>
      <c r="B9" s="41">
        <v>3444.83</v>
      </c>
      <c r="C9" s="41">
        <v>3465.96</v>
      </c>
      <c r="D9" s="41">
        <v>3434.01</v>
      </c>
      <c r="E9" s="41">
        <v>3459.47</v>
      </c>
      <c r="F9" s="41">
        <v>3459.47</v>
      </c>
    </row>
    <row r="10" spans="1:8" x14ac:dyDescent="0.25">
      <c r="A10" s="40">
        <v>45699</v>
      </c>
      <c r="B10" s="41">
        <v>3460.92</v>
      </c>
      <c r="C10" s="41">
        <v>3474.25</v>
      </c>
      <c r="D10" s="41">
        <v>3458.85</v>
      </c>
      <c r="E10" s="41">
        <v>3470.55</v>
      </c>
      <c r="F10" s="41">
        <v>3470.55</v>
      </c>
    </row>
    <row r="11" spans="1:8" x14ac:dyDescent="0.25">
      <c r="A11" s="40">
        <v>45698</v>
      </c>
      <c r="B11" s="41">
        <v>3462.11</v>
      </c>
      <c r="C11" s="41">
        <v>3477.52</v>
      </c>
      <c r="D11" s="41">
        <v>3462.11</v>
      </c>
      <c r="E11" s="41">
        <v>3473.2</v>
      </c>
      <c r="F11" s="41">
        <v>3473.2</v>
      </c>
    </row>
    <row r="12" spans="1:8" x14ac:dyDescent="0.25">
      <c r="A12" s="40">
        <v>45695</v>
      </c>
      <c r="B12" s="41">
        <v>3485.95</v>
      </c>
      <c r="C12" s="41">
        <v>3494.28</v>
      </c>
      <c r="D12" s="41">
        <v>3448.32</v>
      </c>
      <c r="E12" s="41">
        <v>3451.45</v>
      </c>
      <c r="F12" s="41">
        <v>3451.45</v>
      </c>
    </row>
    <row r="13" spans="1:8" x14ac:dyDescent="0.25">
      <c r="A13" s="40">
        <v>45694</v>
      </c>
      <c r="B13" s="41">
        <v>3482.73</v>
      </c>
      <c r="C13" s="41">
        <v>3484.63</v>
      </c>
      <c r="D13" s="41">
        <v>3463.69</v>
      </c>
      <c r="E13" s="41">
        <v>3484.41</v>
      </c>
      <c r="F13" s="41">
        <v>3484.41</v>
      </c>
    </row>
    <row r="14" spans="1:8" x14ac:dyDescent="0.25">
      <c r="A14" s="40">
        <v>45693</v>
      </c>
      <c r="B14" s="41">
        <v>3448.27</v>
      </c>
      <c r="C14" s="41">
        <v>3474.81</v>
      </c>
      <c r="D14" s="41">
        <v>3443.44</v>
      </c>
      <c r="E14" s="41">
        <v>3474.27</v>
      </c>
      <c r="F14" s="41">
        <v>3474.27</v>
      </c>
    </row>
    <row r="15" spans="1:8" x14ac:dyDescent="0.25">
      <c r="A15" s="40">
        <v>45692</v>
      </c>
      <c r="B15" s="41">
        <v>3432.15</v>
      </c>
      <c r="C15" s="41">
        <v>3460.71</v>
      </c>
      <c r="D15" s="41">
        <v>3432.09</v>
      </c>
      <c r="E15" s="41">
        <v>3458.66</v>
      </c>
      <c r="F15" s="41">
        <v>3458.66</v>
      </c>
    </row>
    <row r="16" spans="1:8" x14ac:dyDescent="0.25">
      <c r="A16" s="40">
        <v>45691</v>
      </c>
      <c r="B16" s="41">
        <v>3416.41</v>
      </c>
      <c r="C16" s="41">
        <v>3448.47</v>
      </c>
      <c r="D16" s="41">
        <v>3391.62</v>
      </c>
      <c r="E16" s="41">
        <v>3433.03</v>
      </c>
      <c r="F16" s="41">
        <v>3433.03</v>
      </c>
    </row>
    <row r="17" spans="1:6" x14ac:dyDescent="0.25">
      <c r="A17" s="40">
        <v>45688</v>
      </c>
      <c r="B17" s="41">
        <v>3489.48</v>
      </c>
      <c r="C17" s="41">
        <v>3505.35</v>
      </c>
      <c r="D17" s="41">
        <v>3455.23</v>
      </c>
      <c r="E17" s="41">
        <v>3460.15</v>
      </c>
      <c r="F17" s="41">
        <v>3460.15</v>
      </c>
    </row>
    <row r="18" spans="1:6" x14ac:dyDescent="0.25">
      <c r="A18" s="40">
        <v>45687</v>
      </c>
      <c r="B18" s="41">
        <v>3464.75</v>
      </c>
      <c r="C18" s="41">
        <v>3487.77</v>
      </c>
      <c r="D18" s="41">
        <v>3455.61</v>
      </c>
      <c r="E18" s="41">
        <v>3478.06</v>
      </c>
      <c r="F18" s="41">
        <v>3478.06</v>
      </c>
    </row>
    <row r="19" spans="1:6" x14ac:dyDescent="0.25">
      <c r="A19" s="40">
        <v>45686</v>
      </c>
      <c r="B19" s="41">
        <v>3470.36</v>
      </c>
      <c r="C19" s="41">
        <v>3470.68</v>
      </c>
      <c r="D19" s="41">
        <v>3442</v>
      </c>
      <c r="E19" s="41">
        <v>3456.93</v>
      </c>
      <c r="F19" s="41">
        <v>3456.93</v>
      </c>
    </row>
    <row r="20" spans="1:6" x14ac:dyDescent="0.25">
      <c r="A20" s="40">
        <v>45685</v>
      </c>
      <c r="B20" s="41">
        <v>3448.93</v>
      </c>
      <c r="C20" s="41">
        <v>3476.47</v>
      </c>
      <c r="D20" s="41">
        <v>3432.85</v>
      </c>
      <c r="E20" s="41">
        <v>3471.99</v>
      </c>
      <c r="F20" s="41">
        <v>3471.99</v>
      </c>
    </row>
    <row r="21" spans="1:6" x14ac:dyDescent="0.25">
      <c r="A21" s="40">
        <v>45684</v>
      </c>
      <c r="B21" s="41">
        <v>3460.23</v>
      </c>
      <c r="C21" s="41">
        <v>3460.8</v>
      </c>
      <c r="D21" s="41">
        <v>3423.69</v>
      </c>
      <c r="E21" s="41">
        <v>3441.79</v>
      </c>
      <c r="F21" s="41">
        <v>3441.79</v>
      </c>
    </row>
    <row r="22" spans="1:6" x14ac:dyDescent="0.25">
      <c r="A22" s="40">
        <v>45681</v>
      </c>
      <c r="B22" s="41">
        <v>3502.05</v>
      </c>
      <c r="C22" s="41">
        <v>3505.69</v>
      </c>
      <c r="D22" s="41">
        <v>3484.71</v>
      </c>
      <c r="E22" s="41">
        <v>3491.48</v>
      </c>
      <c r="F22" s="41">
        <v>3491.48</v>
      </c>
    </row>
    <row r="23" spans="1:6" x14ac:dyDescent="0.25">
      <c r="A23" s="40">
        <v>45680</v>
      </c>
      <c r="B23" s="41">
        <v>3480.62</v>
      </c>
      <c r="C23" s="41">
        <v>3500.47</v>
      </c>
      <c r="D23" s="41">
        <v>3475.22</v>
      </c>
      <c r="E23" s="41">
        <v>3500.46</v>
      </c>
      <c r="F23" s="41">
        <v>3500.46</v>
      </c>
    </row>
    <row r="24" spans="1:6" x14ac:dyDescent="0.25">
      <c r="A24" s="40">
        <v>45679</v>
      </c>
      <c r="B24" s="41">
        <v>3465.48</v>
      </c>
      <c r="C24" s="41">
        <v>3491.14</v>
      </c>
      <c r="D24" s="41">
        <v>3465.48</v>
      </c>
      <c r="E24" s="41">
        <v>3482.91</v>
      </c>
      <c r="F24" s="41">
        <v>3482.91</v>
      </c>
    </row>
    <row r="25" spans="1:6" x14ac:dyDescent="0.25">
      <c r="A25" s="40">
        <v>45678</v>
      </c>
      <c r="B25" s="41">
        <v>3439.2</v>
      </c>
      <c r="C25" s="41">
        <v>3467.02</v>
      </c>
      <c r="D25" s="41">
        <v>3439.2</v>
      </c>
      <c r="E25" s="41">
        <v>3466.03</v>
      </c>
      <c r="F25" s="41">
        <v>3466.03</v>
      </c>
    </row>
    <row r="26" spans="1:6" x14ac:dyDescent="0.25">
      <c r="A26" s="40">
        <v>45674</v>
      </c>
      <c r="B26" s="41">
        <v>3426.8</v>
      </c>
      <c r="C26" s="41">
        <v>3442.64</v>
      </c>
      <c r="D26" s="41">
        <v>3424.35</v>
      </c>
      <c r="E26" s="41">
        <v>3432.27</v>
      </c>
      <c r="F26" s="41">
        <v>3432.27</v>
      </c>
    </row>
    <row r="27" spans="1:6" x14ac:dyDescent="0.25">
      <c r="A27" s="40">
        <v>45673</v>
      </c>
      <c r="B27" s="41">
        <v>3407.66</v>
      </c>
      <c r="C27" s="41">
        <v>3413.26</v>
      </c>
      <c r="D27" s="41">
        <v>3394.83</v>
      </c>
      <c r="E27" s="41">
        <v>3400.17</v>
      </c>
      <c r="F27" s="41">
        <v>3400.17</v>
      </c>
    </row>
    <row r="28" spans="1:6" x14ac:dyDescent="0.25">
      <c r="A28" s="40">
        <v>45672</v>
      </c>
      <c r="B28" s="41">
        <v>3378.34</v>
      </c>
      <c r="C28" s="41">
        <v>3409.74</v>
      </c>
      <c r="D28" s="41">
        <v>3378.34</v>
      </c>
      <c r="E28" s="41">
        <v>3403.28</v>
      </c>
      <c r="F28" s="41">
        <v>3403.28</v>
      </c>
    </row>
    <row r="29" spans="1:6" x14ac:dyDescent="0.25">
      <c r="A29" s="40">
        <v>45671</v>
      </c>
      <c r="B29" s="41">
        <v>3347.63</v>
      </c>
      <c r="C29" s="41">
        <v>3356.42</v>
      </c>
      <c r="D29" s="41">
        <v>3320.25</v>
      </c>
      <c r="E29" s="41">
        <v>3342.23</v>
      </c>
      <c r="F29" s="41">
        <v>3342.23</v>
      </c>
    </row>
    <row r="30" spans="1:6" x14ac:dyDescent="0.25">
      <c r="A30" s="40">
        <v>45670</v>
      </c>
      <c r="B30" s="41">
        <v>3313.33</v>
      </c>
      <c r="C30" s="41">
        <v>3335.28</v>
      </c>
      <c r="D30" s="41">
        <v>3296.89</v>
      </c>
      <c r="E30" s="41">
        <v>3334.19</v>
      </c>
      <c r="F30" s="41">
        <v>3334.19</v>
      </c>
    </row>
    <row r="31" spans="1:6" x14ac:dyDescent="0.25">
      <c r="A31" s="40">
        <v>45667</v>
      </c>
      <c r="B31" s="41">
        <v>3365.22</v>
      </c>
      <c r="C31" s="41">
        <v>3365.22</v>
      </c>
      <c r="D31" s="41">
        <v>3316.47</v>
      </c>
      <c r="E31" s="41">
        <v>3327.73</v>
      </c>
      <c r="F31" s="41">
        <v>3327.73</v>
      </c>
    </row>
    <row r="32" spans="1:6" x14ac:dyDescent="0.25">
      <c r="A32" s="40">
        <v>45665</v>
      </c>
      <c r="B32" s="41">
        <v>3374.25</v>
      </c>
      <c r="C32" s="41">
        <v>3384.95</v>
      </c>
      <c r="D32" s="41">
        <v>3355.07</v>
      </c>
      <c r="E32" s="41">
        <v>3380.37</v>
      </c>
      <c r="F32" s="41">
        <v>3380.37</v>
      </c>
    </row>
    <row r="33" spans="1:6" x14ac:dyDescent="0.25">
      <c r="A33" s="40">
        <v>45664</v>
      </c>
      <c r="B33" s="41">
        <v>3417.75</v>
      </c>
      <c r="C33" s="41">
        <v>3426.95</v>
      </c>
      <c r="D33" s="41">
        <v>3365</v>
      </c>
      <c r="E33" s="41">
        <v>3376.12</v>
      </c>
      <c r="F33" s="41">
        <v>3376.12</v>
      </c>
    </row>
    <row r="34" spans="1:6" x14ac:dyDescent="0.25">
      <c r="A34" s="40">
        <v>45663</v>
      </c>
      <c r="B34" s="41">
        <v>3415.94</v>
      </c>
      <c r="C34" s="41">
        <v>3439.72</v>
      </c>
      <c r="D34" s="41">
        <v>3405.62</v>
      </c>
      <c r="E34" s="41">
        <v>3413.58</v>
      </c>
      <c r="F34" s="41">
        <v>3413.58</v>
      </c>
    </row>
    <row r="35" spans="1:6" x14ac:dyDescent="0.25">
      <c r="A35" s="40">
        <v>45660</v>
      </c>
      <c r="B35" s="41">
        <v>3362.75</v>
      </c>
      <c r="C35" s="41">
        <v>3398.97</v>
      </c>
      <c r="D35" s="41">
        <v>3362.75</v>
      </c>
      <c r="E35" s="41">
        <v>3395.77</v>
      </c>
      <c r="F35" s="41">
        <v>3395.77</v>
      </c>
    </row>
    <row r="36" spans="1:6" x14ac:dyDescent="0.25">
      <c r="A36" s="40">
        <v>45659</v>
      </c>
      <c r="B36" s="41">
        <v>3369.13</v>
      </c>
      <c r="C36" s="41">
        <v>3389.04</v>
      </c>
      <c r="D36" s="41">
        <v>3330.45</v>
      </c>
      <c r="E36" s="41">
        <v>3351.67</v>
      </c>
      <c r="F36" s="41">
        <v>3351.67</v>
      </c>
    </row>
    <row r="37" spans="1:6" x14ac:dyDescent="0.25">
      <c r="A37" s="40">
        <v>45657</v>
      </c>
      <c r="B37" s="41">
        <v>3376.73</v>
      </c>
      <c r="C37" s="41">
        <v>3384.29</v>
      </c>
      <c r="D37" s="41">
        <v>3349.81</v>
      </c>
      <c r="E37" s="41">
        <v>3356.82</v>
      </c>
      <c r="F37" s="41">
        <v>3356.82</v>
      </c>
    </row>
    <row r="38" spans="1:6" x14ac:dyDescent="0.25">
      <c r="A38" s="40">
        <v>45656</v>
      </c>
      <c r="B38" s="41">
        <v>3379.11</v>
      </c>
      <c r="C38" s="41">
        <v>3388.47</v>
      </c>
      <c r="D38" s="41">
        <v>3347.63</v>
      </c>
      <c r="E38" s="41">
        <v>3370.13</v>
      </c>
      <c r="F38" s="41">
        <v>3370.13</v>
      </c>
    </row>
    <row r="39" spans="1:6" x14ac:dyDescent="0.25">
      <c r="A39" s="40">
        <v>45653</v>
      </c>
      <c r="B39" s="41">
        <v>3429.32</v>
      </c>
      <c r="C39" s="41">
        <v>3429.32</v>
      </c>
      <c r="D39" s="41">
        <v>3384.58</v>
      </c>
      <c r="E39" s="41">
        <v>3405.75</v>
      </c>
      <c r="F39" s="41">
        <v>3405.75</v>
      </c>
    </row>
    <row r="40" spans="1:6" x14ac:dyDescent="0.25">
      <c r="A40" s="40">
        <v>45652</v>
      </c>
      <c r="B40" s="41">
        <v>3434.17</v>
      </c>
      <c r="C40" s="41">
        <v>3450.27</v>
      </c>
      <c r="D40" s="41">
        <v>3425.87</v>
      </c>
      <c r="E40" s="41">
        <v>3444.79</v>
      </c>
      <c r="F40" s="41">
        <v>3444.79</v>
      </c>
    </row>
    <row r="41" spans="1:6" x14ac:dyDescent="0.25">
      <c r="A41" s="40">
        <v>45650</v>
      </c>
      <c r="B41" s="41">
        <v>3412.66</v>
      </c>
      <c r="C41" s="41">
        <v>3444.27</v>
      </c>
      <c r="D41" s="41">
        <v>3411.9</v>
      </c>
      <c r="E41" s="41">
        <v>3444.25</v>
      </c>
      <c r="F41" s="41">
        <v>3444.25</v>
      </c>
    </row>
    <row r="42" spans="1:6" x14ac:dyDescent="0.25">
      <c r="A42" s="40">
        <v>45649</v>
      </c>
      <c r="B42" s="41">
        <v>3388.8</v>
      </c>
      <c r="C42" s="41">
        <v>3409.13</v>
      </c>
      <c r="D42" s="41">
        <v>3368.75</v>
      </c>
      <c r="E42" s="41">
        <v>3407.29</v>
      </c>
      <c r="F42" s="41">
        <v>3407.29</v>
      </c>
    </row>
    <row r="43" spans="1:6" x14ac:dyDescent="0.25">
      <c r="A43" s="40">
        <v>45646</v>
      </c>
      <c r="B43" s="41">
        <v>3335.96</v>
      </c>
      <c r="C43" s="41">
        <v>3415.05</v>
      </c>
      <c r="D43" s="41">
        <v>3328.63</v>
      </c>
      <c r="E43" s="41">
        <v>3386.8</v>
      </c>
      <c r="F43" s="41">
        <v>3386.8</v>
      </c>
    </row>
    <row r="44" spans="1:6" x14ac:dyDescent="0.25">
      <c r="A44" s="40">
        <v>45645</v>
      </c>
      <c r="B44" s="41">
        <v>3372.68</v>
      </c>
      <c r="C44" s="41">
        <v>3390.74</v>
      </c>
      <c r="D44" s="41">
        <v>3349.74</v>
      </c>
      <c r="E44" s="41">
        <v>3350.01</v>
      </c>
      <c r="F44" s="41">
        <v>3350.01</v>
      </c>
    </row>
    <row r="45" spans="1:6" x14ac:dyDescent="0.25">
      <c r="A45" s="40">
        <v>45644</v>
      </c>
      <c r="B45" s="41">
        <v>3464.36</v>
      </c>
      <c r="C45" s="41">
        <v>3472.4</v>
      </c>
      <c r="D45" s="41">
        <v>3351.4</v>
      </c>
      <c r="E45" s="41">
        <v>3353.78</v>
      </c>
      <c r="F45" s="41">
        <v>3353.78</v>
      </c>
    </row>
    <row r="46" spans="1:6" x14ac:dyDescent="0.25">
      <c r="A46" s="40">
        <v>45643</v>
      </c>
      <c r="B46" s="41">
        <v>3465.1</v>
      </c>
      <c r="C46" s="41">
        <v>3467.74</v>
      </c>
      <c r="D46" s="41">
        <v>3454.9</v>
      </c>
      <c r="E46" s="41">
        <v>3463.04</v>
      </c>
      <c r="F46" s="41">
        <v>3463.04</v>
      </c>
    </row>
    <row r="47" spans="1:6" x14ac:dyDescent="0.25">
      <c r="A47" s="40">
        <v>45642</v>
      </c>
      <c r="B47" s="41">
        <v>3472.94</v>
      </c>
      <c r="C47" s="41">
        <v>3486.8</v>
      </c>
      <c r="D47" s="41">
        <v>3471.76</v>
      </c>
      <c r="E47" s="41">
        <v>3480.08</v>
      </c>
      <c r="F47" s="41">
        <v>3480.08</v>
      </c>
    </row>
    <row r="48" spans="1:6" x14ac:dyDescent="0.25">
      <c r="A48" s="40">
        <v>45639</v>
      </c>
      <c r="B48" s="41">
        <v>3468.98</v>
      </c>
      <c r="C48" s="41">
        <v>3481.86</v>
      </c>
      <c r="D48" s="41">
        <v>3457.32</v>
      </c>
      <c r="E48" s="41">
        <v>3466.2</v>
      </c>
      <c r="F48" s="41">
        <v>3466.2</v>
      </c>
    </row>
    <row r="49" spans="1:6" x14ac:dyDescent="0.25">
      <c r="A49" s="40">
        <v>45638</v>
      </c>
      <c r="B49" s="41">
        <v>3483.44</v>
      </c>
      <c r="C49" s="41">
        <v>3485.48</v>
      </c>
      <c r="D49" s="41">
        <v>3468.39</v>
      </c>
      <c r="E49" s="41">
        <v>3468.39</v>
      </c>
      <c r="F49" s="41">
        <v>3468.39</v>
      </c>
    </row>
    <row r="50" spans="1:6" x14ac:dyDescent="0.25">
      <c r="A50" s="40">
        <v>45637</v>
      </c>
      <c r="B50" s="41">
        <v>3475.6</v>
      </c>
      <c r="C50" s="41">
        <v>3493.99</v>
      </c>
      <c r="D50" s="41">
        <v>3475.6</v>
      </c>
      <c r="E50" s="41">
        <v>3488.85</v>
      </c>
      <c r="F50" s="41">
        <v>3488.85</v>
      </c>
    </row>
    <row r="51" spans="1:6" x14ac:dyDescent="0.25">
      <c r="A51" s="40">
        <v>45636</v>
      </c>
      <c r="B51" s="41">
        <v>3477.7</v>
      </c>
      <c r="C51" s="41">
        <v>3478.47</v>
      </c>
      <c r="D51" s="41">
        <v>3457.79</v>
      </c>
      <c r="E51" s="41">
        <v>3460.2</v>
      </c>
      <c r="F51" s="41">
        <v>3460.2</v>
      </c>
    </row>
    <row r="52" spans="1:6" x14ac:dyDescent="0.25">
      <c r="A52" s="40">
        <v>45635</v>
      </c>
      <c r="B52" s="41">
        <v>3494.52</v>
      </c>
      <c r="C52" s="41">
        <v>3497.85</v>
      </c>
      <c r="D52" s="41">
        <v>3471.74</v>
      </c>
      <c r="E52" s="41">
        <v>3473.35</v>
      </c>
      <c r="F52" s="41">
        <v>3473.35</v>
      </c>
    </row>
    <row r="53" spans="1:6" x14ac:dyDescent="0.25">
      <c r="A53" s="40">
        <v>45632</v>
      </c>
      <c r="B53" s="41">
        <v>3493.48</v>
      </c>
      <c r="C53" s="41">
        <v>3502.03</v>
      </c>
      <c r="D53" s="41">
        <v>3491.74</v>
      </c>
      <c r="E53" s="41">
        <v>3497.78</v>
      </c>
      <c r="F53" s="41">
        <v>3497.78</v>
      </c>
    </row>
    <row r="54" spans="1:6" x14ac:dyDescent="0.25">
      <c r="A54" s="40">
        <v>45631</v>
      </c>
      <c r="B54" s="41">
        <v>3498.77</v>
      </c>
      <c r="C54" s="41">
        <v>3500.07</v>
      </c>
      <c r="D54" s="41">
        <v>3486.15</v>
      </c>
      <c r="E54" s="41">
        <v>3487.25</v>
      </c>
      <c r="F54" s="41">
        <v>3487.25</v>
      </c>
    </row>
    <row r="55" spans="1:6" x14ac:dyDescent="0.25">
      <c r="A55" s="40">
        <v>45630</v>
      </c>
      <c r="B55" s="41">
        <v>3481.86</v>
      </c>
      <c r="C55" s="41">
        <v>3498.78</v>
      </c>
      <c r="D55" s="41">
        <v>3481.86</v>
      </c>
      <c r="E55" s="41">
        <v>3497.73</v>
      </c>
      <c r="F55" s="41">
        <v>3497.73</v>
      </c>
    </row>
    <row r="56" spans="1:6" x14ac:dyDescent="0.25">
      <c r="A56" s="40">
        <v>45629</v>
      </c>
      <c r="B56" s="41">
        <v>3473.66</v>
      </c>
      <c r="C56" s="41">
        <v>3475.53</v>
      </c>
      <c r="D56" s="41">
        <v>3465.48</v>
      </c>
      <c r="E56" s="41">
        <v>3474.2</v>
      </c>
      <c r="F56" s="41">
        <v>3474.2</v>
      </c>
    </row>
    <row r="57" spans="1:6" x14ac:dyDescent="0.25">
      <c r="A57" s="40">
        <v>45628</v>
      </c>
      <c r="B57" s="41">
        <v>3470.14</v>
      </c>
      <c r="C57" s="41">
        <v>3477.68</v>
      </c>
      <c r="D57" s="41">
        <v>3466.74</v>
      </c>
      <c r="E57" s="41">
        <v>3473.74</v>
      </c>
      <c r="F57" s="41">
        <v>3473.74</v>
      </c>
    </row>
    <row r="58" spans="1:6" x14ac:dyDescent="0.25">
      <c r="A58" s="40">
        <v>45625</v>
      </c>
      <c r="B58" s="41">
        <v>3452.01</v>
      </c>
      <c r="C58" s="41">
        <v>3474.19</v>
      </c>
      <c r="D58" s="41">
        <v>3452.01</v>
      </c>
      <c r="E58" s="41">
        <v>3466.85</v>
      </c>
      <c r="F58" s="41">
        <v>3466.85</v>
      </c>
    </row>
    <row r="59" spans="1:6" x14ac:dyDescent="0.25">
      <c r="A59" s="40">
        <v>45623</v>
      </c>
      <c r="B59" s="41">
        <v>3463.49</v>
      </c>
      <c r="C59" s="41">
        <v>3463.94</v>
      </c>
      <c r="D59" s="41">
        <v>3441.97</v>
      </c>
      <c r="E59" s="41">
        <v>3449.54</v>
      </c>
      <c r="F59" s="41">
        <v>3449.54</v>
      </c>
    </row>
    <row r="60" spans="1:6" x14ac:dyDescent="0.25">
      <c r="A60" s="40">
        <v>45622</v>
      </c>
      <c r="B60" s="41">
        <v>3448.32</v>
      </c>
      <c r="C60" s="41">
        <v>3463.39</v>
      </c>
      <c r="D60" s="41">
        <v>3446.36</v>
      </c>
      <c r="E60" s="41">
        <v>3461.49</v>
      </c>
      <c r="F60" s="41">
        <v>3461.49</v>
      </c>
    </row>
    <row r="61" spans="1:6" x14ac:dyDescent="0.25">
      <c r="A61" s="40">
        <v>45621</v>
      </c>
      <c r="B61" s="41">
        <v>3439.77</v>
      </c>
      <c r="C61" s="41">
        <v>3464.65</v>
      </c>
      <c r="D61" s="41">
        <v>3435.48</v>
      </c>
      <c r="E61" s="41">
        <v>3447.23</v>
      </c>
      <c r="F61" s="41">
        <v>3447.23</v>
      </c>
    </row>
    <row r="62" spans="1:6" x14ac:dyDescent="0.25">
      <c r="A62" s="40">
        <v>45618</v>
      </c>
      <c r="B62" s="41">
        <v>3413.78</v>
      </c>
      <c r="C62" s="41">
        <v>3433.84</v>
      </c>
      <c r="D62" s="41">
        <v>3413.78</v>
      </c>
      <c r="E62" s="41">
        <v>3432.02</v>
      </c>
      <c r="F62" s="41">
        <v>3432.02</v>
      </c>
    </row>
    <row r="63" spans="1:6" x14ac:dyDescent="0.25">
      <c r="A63" s="40">
        <v>45617</v>
      </c>
      <c r="B63" s="41">
        <v>3395.98</v>
      </c>
      <c r="C63" s="41">
        <v>3421.87</v>
      </c>
      <c r="D63" s="41">
        <v>3379.21</v>
      </c>
      <c r="E63" s="41">
        <v>3413.67</v>
      </c>
      <c r="F63" s="41">
        <v>3413.67</v>
      </c>
    </row>
    <row r="64" spans="1:6" x14ac:dyDescent="0.25">
      <c r="A64" s="40">
        <v>45616</v>
      </c>
      <c r="B64" s="41">
        <v>3387.64</v>
      </c>
      <c r="C64" s="41">
        <v>3391.98</v>
      </c>
      <c r="D64" s="41">
        <v>3358.65</v>
      </c>
      <c r="E64" s="41">
        <v>3390.61</v>
      </c>
      <c r="F64" s="41">
        <v>3390.61</v>
      </c>
    </row>
    <row r="65" spans="1:6" x14ac:dyDescent="0.25">
      <c r="A65" s="40">
        <v>45615</v>
      </c>
      <c r="B65" s="41">
        <v>3365.72</v>
      </c>
      <c r="C65" s="41">
        <v>3391.26</v>
      </c>
      <c r="D65" s="41">
        <v>3352.07</v>
      </c>
      <c r="E65" s="41">
        <v>3388.81</v>
      </c>
      <c r="F65" s="41">
        <v>3388.81</v>
      </c>
    </row>
    <row r="66" spans="1:6" x14ac:dyDescent="0.25">
      <c r="A66" s="40">
        <v>45614</v>
      </c>
      <c r="B66" s="41">
        <v>3360.99</v>
      </c>
      <c r="C66" s="41">
        <v>3381.98</v>
      </c>
      <c r="D66" s="41">
        <v>3358.23</v>
      </c>
      <c r="E66" s="41">
        <v>3373.48</v>
      </c>
      <c r="F66" s="41">
        <v>3373.48</v>
      </c>
    </row>
    <row r="67" spans="1:6" x14ac:dyDescent="0.25">
      <c r="A67" s="40">
        <v>45611</v>
      </c>
      <c r="B67" s="41">
        <v>3392.88</v>
      </c>
      <c r="C67" s="41">
        <v>3392.88</v>
      </c>
      <c r="D67" s="41">
        <v>3350.36</v>
      </c>
      <c r="E67" s="41">
        <v>3360.01</v>
      </c>
      <c r="F67" s="41">
        <v>3360.01</v>
      </c>
    </row>
    <row r="68" spans="1:6" x14ac:dyDescent="0.25">
      <c r="A68" s="40">
        <v>45610</v>
      </c>
      <c r="B68" s="41">
        <v>3429.84</v>
      </c>
      <c r="C68" s="41">
        <v>3433.46</v>
      </c>
      <c r="D68" s="41">
        <v>3401.4</v>
      </c>
      <c r="E68" s="41">
        <v>3404.9</v>
      </c>
      <c r="F68" s="41">
        <v>3404.9</v>
      </c>
    </row>
    <row r="69" spans="1:6" x14ac:dyDescent="0.25">
      <c r="A69" s="40">
        <v>45609</v>
      </c>
      <c r="B69" s="41">
        <v>3432.76</v>
      </c>
      <c r="C69" s="41">
        <v>3444.78</v>
      </c>
      <c r="D69" s="41">
        <v>3423.55</v>
      </c>
      <c r="E69" s="41">
        <v>3428.28</v>
      </c>
      <c r="F69" s="41">
        <v>3428.28</v>
      </c>
    </row>
    <row r="70" spans="1:6" x14ac:dyDescent="0.25">
      <c r="A70" s="40">
        <v>45608</v>
      </c>
      <c r="B70" s="41">
        <v>3441.2</v>
      </c>
      <c r="C70" s="41">
        <v>3446.99</v>
      </c>
      <c r="D70" s="41">
        <v>3416.99</v>
      </c>
      <c r="E70" s="41">
        <v>3430.25</v>
      </c>
      <c r="F70" s="41">
        <v>3430.25</v>
      </c>
    </row>
    <row r="71" spans="1:6" x14ac:dyDescent="0.25">
      <c r="A71" s="40">
        <v>45607</v>
      </c>
      <c r="B71" s="41">
        <v>3435.85</v>
      </c>
      <c r="C71" s="41">
        <v>3450.74</v>
      </c>
      <c r="D71" s="41">
        <v>3435.69</v>
      </c>
      <c r="E71" s="41">
        <v>3443.76</v>
      </c>
      <c r="F71" s="41">
        <v>3443.76</v>
      </c>
    </row>
    <row r="72" spans="1:6" x14ac:dyDescent="0.25">
      <c r="A72" s="40">
        <v>45604</v>
      </c>
      <c r="B72" s="41">
        <v>3419.82</v>
      </c>
      <c r="C72" s="41">
        <v>3441.36</v>
      </c>
      <c r="D72" s="41">
        <v>3419.82</v>
      </c>
      <c r="E72" s="41">
        <v>3433.03</v>
      </c>
      <c r="F72" s="41">
        <v>3433.03</v>
      </c>
    </row>
    <row r="73" spans="1:6" x14ac:dyDescent="0.25">
      <c r="A73" s="40">
        <v>45603</v>
      </c>
      <c r="B73" s="41">
        <v>3400.3</v>
      </c>
      <c r="C73" s="41">
        <v>3425.49</v>
      </c>
      <c r="D73" s="41">
        <v>3400.3</v>
      </c>
      <c r="E73" s="41">
        <v>3418.69</v>
      </c>
      <c r="F73" s="41">
        <v>3418.69</v>
      </c>
    </row>
    <row r="74" spans="1:6" x14ac:dyDescent="0.25">
      <c r="A74" s="40">
        <v>45602</v>
      </c>
      <c r="B74" s="41">
        <v>3325.92</v>
      </c>
      <c r="C74" s="41">
        <v>3398.72</v>
      </c>
      <c r="D74" s="41">
        <v>3325.92</v>
      </c>
      <c r="E74" s="41">
        <v>3395.36</v>
      </c>
      <c r="F74" s="41">
        <v>3395.36</v>
      </c>
    </row>
    <row r="75" spans="1:6" x14ac:dyDescent="0.25">
      <c r="A75" s="40">
        <v>45601</v>
      </c>
      <c r="B75" s="41">
        <v>3264.37</v>
      </c>
      <c r="C75" s="41">
        <v>3302.85</v>
      </c>
      <c r="D75" s="41">
        <v>3264.37</v>
      </c>
      <c r="E75" s="41">
        <v>3302.65</v>
      </c>
      <c r="F75" s="41">
        <v>3302.65</v>
      </c>
    </row>
    <row r="76" spans="1:6" x14ac:dyDescent="0.25">
      <c r="A76" s="40">
        <v>45600</v>
      </c>
      <c r="B76" s="41">
        <v>3265.45</v>
      </c>
      <c r="C76" s="41">
        <v>3275.95</v>
      </c>
      <c r="D76" s="41">
        <v>3252.36</v>
      </c>
      <c r="E76" s="41">
        <v>3260.37</v>
      </c>
      <c r="F76" s="41">
        <v>3260.37</v>
      </c>
    </row>
    <row r="77" spans="1:6" x14ac:dyDescent="0.25">
      <c r="A77" s="40">
        <v>45597</v>
      </c>
      <c r="B77" s="41">
        <v>3252.95</v>
      </c>
      <c r="C77" s="41">
        <v>3292.91</v>
      </c>
      <c r="D77" s="41">
        <v>3252.95</v>
      </c>
      <c r="E77" s="41">
        <v>3267.78</v>
      </c>
      <c r="F77" s="41">
        <v>3267.78</v>
      </c>
    </row>
    <row r="78" spans="1:6" x14ac:dyDescent="0.25">
      <c r="A78" s="40">
        <v>45596</v>
      </c>
      <c r="B78" s="41">
        <v>3300.89</v>
      </c>
      <c r="C78" s="41">
        <v>3300.89</v>
      </c>
      <c r="D78" s="41">
        <v>3254.12</v>
      </c>
      <c r="E78" s="41">
        <v>3254.84</v>
      </c>
      <c r="F78" s="41">
        <v>3254.84</v>
      </c>
    </row>
    <row r="79" spans="1:6" x14ac:dyDescent="0.25">
      <c r="A79" s="40">
        <v>45595</v>
      </c>
      <c r="B79" s="41">
        <v>3329.99</v>
      </c>
      <c r="C79" s="41">
        <v>3336.13</v>
      </c>
      <c r="D79" s="41">
        <v>3313.32</v>
      </c>
      <c r="E79" s="41">
        <v>3314.37</v>
      </c>
      <c r="F79" s="41">
        <v>3314.37</v>
      </c>
    </row>
    <row r="80" spans="1:6" x14ac:dyDescent="0.25">
      <c r="A80" s="40">
        <v>45594</v>
      </c>
      <c r="B80" s="41">
        <v>3315.68</v>
      </c>
      <c r="C80" s="41">
        <v>3330.64</v>
      </c>
      <c r="D80" s="41">
        <v>3305.63</v>
      </c>
      <c r="E80" s="41">
        <v>3324</v>
      </c>
      <c r="F80" s="41">
        <v>3324</v>
      </c>
    </row>
    <row r="81" spans="1:6" x14ac:dyDescent="0.25">
      <c r="A81" s="40">
        <v>45593</v>
      </c>
      <c r="B81" s="41">
        <v>3318.18</v>
      </c>
      <c r="C81" s="41">
        <v>3328.75</v>
      </c>
      <c r="D81" s="41">
        <v>3318.18</v>
      </c>
      <c r="E81" s="41">
        <v>3319.11</v>
      </c>
      <c r="F81" s="41">
        <v>3319.11</v>
      </c>
    </row>
    <row r="82" spans="1:6" x14ac:dyDescent="0.25">
      <c r="A82" s="40">
        <v>45590</v>
      </c>
      <c r="B82" s="41">
        <v>3316.75</v>
      </c>
      <c r="C82" s="41">
        <v>3337.52</v>
      </c>
      <c r="D82" s="41">
        <v>3301.95</v>
      </c>
      <c r="E82" s="41">
        <v>3306.15</v>
      </c>
      <c r="F82" s="41">
        <v>3306.15</v>
      </c>
    </row>
    <row r="83" spans="1:6" x14ac:dyDescent="0.25">
      <c r="A83" s="40">
        <v>45589</v>
      </c>
      <c r="B83" s="41">
        <v>3303.51</v>
      </c>
      <c r="C83" s="41">
        <v>3313.59</v>
      </c>
      <c r="D83" s="41">
        <v>3295.12</v>
      </c>
      <c r="E83" s="41">
        <v>3309.16</v>
      </c>
      <c r="F83" s="41">
        <v>3309.16</v>
      </c>
    </row>
    <row r="84" spans="1:6" x14ac:dyDescent="0.25">
      <c r="A84" s="40">
        <v>45588</v>
      </c>
      <c r="B84" s="41">
        <v>3322.52</v>
      </c>
      <c r="C84" s="41">
        <v>3322.52</v>
      </c>
      <c r="D84" s="41">
        <v>3281.33</v>
      </c>
      <c r="E84" s="41">
        <v>3301.27</v>
      </c>
      <c r="F84" s="41">
        <v>3301.27</v>
      </c>
    </row>
    <row r="85" spans="1:6" x14ac:dyDescent="0.25">
      <c r="A85" s="40">
        <v>45587</v>
      </c>
      <c r="B85" s="41">
        <v>3324.5</v>
      </c>
      <c r="C85" s="41">
        <v>3337.17</v>
      </c>
      <c r="D85" s="41">
        <v>3316.89</v>
      </c>
      <c r="E85" s="41">
        <v>3330.93</v>
      </c>
      <c r="F85" s="41">
        <v>3330.93</v>
      </c>
    </row>
    <row r="86" spans="1:6" x14ac:dyDescent="0.25">
      <c r="A86" s="40">
        <v>45586</v>
      </c>
      <c r="B86" s="41">
        <v>3342.28</v>
      </c>
      <c r="C86" s="41">
        <v>3344.22</v>
      </c>
      <c r="D86" s="41">
        <v>3319.44</v>
      </c>
      <c r="E86" s="41">
        <v>3334.2</v>
      </c>
      <c r="F86" s="41">
        <v>3334.2</v>
      </c>
    </row>
    <row r="87" spans="1:6" x14ac:dyDescent="0.25">
      <c r="A87" s="40">
        <v>45583</v>
      </c>
      <c r="B87" s="41">
        <v>3341.35</v>
      </c>
      <c r="C87" s="41">
        <v>3348.86</v>
      </c>
      <c r="D87" s="41">
        <v>3335.95</v>
      </c>
      <c r="E87" s="41">
        <v>3344.79</v>
      </c>
      <c r="F87" s="41">
        <v>3344.79</v>
      </c>
    </row>
    <row r="88" spans="1:6" x14ac:dyDescent="0.25">
      <c r="A88" s="40">
        <v>45582</v>
      </c>
      <c r="B88" s="41">
        <v>3348.67</v>
      </c>
      <c r="C88" s="41">
        <v>3352.3</v>
      </c>
      <c r="D88" s="41">
        <v>3331.69</v>
      </c>
      <c r="E88" s="41">
        <v>3332.46</v>
      </c>
      <c r="F88" s="41">
        <v>3332.46</v>
      </c>
    </row>
    <row r="89" spans="1:6" x14ac:dyDescent="0.25">
      <c r="A89" s="40">
        <v>45581</v>
      </c>
      <c r="B89" s="41">
        <v>3321.41</v>
      </c>
      <c r="C89" s="41">
        <v>3335.55</v>
      </c>
      <c r="D89" s="41">
        <v>3313.86</v>
      </c>
      <c r="E89" s="41">
        <v>3333.38</v>
      </c>
      <c r="F89" s="41">
        <v>3333.38</v>
      </c>
    </row>
    <row r="90" spans="1:6" x14ac:dyDescent="0.25">
      <c r="A90" s="40">
        <v>45580</v>
      </c>
      <c r="B90" s="41">
        <v>3339.12</v>
      </c>
      <c r="C90" s="41">
        <v>3342.83</v>
      </c>
      <c r="D90" s="41">
        <v>3310.81</v>
      </c>
      <c r="E90" s="41">
        <v>3315.41</v>
      </c>
      <c r="F90" s="41">
        <v>3315.41</v>
      </c>
    </row>
    <row r="91" spans="1:6" x14ac:dyDescent="0.25">
      <c r="A91" s="40">
        <v>45579</v>
      </c>
      <c r="B91" s="41">
        <v>3321.14</v>
      </c>
      <c r="C91" s="41">
        <v>3343.6</v>
      </c>
      <c r="D91" s="41">
        <v>3321.14</v>
      </c>
      <c r="E91" s="41">
        <v>3337.91</v>
      </c>
      <c r="F91" s="41">
        <v>3337.91</v>
      </c>
    </row>
    <row r="92" spans="1:6" x14ac:dyDescent="0.25">
      <c r="A92" s="40">
        <v>45576</v>
      </c>
      <c r="B92" s="41">
        <v>3286.43</v>
      </c>
      <c r="C92" s="41">
        <v>3316.1</v>
      </c>
      <c r="D92" s="41">
        <v>3286.43</v>
      </c>
      <c r="E92" s="41">
        <v>3313.17</v>
      </c>
      <c r="F92" s="41">
        <v>3313.17</v>
      </c>
    </row>
    <row r="93" spans="1:6" x14ac:dyDescent="0.25">
      <c r="A93" s="40">
        <v>45575</v>
      </c>
      <c r="B93" s="41">
        <v>3289.94</v>
      </c>
      <c r="C93" s="41">
        <v>3295.75</v>
      </c>
      <c r="D93" s="41">
        <v>3278.32</v>
      </c>
      <c r="E93" s="41">
        <v>3288.24</v>
      </c>
      <c r="F93" s="41">
        <v>3288.24</v>
      </c>
    </row>
    <row r="94" spans="1:6" x14ac:dyDescent="0.25">
      <c r="A94" s="40">
        <v>45574</v>
      </c>
      <c r="B94" s="41">
        <v>3273.82</v>
      </c>
      <c r="C94" s="41">
        <v>3297.28</v>
      </c>
      <c r="D94" s="41">
        <v>3268.78</v>
      </c>
      <c r="E94" s="41">
        <v>3295.1</v>
      </c>
      <c r="F94" s="41">
        <v>3295.1</v>
      </c>
    </row>
    <row r="95" spans="1:6" x14ac:dyDescent="0.25">
      <c r="A95" s="40">
        <v>45573</v>
      </c>
      <c r="B95" s="41">
        <v>3253.73</v>
      </c>
      <c r="C95" s="41">
        <v>3275.93</v>
      </c>
      <c r="D95" s="41">
        <v>3253.04</v>
      </c>
      <c r="E95" s="41">
        <v>3272.42</v>
      </c>
      <c r="F95" s="41">
        <v>3272.42</v>
      </c>
    </row>
    <row r="96" spans="1:6" x14ac:dyDescent="0.25">
      <c r="A96" s="40">
        <v>45572</v>
      </c>
      <c r="B96" s="41">
        <v>3268.97</v>
      </c>
      <c r="C96" s="41">
        <v>3268.97</v>
      </c>
      <c r="D96" s="41">
        <v>3238.48</v>
      </c>
      <c r="E96" s="41">
        <v>3244.36</v>
      </c>
      <c r="F96" s="41">
        <v>3244.36</v>
      </c>
    </row>
    <row r="97" spans="1:6" x14ac:dyDescent="0.25">
      <c r="A97" s="40">
        <v>45569</v>
      </c>
      <c r="B97" s="41">
        <v>3269.75</v>
      </c>
      <c r="C97" s="41">
        <v>3276.19</v>
      </c>
      <c r="D97" s="41">
        <v>3248.95</v>
      </c>
      <c r="E97" s="41">
        <v>3275.41</v>
      </c>
      <c r="F97" s="41">
        <v>3275.41</v>
      </c>
    </row>
    <row r="98" spans="1:6" x14ac:dyDescent="0.25">
      <c r="A98" s="40">
        <v>45568</v>
      </c>
      <c r="B98" s="41">
        <v>3241.83</v>
      </c>
      <c r="C98" s="41">
        <v>3253.75</v>
      </c>
      <c r="D98" s="41">
        <v>3232.23</v>
      </c>
      <c r="E98" s="41">
        <v>3244.01</v>
      </c>
      <c r="F98" s="41">
        <v>3244.01</v>
      </c>
    </row>
    <row r="99" spans="1:6" x14ac:dyDescent="0.25">
      <c r="A99" s="40">
        <v>45567</v>
      </c>
      <c r="B99" s="41">
        <v>3242.75</v>
      </c>
      <c r="C99" s="41">
        <v>3256.25</v>
      </c>
      <c r="D99" s="41">
        <v>3231.13</v>
      </c>
      <c r="E99" s="41">
        <v>3250.85</v>
      </c>
      <c r="F99" s="41">
        <v>3250.85</v>
      </c>
    </row>
    <row r="100" spans="1:6" x14ac:dyDescent="0.25">
      <c r="A100" s="40">
        <v>45566</v>
      </c>
      <c r="B100" s="41">
        <v>3277.95</v>
      </c>
      <c r="C100" s="41">
        <v>3278.04</v>
      </c>
      <c r="D100" s="41">
        <v>3234.73</v>
      </c>
      <c r="E100" s="41">
        <v>3250.52</v>
      </c>
      <c r="F100" s="41">
        <v>3250.52</v>
      </c>
    </row>
    <row r="101" spans="1:6" x14ac:dyDescent="0.25">
      <c r="A101" s="40">
        <v>45565</v>
      </c>
      <c r="B101" s="41">
        <v>3263.3</v>
      </c>
      <c r="C101" s="41">
        <v>3282.76</v>
      </c>
      <c r="D101" s="41">
        <v>3249.21</v>
      </c>
      <c r="E101" s="41">
        <v>3281.28</v>
      </c>
      <c r="F101" s="41">
        <v>3281.28</v>
      </c>
    </row>
    <row r="102" spans="1:6" x14ac:dyDescent="0.25">
      <c r="A102" s="40">
        <v>45562</v>
      </c>
      <c r="B102" s="41">
        <v>3278.96</v>
      </c>
      <c r="C102" s="41">
        <v>3283.35</v>
      </c>
      <c r="D102" s="41">
        <v>3263.23</v>
      </c>
      <c r="E102" s="41">
        <v>3269</v>
      </c>
      <c r="F102" s="41">
        <v>3269</v>
      </c>
    </row>
    <row r="103" spans="1:6" x14ac:dyDescent="0.25">
      <c r="A103" s="40">
        <v>45561</v>
      </c>
      <c r="B103" s="41">
        <v>3282.39</v>
      </c>
      <c r="C103" s="41">
        <v>3282.8</v>
      </c>
      <c r="D103" s="41">
        <v>3258.79</v>
      </c>
      <c r="E103" s="41">
        <v>3271.18</v>
      </c>
      <c r="F103" s="41">
        <v>3271.18</v>
      </c>
    </row>
    <row r="104" spans="1:6" x14ac:dyDescent="0.25">
      <c r="A104" s="40">
        <v>45560</v>
      </c>
      <c r="B104" s="41">
        <v>3268.27</v>
      </c>
      <c r="C104" s="41">
        <v>3271.03</v>
      </c>
      <c r="D104" s="41">
        <v>3252.7</v>
      </c>
      <c r="E104" s="41">
        <v>3257.29</v>
      </c>
      <c r="F104" s="41">
        <v>3257.29</v>
      </c>
    </row>
    <row r="105" spans="1:6" x14ac:dyDescent="0.25">
      <c r="A105" s="40">
        <v>45559</v>
      </c>
      <c r="B105" s="41">
        <v>3265.81</v>
      </c>
      <c r="C105" s="41">
        <v>3267.4</v>
      </c>
      <c r="D105" s="41">
        <v>3248.69</v>
      </c>
      <c r="E105" s="41">
        <v>3266.71</v>
      </c>
      <c r="F105" s="41">
        <v>3266.71</v>
      </c>
    </row>
    <row r="106" spans="1:6" x14ac:dyDescent="0.25">
      <c r="A106" s="40">
        <v>45558</v>
      </c>
      <c r="B106" s="41">
        <v>3254.61</v>
      </c>
      <c r="C106" s="41">
        <v>3263.4</v>
      </c>
      <c r="D106" s="41">
        <v>3251.9</v>
      </c>
      <c r="E106" s="41">
        <v>3258.9</v>
      </c>
      <c r="F106" s="41">
        <v>3258.9</v>
      </c>
    </row>
    <row r="107" spans="1:6" x14ac:dyDescent="0.25">
      <c r="A107" s="40">
        <v>45555</v>
      </c>
      <c r="B107" s="41">
        <v>3258.36</v>
      </c>
      <c r="C107" s="41">
        <v>3258.36</v>
      </c>
      <c r="D107" s="41">
        <v>3235.94</v>
      </c>
      <c r="E107" s="41">
        <v>3250.5</v>
      </c>
      <c r="F107" s="41">
        <v>3250.5</v>
      </c>
    </row>
    <row r="108" spans="1:6" x14ac:dyDescent="0.25">
      <c r="A108" s="40">
        <v>45554</v>
      </c>
      <c r="B108" s="41">
        <v>3234.35</v>
      </c>
      <c r="C108" s="41">
        <v>3269.12</v>
      </c>
      <c r="D108" s="41">
        <v>3234.35</v>
      </c>
      <c r="E108" s="41">
        <v>3258.79</v>
      </c>
      <c r="F108" s="41">
        <v>3258.79</v>
      </c>
    </row>
    <row r="109" spans="1:6" x14ac:dyDescent="0.25">
      <c r="A109" s="40">
        <v>45553</v>
      </c>
      <c r="B109" s="41">
        <v>3214.64</v>
      </c>
      <c r="C109" s="41">
        <v>3241.75</v>
      </c>
      <c r="D109" s="41">
        <v>3201.78</v>
      </c>
      <c r="E109" s="41">
        <v>3203.24</v>
      </c>
      <c r="F109" s="41">
        <v>3203.24</v>
      </c>
    </row>
    <row r="110" spans="1:6" x14ac:dyDescent="0.25">
      <c r="A110" s="40">
        <v>45552</v>
      </c>
      <c r="B110" s="41">
        <v>3216.39</v>
      </c>
      <c r="C110" s="41">
        <v>3231.14</v>
      </c>
      <c r="D110" s="41">
        <v>3200.42</v>
      </c>
      <c r="E110" s="41">
        <v>3211</v>
      </c>
      <c r="F110" s="41">
        <v>3211</v>
      </c>
    </row>
    <row r="111" spans="1:6" x14ac:dyDescent="0.25">
      <c r="A111" s="40">
        <v>45551</v>
      </c>
      <c r="B111" s="41">
        <v>3197.03</v>
      </c>
      <c r="C111" s="41">
        <v>3209.78</v>
      </c>
      <c r="D111" s="41">
        <v>3192.2</v>
      </c>
      <c r="E111" s="41">
        <v>3208.14</v>
      </c>
      <c r="F111" s="41">
        <v>3208.14</v>
      </c>
    </row>
    <row r="112" spans="1:6" x14ac:dyDescent="0.25">
      <c r="A112" s="40">
        <v>45548</v>
      </c>
      <c r="B112" s="41">
        <v>3184.64</v>
      </c>
      <c r="C112" s="41">
        <v>3207.59</v>
      </c>
      <c r="D112" s="41">
        <v>3184.64</v>
      </c>
      <c r="E112" s="41">
        <v>3202.34</v>
      </c>
      <c r="F112" s="41">
        <v>3202.34</v>
      </c>
    </row>
    <row r="113" spans="1:6" x14ac:dyDescent="0.25">
      <c r="A113" s="40">
        <v>45547</v>
      </c>
      <c r="B113" s="41">
        <v>3156.99</v>
      </c>
      <c r="C113" s="41">
        <v>3183.37</v>
      </c>
      <c r="D113" s="41">
        <v>3146.2</v>
      </c>
      <c r="E113" s="41">
        <v>3180.1</v>
      </c>
      <c r="F113" s="41">
        <v>3180.1</v>
      </c>
    </row>
    <row r="114" spans="1:6" x14ac:dyDescent="0.25">
      <c r="A114" s="40">
        <v>45546</v>
      </c>
      <c r="B114" s="41">
        <v>3121.19</v>
      </c>
      <c r="C114" s="41">
        <v>3158.64</v>
      </c>
      <c r="D114" s="41">
        <v>3073.34</v>
      </c>
      <c r="E114" s="41">
        <v>3155.3</v>
      </c>
      <c r="F114" s="41">
        <v>3155.3</v>
      </c>
    </row>
    <row r="115" spans="1:6" x14ac:dyDescent="0.25">
      <c r="A115" s="40">
        <v>45545</v>
      </c>
      <c r="B115" s="41">
        <v>3114.3</v>
      </c>
      <c r="C115" s="41">
        <v>3124.68</v>
      </c>
      <c r="D115" s="41">
        <v>3093.3</v>
      </c>
      <c r="E115" s="41">
        <v>3123.56</v>
      </c>
      <c r="F115" s="41">
        <v>3123.56</v>
      </c>
    </row>
    <row r="116" spans="1:6" x14ac:dyDescent="0.25">
      <c r="A116" s="40">
        <v>45544</v>
      </c>
      <c r="B116" s="41">
        <v>3093.24</v>
      </c>
      <c r="C116" s="41">
        <v>3120.27</v>
      </c>
      <c r="D116" s="41">
        <v>3093.03</v>
      </c>
      <c r="E116" s="41">
        <v>3111.3</v>
      </c>
      <c r="F116" s="41">
        <v>3111.3</v>
      </c>
    </row>
    <row r="117" spans="1:6" x14ac:dyDescent="0.25">
      <c r="A117" s="40">
        <v>45541</v>
      </c>
      <c r="B117" s="41">
        <v>3131.74</v>
      </c>
      <c r="C117" s="41">
        <v>3142.01</v>
      </c>
      <c r="D117" s="41">
        <v>3074.97</v>
      </c>
      <c r="E117" s="41">
        <v>3077.84</v>
      </c>
      <c r="F117" s="41">
        <v>3077.84</v>
      </c>
    </row>
    <row r="118" spans="1:6" x14ac:dyDescent="0.25">
      <c r="A118" s="40">
        <v>45540</v>
      </c>
      <c r="B118" s="41">
        <v>3142.1</v>
      </c>
      <c r="C118" s="41">
        <v>3155.39</v>
      </c>
      <c r="D118" s="41">
        <v>3119.69</v>
      </c>
      <c r="E118" s="41">
        <v>3131.91</v>
      </c>
      <c r="F118" s="41">
        <v>3131.91</v>
      </c>
    </row>
    <row r="119" spans="1:6" x14ac:dyDescent="0.25">
      <c r="A119" s="40">
        <v>45539</v>
      </c>
      <c r="B119" s="41">
        <v>3143.46</v>
      </c>
      <c r="C119" s="41">
        <v>3162.06</v>
      </c>
      <c r="D119" s="41">
        <v>3133.1</v>
      </c>
      <c r="E119" s="41">
        <v>3142.29</v>
      </c>
      <c r="F119" s="41">
        <v>3142.29</v>
      </c>
    </row>
    <row r="120" spans="1:6" x14ac:dyDescent="0.25">
      <c r="A120" s="40">
        <v>45538</v>
      </c>
      <c r="B120" s="41">
        <v>3206.24</v>
      </c>
      <c r="C120" s="41">
        <v>3206.24</v>
      </c>
      <c r="D120" s="41">
        <v>3135.16</v>
      </c>
      <c r="E120" s="41">
        <v>3147.98</v>
      </c>
      <c r="F120" s="41">
        <v>3147.98</v>
      </c>
    </row>
    <row r="121" spans="1:6" x14ac:dyDescent="0.25">
      <c r="A121" s="40">
        <v>45534</v>
      </c>
      <c r="B121" s="41">
        <v>3193.92</v>
      </c>
      <c r="C121" s="41">
        <v>3219.63</v>
      </c>
      <c r="D121" s="41">
        <v>3181.03</v>
      </c>
      <c r="E121" s="41">
        <v>3218.49</v>
      </c>
      <c r="F121" s="41">
        <v>3218.49</v>
      </c>
    </row>
    <row r="122" spans="1:6" x14ac:dyDescent="0.25">
      <c r="A122" s="40">
        <v>45533</v>
      </c>
      <c r="B122" s="41">
        <v>3189.72</v>
      </c>
      <c r="C122" s="41">
        <v>3217.47</v>
      </c>
      <c r="D122" s="41">
        <v>3184.35</v>
      </c>
      <c r="E122" s="41">
        <v>3187.31</v>
      </c>
      <c r="F122" s="41">
        <v>3187.31</v>
      </c>
    </row>
    <row r="123" spans="1:6" x14ac:dyDescent="0.25">
      <c r="A123" s="40">
        <v>45532</v>
      </c>
      <c r="B123" s="41">
        <v>3202.93</v>
      </c>
      <c r="C123" s="41">
        <v>3203.87</v>
      </c>
      <c r="D123" s="41">
        <v>3168.03</v>
      </c>
      <c r="E123" s="41">
        <v>3184.57</v>
      </c>
      <c r="F123" s="41">
        <v>3184.57</v>
      </c>
    </row>
    <row r="124" spans="1:6" x14ac:dyDescent="0.25">
      <c r="A124" s="40">
        <v>45531</v>
      </c>
      <c r="B124" s="41">
        <v>3195.44</v>
      </c>
      <c r="C124" s="41">
        <v>3207.31</v>
      </c>
      <c r="D124" s="41">
        <v>3187.23</v>
      </c>
      <c r="E124" s="41">
        <v>3204.36</v>
      </c>
      <c r="F124" s="41">
        <v>3204.36</v>
      </c>
    </row>
    <row r="125" spans="1:6" x14ac:dyDescent="0.25">
      <c r="A125" s="40">
        <v>45530</v>
      </c>
      <c r="B125" s="41">
        <v>3215.06</v>
      </c>
      <c r="C125" s="41">
        <v>3221.75</v>
      </c>
      <c r="D125" s="41">
        <v>3195.09</v>
      </c>
      <c r="E125" s="41">
        <v>3201.48</v>
      </c>
      <c r="F125" s="41">
        <v>3201.48</v>
      </c>
    </row>
    <row r="126" spans="1:6" x14ac:dyDescent="0.25">
      <c r="A126" s="40">
        <v>45527</v>
      </c>
      <c r="B126" s="41">
        <v>3178.48</v>
      </c>
      <c r="C126" s="41">
        <v>3212.38</v>
      </c>
      <c r="D126" s="41">
        <v>3178.48</v>
      </c>
      <c r="E126" s="41">
        <v>3211.23</v>
      </c>
      <c r="F126" s="41">
        <v>3211.23</v>
      </c>
    </row>
    <row r="127" spans="1:6" x14ac:dyDescent="0.25">
      <c r="A127" s="40">
        <v>45526</v>
      </c>
      <c r="B127" s="41">
        <v>3203.09</v>
      </c>
      <c r="C127" s="41">
        <v>3209.65</v>
      </c>
      <c r="D127" s="41">
        <v>3164.54</v>
      </c>
      <c r="E127" s="41">
        <v>3169.46</v>
      </c>
      <c r="F127" s="41">
        <v>3169.46</v>
      </c>
    </row>
    <row r="128" spans="1:6" x14ac:dyDescent="0.25">
      <c r="A128" s="40">
        <v>45525</v>
      </c>
      <c r="B128" s="41">
        <v>3183.5</v>
      </c>
      <c r="C128" s="41">
        <v>3201.24</v>
      </c>
      <c r="D128" s="41">
        <v>3180.53</v>
      </c>
      <c r="E128" s="41">
        <v>3198.02</v>
      </c>
      <c r="F128" s="41">
        <v>3198.02</v>
      </c>
    </row>
    <row r="129" spans="1:6" x14ac:dyDescent="0.25">
      <c r="A129" s="40">
        <v>45524</v>
      </c>
      <c r="B129" s="41">
        <v>3187.23</v>
      </c>
      <c r="C129" s="41">
        <v>3195.89</v>
      </c>
      <c r="D129" s="41">
        <v>3174.67</v>
      </c>
      <c r="E129" s="41">
        <v>3180.98</v>
      </c>
      <c r="F129" s="41">
        <v>3180.98</v>
      </c>
    </row>
    <row r="130" spans="1:6" x14ac:dyDescent="0.25">
      <c r="A130" s="40">
        <v>45523</v>
      </c>
      <c r="B130" s="41">
        <v>3160.92</v>
      </c>
      <c r="C130" s="41">
        <v>3190.21</v>
      </c>
      <c r="D130" s="41">
        <v>3158.54</v>
      </c>
      <c r="E130" s="41">
        <v>3190.2</v>
      </c>
      <c r="F130" s="41">
        <v>3190.2</v>
      </c>
    </row>
    <row r="131" spans="1:6" x14ac:dyDescent="0.25">
      <c r="A131" s="40">
        <v>45520</v>
      </c>
      <c r="B131" s="41">
        <v>3145.56</v>
      </c>
      <c r="C131" s="41">
        <v>3163.37</v>
      </c>
      <c r="D131" s="41">
        <v>3143.19</v>
      </c>
      <c r="E131" s="41">
        <v>3159.29</v>
      </c>
      <c r="F131" s="41">
        <v>3159.29</v>
      </c>
    </row>
    <row r="132" spans="1:6" x14ac:dyDescent="0.25">
      <c r="A132" s="40">
        <v>45519</v>
      </c>
      <c r="B132" s="41">
        <v>3122.53</v>
      </c>
      <c r="C132" s="41">
        <v>3155.08</v>
      </c>
      <c r="D132" s="41">
        <v>3122.53</v>
      </c>
      <c r="E132" s="41">
        <v>3152.99</v>
      </c>
      <c r="F132" s="41">
        <v>3152.99</v>
      </c>
    </row>
    <row r="133" spans="1:6" x14ac:dyDescent="0.25">
      <c r="A133" s="40">
        <v>45518</v>
      </c>
      <c r="B133" s="41">
        <v>3096.56</v>
      </c>
      <c r="C133" s="41">
        <v>3105.61</v>
      </c>
      <c r="D133" s="41">
        <v>3080.5</v>
      </c>
      <c r="E133" s="41">
        <v>3100.9</v>
      </c>
      <c r="F133" s="41">
        <v>3100.9</v>
      </c>
    </row>
    <row r="134" spans="1:6" x14ac:dyDescent="0.25">
      <c r="A134" s="40">
        <v>45517</v>
      </c>
      <c r="B134" s="41">
        <v>3056.36</v>
      </c>
      <c r="C134" s="41">
        <v>3091.62</v>
      </c>
      <c r="D134" s="41">
        <v>3056.36</v>
      </c>
      <c r="E134" s="41">
        <v>3090.69</v>
      </c>
      <c r="F134" s="41">
        <v>3090.69</v>
      </c>
    </row>
    <row r="135" spans="1:6" x14ac:dyDescent="0.25">
      <c r="A135" s="40">
        <v>45516</v>
      </c>
      <c r="B135" s="41">
        <v>3046.42</v>
      </c>
      <c r="C135" s="41">
        <v>3055.11</v>
      </c>
      <c r="D135" s="41">
        <v>3030.66</v>
      </c>
      <c r="E135" s="41">
        <v>3039.59</v>
      </c>
      <c r="F135" s="41">
        <v>3039.59</v>
      </c>
    </row>
    <row r="136" spans="1:6" x14ac:dyDescent="0.25">
      <c r="A136" s="40">
        <v>45513</v>
      </c>
      <c r="B136" s="41">
        <v>3027.82</v>
      </c>
      <c r="C136" s="41">
        <v>3049.91</v>
      </c>
      <c r="D136" s="41">
        <v>3019.88</v>
      </c>
      <c r="E136" s="41">
        <v>3042.68</v>
      </c>
      <c r="F136" s="41">
        <v>3042.68</v>
      </c>
    </row>
    <row r="137" spans="1:6" x14ac:dyDescent="0.25">
      <c r="A137" s="40">
        <v>45512</v>
      </c>
      <c r="B137" s="41">
        <v>2980.39</v>
      </c>
      <c r="C137" s="41">
        <v>3033.5</v>
      </c>
      <c r="D137" s="41">
        <v>2980.39</v>
      </c>
      <c r="E137" s="41">
        <v>3029.49</v>
      </c>
      <c r="F137" s="41">
        <v>3029.49</v>
      </c>
    </row>
    <row r="138" spans="1:6" x14ac:dyDescent="0.25">
      <c r="A138" s="40">
        <v>45511</v>
      </c>
      <c r="B138" s="41">
        <v>3013.38</v>
      </c>
      <c r="C138" s="41">
        <v>3034.91</v>
      </c>
      <c r="D138" s="41">
        <v>2957.78</v>
      </c>
      <c r="E138" s="41">
        <v>2959.81</v>
      </c>
      <c r="F138" s="41">
        <v>2959.81</v>
      </c>
    </row>
    <row r="139" spans="1:6" x14ac:dyDescent="0.25">
      <c r="A139" s="40">
        <v>45510</v>
      </c>
      <c r="B139" s="41">
        <v>2962.47</v>
      </c>
      <c r="C139" s="41">
        <v>3023.92</v>
      </c>
      <c r="D139" s="41">
        <v>2956.79</v>
      </c>
      <c r="E139" s="41">
        <v>2983.89</v>
      </c>
      <c r="F139" s="41">
        <v>2983.89</v>
      </c>
    </row>
    <row r="140" spans="1:6" x14ac:dyDescent="0.25">
      <c r="A140" s="40">
        <v>45509</v>
      </c>
      <c r="B140" s="41">
        <v>2970.91</v>
      </c>
      <c r="C140" s="41">
        <v>2989.14</v>
      </c>
      <c r="D140" s="41">
        <v>2921.34</v>
      </c>
      <c r="E140" s="41">
        <v>2952.94</v>
      </c>
      <c r="F140" s="41">
        <v>2952.94</v>
      </c>
    </row>
    <row r="141" spans="1:6" x14ac:dyDescent="0.25">
      <c r="A141" s="40">
        <v>45506</v>
      </c>
      <c r="B141" s="41">
        <v>3074.92</v>
      </c>
      <c r="C141" s="41">
        <v>3074.92</v>
      </c>
      <c r="D141" s="41">
        <v>3018.23</v>
      </c>
      <c r="E141" s="41">
        <v>3043.96</v>
      </c>
      <c r="F141" s="41">
        <v>3043.96</v>
      </c>
    </row>
    <row r="142" spans="1:6" x14ac:dyDescent="0.25">
      <c r="A142" s="40">
        <v>45505</v>
      </c>
      <c r="B142" s="41">
        <v>3162.29</v>
      </c>
      <c r="C142" s="41">
        <v>3177.49</v>
      </c>
      <c r="D142" s="41">
        <v>3085.96</v>
      </c>
      <c r="E142" s="41">
        <v>3106.61</v>
      </c>
      <c r="F142" s="41">
        <v>3106.61</v>
      </c>
    </row>
    <row r="143" spans="1:6" x14ac:dyDescent="0.25">
      <c r="A143" s="40">
        <v>45504</v>
      </c>
      <c r="B143" s="41">
        <v>3142.66</v>
      </c>
      <c r="C143" s="41">
        <v>3174.48</v>
      </c>
      <c r="D143" s="41">
        <v>3139.21</v>
      </c>
      <c r="E143" s="41">
        <v>3154.24</v>
      </c>
      <c r="F143" s="41">
        <v>3154.24</v>
      </c>
    </row>
    <row r="144" spans="1:6" x14ac:dyDescent="0.25">
      <c r="A144" s="40">
        <v>45503</v>
      </c>
      <c r="B144" s="41">
        <v>3129.65</v>
      </c>
      <c r="C144" s="41">
        <v>3137.34</v>
      </c>
      <c r="D144" s="41">
        <v>3089.81</v>
      </c>
      <c r="E144" s="41">
        <v>3109.02</v>
      </c>
      <c r="F144" s="41">
        <v>3109.02</v>
      </c>
    </row>
    <row r="145" spans="1:6" x14ac:dyDescent="0.25">
      <c r="A145" s="40">
        <v>45502</v>
      </c>
      <c r="B145" s="41">
        <v>3131.14</v>
      </c>
      <c r="C145" s="41">
        <v>3137.52</v>
      </c>
      <c r="D145" s="41">
        <v>3112.11</v>
      </c>
      <c r="E145" s="41">
        <v>3121.84</v>
      </c>
      <c r="F145" s="41">
        <v>3121.84</v>
      </c>
    </row>
    <row r="146" spans="1:6" x14ac:dyDescent="0.25">
      <c r="A146" s="40">
        <v>45499</v>
      </c>
      <c r="B146" s="41">
        <v>3101.86</v>
      </c>
      <c r="C146" s="41">
        <v>3136.07</v>
      </c>
      <c r="D146" s="41">
        <v>3101.86</v>
      </c>
      <c r="E146" s="41">
        <v>3121.5</v>
      </c>
      <c r="F146" s="41">
        <v>3121.5</v>
      </c>
    </row>
    <row r="147" spans="1:6" x14ac:dyDescent="0.25">
      <c r="A147" s="40">
        <v>45498</v>
      </c>
      <c r="B147" s="41">
        <v>3097.23</v>
      </c>
      <c r="C147" s="41">
        <v>3137.23</v>
      </c>
      <c r="D147" s="41">
        <v>3078.34</v>
      </c>
      <c r="E147" s="41">
        <v>3085.66</v>
      </c>
      <c r="F147" s="41">
        <v>3085.66</v>
      </c>
    </row>
    <row r="148" spans="1:6" x14ac:dyDescent="0.25">
      <c r="A148" s="40">
        <v>45497</v>
      </c>
      <c r="B148" s="41">
        <v>3150.41</v>
      </c>
      <c r="C148" s="41">
        <v>3150.41</v>
      </c>
      <c r="D148" s="41">
        <v>3092.73</v>
      </c>
      <c r="E148" s="41">
        <v>3095.29</v>
      </c>
      <c r="F148" s="41">
        <v>3095.29</v>
      </c>
    </row>
    <row r="149" spans="1:6" x14ac:dyDescent="0.25">
      <c r="A149" s="40">
        <v>45496</v>
      </c>
      <c r="B149" s="41">
        <v>3170.72</v>
      </c>
      <c r="C149" s="41">
        <v>3184.51</v>
      </c>
      <c r="D149" s="41">
        <v>3166.97</v>
      </c>
      <c r="E149" s="41">
        <v>3169.38</v>
      </c>
      <c r="F149" s="41">
        <v>3169.38</v>
      </c>
    </row>
    <row r="150" spans="1:6" x14ac:dyDescent="0.25">
      <c r="A150" s="40">
        <v>45495</v>
      </c>
      <c r="B150" s="41">
        <v>3155.43</v>
      </c>
      <c r="C150" s="41">
        <v>3173.29</v>
      </c>
      <c r="D150" s="41">
        <v>3148.32</v>
      </c>
      <c r="E150" s="41">
        <v>3170.97</v>
      </c>
      <c r="F150" s="41">
        <v>3170.97</v>
      </c>
    </row>
    <row r="151" spans="1:6" x14ac:dyDescent="0.25">
      <c r="A151" s="40">
        <v>45492</v>
      </c>
      <c r="B151" s="41">
        <v>3193.72</v>
      </c>
      <c r="C151" s="41">
        <v>3201.19</v>
      </c>
      <c r="D151" s="41">
        <v>3132.34</v>
      </c>
      <c r="E151" s="41">
        <v>3136.46</v>
      </c>
      <c r="F151" s="41">
        <v>3136.46</v>
      </c>
    </row>
    <row r="152" spans="1:6" x14ac:dyDescent="0.25">
      <c r="A152" s="40">
        <v>45491</v>
      </c>
      <c r="B152" s="41">
        <v>3193.72</v>
      </c>
      <c r="C152" s="41">
        <v>3201.19</v>
      </c>
      <c r="D152" s="41">
        <v>3145.05</v>
      </c>
      <c r="E152" s="41">
        <v>3156.92</v>
      </c>
      <c r="F152" s="41">
        <v>3156.92</v>
      </c>
    </row>
    <row r="153" spans="1:6" x14ac:dyDescent="0.25">
      <c r="A153" s="40">
        <v>45490</v>
      </c>
      <c r="B153" s="41">
        <v>3207.24</v>
      </c>
      <c r="C153" s="41">
        <v>3208.51</v>
      </c>
      <c r="D153" s="41">
        <v>3183.9</v>
      </c>
      <c r="E153" s="41">
        <v>3185.09</v>
      </c>
      <c r="F153" s="41">
        <v>3185.09</v>
      </c>
    </row>
    <row r="154" spans="1:6" x14ac:dyDescent="0.25">
      <c r="A154" s="40">
        <v>45489</v>
      </c>
      <c r="B154" s="41">
        <v>3210.96</v>
      </c>
      <c r="C154" s="41">
        <v>3231.96</v>
      </c>
      <c r="D154" s="41">
        <v>3210.96</v>
      </c>
      <c r="E154" s="41">
        <v>3230.62</v>
      </c>
      <c r="F154" s="41">
        <v>3230.62</v>
      </c>
    </row>
    <row r="155" spans="1:6" x14ac:dyDescent="0.25">
      <c r="A155" s="40">
        <v>45488</v>
      </c>
      <c r="B155" s="41">
        <v>3201.91</v>
      </c>
      <c r="C155" s="41">
        <v>3221.2</v>
      </c>
      <c r="D155" s="41">
        <v>3193.73</v>
      </c>
      <c r="E155" s="41">
        <v>3202.23</v>
      </c>
      <c r="F155" s="41">
        <v>3202.23</v>
      </c>
    </row>
    <row r="156" spans="1:6" x14ac:dyDescent="0.25">
      <c r="A156" s="40">
        <v>45485</v>
      </c>
      <c r="B156" s="41">
        <v>3174.41</v>
      </c>
      <c r="C156" s="41">
        <v>3210.86</v>
      </c>
      <c r="D156" s="41">
        <v>3174.41</v>
      </c>
      <c r="E156" s="41">
        <v>3189.67</v>
      </c>
      <c r="F156" s="41">
        <v>3189.67</v>
      </c>
    </row>
    <row r="157" spans="1:6" x14ac:dyDescent="0.25">
      <c r="A157" s="40">
        <v>45484</v>
      </c>
      <c r="B157" s="41">
        <v>3191.06</v>
      </c>
      <c r="C157" s="41">
        <v>3197.15</v>
      </c>
      <c r="D157" s="41">
        <v>3165.66</v>
      </c>
      <c r="E157" s="41">
        <v>3170.48</v>
      </c>
      <c r="F157" s="41">
        <v>3170.48</v>
      </c>
    </row>
    <row r="158" spans="1:6" x14ac:dyDescent="0.25">
      <c r="A158" s="40">
        <v>45483</v>
      </c>
      <c r="B158" s="41">
        <v>3160.76</v>
      </c>
      <c r="C158" s="41">
        <v>3186.22</v>
      </c>
      <c r="D158" s="41">
        <v>3158.68</v>
      </c>
      <c r="E158" s="41">
        <v>3185.57</v>
      </c>
      <c r="F158" s="41">
        <v>3185.57</v>
      </c>
    </row>
    <row r="159" spans="1:6" x14ac:dyDescent="0.25">
      <c r="A159" s="40">
        <v>45482</v>
      </c>
      <c r="B159" s="41">
        <v>3159.19</v>
      </c>
      <c r="C159" s="41">
        <v>3162.85</v>
      </c>
      <c r="D159" s="41">
        <v>3153.46</v>
      </c>
      <c r="E159" s="41">
        <v>3154.29</v>
      </c>
      <c r="F159" s="41">
        <v>3154.29</v>
      </c>
    </row>
    <row r="160" spans="1:6" x14ac:dyDescent="0.25">
      <c r="A160" s="40">
        <v>45481</v>
      </c>
      <c r="B160" s="41">
        <v>3154.98</v>
      </c>
      <c r="C160" s="41">
        <v>3160.09</v>
      </c>
      <c r="D160" s="41">
        <v>3148.89</v>
      </c>
      <c r="E160" s="41">
        <v>3154.4</v>
      </c>
      <c r="F160" s="41">
        <v>3154.4</v>
      </c>
    </row>
    <row r="161" spans="1:6" x14ac:dyDescent="0.25">
      <c r="A161" s="40">
        <v>45478</v>
      </c>
      <c r="B161" s="41">
        <v>3136.58</v>
      </c>
      <c r="C161" s="41">
        <v>3152.3</v>
      </c>
      <c r="D161" s="41">
        <v>3132.38</v>
      </c>
      <c r="E161" s="41">
        <v>3150.55</v>
      </c>
      <c r="F161" s="41">
        <v>3150.55</v>
      </c>
    </row>
    <row r="162" spans="1:6" x14ac:dyDescent="0.25">
      <c r="A162" s="40">
        <v>45476</v>
      </c>
      <c r="B162" s="41">
        <v>3132.9</v>
      </c>
      <c r="C162" s="41">
        <v>3137.85</v>
      </c>
      <c r="D162" s="41">
        <v>3122.15</v>
      </c>
      <c r="E162" s="41">
        <v>3136.65</v>
      </c>
      <c r="F162" s="41">
        <v>3136.65</v>
      </c>
    </row>
    <row r="163" spans="1:6" x14ac:dyDescent="0.25">
      <c r="A163" s="40">
        <v>45475</v>
      </c>
      <c r="B163" s="41">
        <v>3097.77</v>
      </c>
      <c r="C163" s="41">
        <v>3122.24</v>
      </c>
      <c r="D163" s="41">
        <v>3096.31</v>
      </c>
      <c r="E163" s="41">
        <v>3121.87</v>
      </c>
      <c r="F163" s="41">
        <v>3121.87</v>
      </c>
    </row>
    <row r="164" spans="1:6" x14ac:dyDescent="0.25">
      <c r="A164" s="40">
        <v>45474</v>
      </c>
      <c r="B164" s="41">
        <v>3106.57</v>
      </c>
      <c r="C164" s="41">
        <v>3109.76</v>
      </c>
      <c r="D164" s="41">
        <v>3089.73</v>
      </c>
      <c r="E164" s="41">
        <v>3104.09</v>
      </c>
      <c r="F164" s="41">
        <v>3104.09</v>
      </c>
    </row>
    <row r="165" spans="1:6" x14ac:dyDescent="0.25">
      <c r="A165" s="40">
        <v>45471</v>
      </c>
      <c r="B165" s="41">
        <v>3114.46</v>
      </c>
      <c r="C165" s="41">
        <v>3131.51</v>
      </c>
      <c r="D165" s="41">
        <v>3092.69</v>
      </c>
      <c r="E165" s="41">
        <v>3099.16</v>
      </c>
      <c r="F165" s="41">
        <v>3099.16</v>
      </c>
    </row>
    <row r="166" spans="1:6" x14ac:dyDescent="0.25">
      <c r="A166" s="40">
        <v>45470</v>
      </c>
      <c r="B166" s="41">
        <v>3102.9</v>
      </c>
      <c r="C166" s="41">
        <v>3111.22</v>
      </c>
      <c r="D166" s="41">
        <v>3099.47</v>
      </c>
      <c r="E166" s="41">
        <v>3108.98</v>
      </c>
      <c r="F166" s="41">
        <v>3108.98</v>
      </c>
    </row>
    <row r="167" spans="1:6" x14ac:dyDescent="0.25">
      <c r="A167" s="40">
        <v>45469</v>
      </c>
      <c r="B167" s="41">
        <v>3092.55</v>
      </c>
      <c r="C167" s="41">
        <v>3106.45</v>
      </c>
      <c r="D167" s="41">
        <v>3090.24</v>
      </c>
      <c r="E167" s="41">
        <v>3103.86</v>
      </c>
      <c r="F167" s="41">
        <v>3103.86</v>
      </c>
    </row>
    <row r="168" spans="1:6" x14ac:dyDescent="0.25">
      <c r="A168" s="40">
        <v>45468</v>
      </c>
      <c r="B168" s="41">
        <v>3096.24</v>
      </c>
      <c r="C168" s="41">
        <v>3101.92</v>
      </c>
      <c r="D168" s="41">
        <v>3087.9</v>
      </c>
      <c r="E168" s="41">
        <v>3100.13</v>
      </c>
      <c r="F168" s="41">
        <v>3100.13</v>
      </c>
    </row>
    <row r="169" spans="1:6" x14ac:dyDescent="0.25">
      <c r="A169" s="40">
        <v>45467</v>
      </c>
      <c r="B169" s="41">
        <v>3096.19</v>
      </c>
      <c r="C169" s="41">
        <v>3113.52</v>
      </c>
      <c r="D169" s="41">
        <v>3091.47</v>
      </c>
      <c r="E169" s="41">
        <v>3091.5</v>
      </c>
      <c r="F169" s="41">
        <v>3091.5</v>
      </c>
    </row>
    <row r="170" spans="1:6" x14ac:dyDescent="0.25">
      <c r="A170" s="40">
        <v>45464</v>
      </c>
      <c r="B170" s="41">
        <v>3097.23</v>
      </c>
      <c r="C170" s="41">
        <v>3102.74</v>
      </c>
      <c r="D170" s="41">
        <v>3088.97</v>
      </c>
      <c r="E170" s="41">
        <v>3097.6</v>
      </c>
      <c r="F170" s="41">
        <v>3097.6</v>
      </c>
    </row>
    <row r="171" spans="1:6" x14ac:dyDescent="0.25">
      <c r="A171" s="40">
        <v>45463</v>
      </c>
      <c r="B171" s="41">
        <v>3112.52</v>
      </c>
      <c r="C171" s="41">
        <v>3117.51</v>
      </c>
      <c r="D171" s="41">
        <v>3091.24</v>
      </c>
      <c r="E171" s="41">
        <v>3100.7</v>
      </c>
      <c r="F171" s="41">
        <v>3100.7</v>
      </c>
    </row>
    <row r="172" spans="1:6" x14ac:dyDescent="0.25">
      <c r="A172" s="40">
        <v>45461</v>
      </c>
      <c r="B172" s="41">
        <v>3101.01</v>
      </c>
      <c r="C172" s="41">
        <v>3110.17</v>
      </c>
      <c r="D172" s="41">
        <v>3099.93</v>
      </c>
      <c r="E172" s="41">
        <v>3108.07</v>
      </c>
      <c r="F172" s="41">
        <v>3108.07</v>
      </c>
    </row>
    <row r="173" spans="1:6" x14ac:dyDescent="0.25">
      <c r="A173" s="40">
        <v>45460</v>
      </c>
      <c r="B173" s="41">
        <v>3076.47</v>
      </c>
      <c r="C173" s="41">
        <v>3108.56</v>
      </c>
      <c r="D173" s="41">
        <v>3070.91</v>
      </c>
      <c r="E173" s="41">
        <v>3100.91</v>
      </c>
      <c r="F173" s="41">
        <v>3100.91</v>
      </c>
    </row>
    <row r="174" spans="1:6" x14ac:dyDescent="0.25">
      <c r="A174" s="40">
        <v>45457</v>
      </c>
      <c r="B174" s="41">
        <v>3073.69</v>
      </c>
      <c r="C174" s="41">
        <v>3078.04</v>
      </c>
      <c r="D174" s="41">
        <v>3062.53</v>
      </c>
      <c r="E174" s="41">
        <v>3077.7</v>
      </c>
      <c r="F174" s="41">
        <v>3077.7</v>
      </c>
    </row>
    <row r="175" spans="1:6" x14ac:dyDescent="0.25">
      <c r="A175" s="40">
        <v>45456</v>
      </c>
      <c r="B175" s="41">
        <v>3083.98</v>
      </c>
      <c r="C175" s="41">
        <v>3088.19</v>
      </c>
      <c r="D175" s="41">
        <v>3066.1</v>
      </c>
      <c r="E175" s="41">
        <v>3083.27</v>
      </c>
      <c r="F175" s="41">
        <v>3083.27</v>
      </c>
    </row>
    <row r="176" spans="1:6" x14ac:dyDescent="0.25">
      <c r="A176" s="40">
        <v>45455</v>
      </c>
      <c r="B176" s="41">
        <v>3075.78</v>
      </c>
      <c r="C176" s="41">
        <v>3097.49</v>
      </c>
      <c r="D176" s="41">
        <v>3075.01</v>
      </c>
      <c r="E176" s="41">
        <v>3081.05</v>
      </c>
      <c r="F176" s="41">
        <v>3081.05</v>
      </c>
    </row>
    <row r="177" spans="1:6" x14ac:dyDescent="0.25">
      <c r="A177" s="40">
        <v>45454</v>
      </c>
      <c r="B177" s="41">
        <v>3041.23</v>
      </c>
      <c r="C177" s="41">
        <v>3053.35</v>
      </c>
      <c r="D177" s="41">
        <v>3026.05</v>
      </c>
      <c r="E177" s="41">
        <v>3053.03</v>
      </c>
      <c r="F177" s="41">
        <v>3053.03</v>
      </c>
    </row>
    <row r="178" spans="1:6" x14ac:dyDescent="0.25">
      <c r="A178" s="40">
        <v>45453</v>
      </c>
      <c r="B178" s="41">
        <v>3031.58</v>
      </c>
      <c r="C178" s="41">
        <v>3049.24</v>
      </c>
      <c r="D178" s="41">
        <v>3028.76</v>
      </c>
      <c r="E178" s="41">
        <v>3046.64</v>
      </c>
      <c r="F178" s="41">
        <v>3046.64</v>
      </c>
    </row>
    <row r="179" spans="1:6" x14ac:dyDescent="0.25">
      <c r="A179" s="40">
        <v>45450</v>
      </c>
      <c r="B179" s="41">
        <v>3036.13</v>
      </c>
      <c r="C179" s="41">
        <v>3052.94</v>
      </c>
      <c r="D179" s="41">
        <v>3030.54</v>
      </c>
      <c r="E179" s="41">
        <v>3037.92</v>
      </c>
      <c r="F179" s="41">
        <v>3037.92</v>
      </c>
    </row>
    <row r="180" spans="1:6" x14ac:dyDescent="0.25">
      <c r="A180" s="40">
        <v>45449</v>
      </c>
      <c r="B180" s="41">
        <v>3047.49</v>
      </c>
      <c r="C180" s="41">
        <v>3050.38</v>
      </c>
      <c r="D180" s="41">
        <v>3035.68</v>
      </c>
      <c r="E180" s="41">
        <v>3044.47</v>
      </c>
      <c r="F180" s="41">
        <v>3044.47</v>
      </c>
    </row>
    <row r="181" spans="1:6" x14ac:dyDescent="0.25">
      <c r="A181" s="40">
        <v>45448</v>
      </c>
      <c r="B181" s="41">
        <v>3021.52</v>
      </c>
      <c r="C181" s="41">
        <v>3046.59</v>
      </c>
      <c r="D181" s="41">
        <v>3014.8</v>
      </c>
      <c r="E181" s="41">
        <v>3046.47</v>
      </c>
      <c r="F181" s="41">
        <v>3046.47</v>
      </c>
    </row>
    <row r="182" spans="1:6" x14ac:dyDescent="0.25">
      <c r="A182" s="40">
        <v>45447</v>
      </c>
      <c r="B182" s="41">
        <v>3007.41</v>
      </c>
      <c r="C182" s="41">
        <v>3015.11</v>
      </c>
      <c r="D182" s="41">
        <v>2993.7</v>
      </c>
      <c r="E182" s="41">
        <v>3010.35</v>
      </c>
      <c r="F182" s="41">
        <v>3010.35</v>
      </c>
    </row>
    <row r="183" spans="1:6" x14ac:dyDescent="0.25">
      <c r="A183" s="40">
        <v>45446</v>
      </c>
      <c r="B183" s="41">
        <v>3020.77</v>
      </c>
      <c r="C183" s="41">
        <v>3023.66</v>
      </c>
      <c r="D183" s="41">
        <v>2984.07</v>
      </c>
      <c r="E183" s="41">
        <v>3010.57</v>
      </c>
      <c r="F183" s="41">
        <v>3010.57</v>
      </c>
    </row>
    <row r="184" spans="1:6" x14ac:dyDescent="0.25">
      <c r="A184" s="40">
        <v>45443</v>
      </c>
      <c r="B184" s="41">
        <v>2989.22</v>
      </c>
      <c r="C184" s="41">
        <v>3011.68</v>
      </c>
      <c r="D184" s="41">
        <v>2962.49</v>
      </c>
      <c r="E184" s="41">
        <v>3009.72</v>
      </c>
      <c r="F184" s="41">
        <v>3009.72</v>
      </c>
    </row>
    <row r="185" spans="1:6" x14ac:dyDescent="0.25">
      <c r="A185" s="40">
        <v>45442</v>
      </c>
      <c r="B185" s="41">
        <v>3001.31</v>
      </c>
      <c r="C185" s="41">
        <v>3001.31</v>
      </c>
      <c r="D185" s="41">
        <v>2979.74</v>
      </c>
      <c r="E185" s="41">
        <v>2987.28</v>
      </c>
      <c r="F185" s="41">
        <v>2987.28</v>
      </c>
    </row>
    <row r="186" spans="1:6" x14ac:dyDescent="0.25">
      <c r="A186" s="40">
        <v>45441</v>
      </c>
      <c r="B186" s="41">
        <v>3013.94</v>
      </c>
      <c r="C186" s="41">
        <v>3013.94</v>
      </c>
      <c r="D186" s="41">
        <v>2998.97</v>
      </c>
      <c r="E186" s="41">
        <v>3000.81</v>
      </c>
      <c r="F186" s="41">
        <v>3000.81</v>
      </c>
    </row>
    <row r="187" spans="1:6" x14ac:dyDescent="0.25">
      <c r="A187" s="40">
        <v>45440</v>
      </c>
      <c r="B187" s="41">
        <v>3033.5</v>
      </c>
      <c r="C187" s="41">
        <v>3033.5</v>
      </c>
      <c r="D187" s="41">
        <v>3011.55</v>
      </c>
      <c r="E187" s="41">
        <v>3025.04</v>
      </c>
      <c r="F187" s="41">
        <v>3025.04</v>
      </c>
    </row>
    <row r="188" spans="1:6" x14ac:dyDescent="0.25">
      <c r="A188" s="40">
        <v>45436</v>
      </c>
      <c r="B188" s="41">
        <v>3014.39</v>
      </c>
      <c r="C188" s="41">
        <v>3030.18</v>
      </c>
      <c r="D188" s="41">
        <v>3011.49</v>
      </c>
      <c r="E188" s="41">
        <v>3026.65</v>
      </c>
      <c r="F188" s="41">
        <v>3026.65</v>
      </c>
    </row>
    <row r="189" spans="1:6" x14ac:dyDescent="0.25">
      <c r="A189" s="40">
        <v>45435</v>
      </c>
      <c r="B189" s="41">
        <v>3038.34</v>
      </c>
      <c r="C189" s="41">
        <v>3048.94</v>
      </c>
      <c r="D189" s="41">
        <v>2999.22</v>
      </c>
      <c r="E189" s="41">
        <v>3005.1</v>
      </c>
      <c r="F189" s="41">
        <v>3005.1</v>
      </c>
    </row>
    <row r="190" spans="1:6" x14ac:dyDescent="0.25">
      <c r="A190" s="40">
        <v>45434</v>
      </c>
      <c r="B190" s="41">
        <v>3039.34</v>
      </c>
      <c r="C190" s="41">
        <v>3041.21</v>
      </c>
      <c r="D190" s="41">
        <v>3019.47</v>
      </c>
      <c r="E190" s="41">
        <v>3030.8</v>
      </c>
      <c r="F190" s="41">
        <v>3030.8</v>
      </c>
    </row>
    <row r="191" spans="1:6" x14ac:dyDescent="0.25">
      <c r="A191" s="40">
        <v>45433</v>
      </c>
      <c r="B191" s="41">
        <v>3031.89</v>
      </c>
      <c r="C191" s="41">
        <v>3042.08</v>
      </c>
      <c r="D191" s="41">
        <v>3029.03</v>
      </c>
      <c r="E191" s="41">
        <v>3040.97</v>
      </c>
      <c r="F191" s="41">
        <v>3040.97</v>
      </c>
    </row>
    <row r="192" spans="1:6" x14ac:dyDescent="0.25">
      <c r="A192" s="40">
        <v>45432</v>
      </c>
      <c r="B192" s="41">
        <v>3032.74</v>
      </c>
      <c r="C192" s="41">
        <v>3044.57</v>
      </c>
      <c r="D192" s="41">
        <v>3032.57</v>
      </c>
      <c r="E192" s="41">
        <v>3035.51</v>
      </c>
      <c r="F192" s="41">
        <v>3035.51</v>
      </c>
    </row>
    <row r="193" spans="1:6" x14ac:dyDescent="0.25">
      <c r="A193" s="40">
        <v>45429</v>
      </c>
      <c r="B193" s="41">
        <v>3034.34</v>
      </c>
      <c r="C193" s="41">
        <v>3034.34</v>
      </c>
      <c r="D193" s="41">
        <v>3021.25</v>
      </c>
      <c r="E193" s="41">
        <v>3031.99</v>
      </c>
      <c r="F193" s="41">
        <v>3031.99</v>
      </c>
    </row>
    <row r="194" spans="1:6" x14ac:dyDescent="0.25">
      <c r="A194" s="40">
        <v>45428</v>
      </c>
      <c r="B194" s="41">
        <v>3036.06</v>
      </c>
      <c r="C194" s="41">
        <v>3044.04</v>
      </c>
      <c r="D194" s="41">
        <v>3027.98</v>
      </c>
      <c r="E194" s="41">
        <v>3028.46</v>
      </c>
      <c r="F194" s="41">
        <v>3028.46</v>
      </c>
    </row>
    <row r="195" spans="1:6" x14ac:dyDescent="0.25">
      <c r="A195" s="40">
        <v>45427</v>
      </c>
      <c r="B195" s="41">
        <v>3013.86</v>
      </c>
      <c r="C195" s="41">
        <v>3038.47</v>
      </c>
      <c r="D195" s="41">
        <v>3012.7</v>
      </c>
      <c r="E195" s="41">
        <v>3036.64</v>
      </c>
      <c r="F195" s="41">
        <v>3036.64</v>
      </c>
    </row>
    <row r="196" spans="1:6" x14ac:dyDescent="0.25">
      <c r="A196" s="40">
        <v>45426</v>
      </c>
      <c r="B196" s="41">
        <v>2987.64</v>
      </c>
      <c r="C196" s="41">
        <v>3003.82</v>
      </c>
      <c r="D196" s="41">
        <v>2985.82</v>
      </c>
      <c r="E196" s="41">
        <v>3001.96</v>
      </c>
      <c r="F196" s="41">
        <v>3001.96</v>
      </c>
    </row>
    <row r="197" spans="1:6" x14ac:dyDescent="0.25">
      <c r="A197" s="40">
        <v>45425</v>
      </c>
      <c r="B197" s="41">
        <v>2994.71</v>
      </c>
      <c r="C197" s="41">
        <v>2995.39</v>
      </c>
      <c r="D197" s="41">
        <v>2981.32</v>
      </c>
      <c r="E197" s="41">
        <v>2985.57</v>
      </c>
      <c r="F197" s="41">
        <v>2985.57</v>
      </c>
    </row>
    <row r="198" spans="1:6" x14ac:dyDescent="0.25">
      <c r="A198" s="40">
        <v>45422</v>
      </c>
      <c r="B198" s="41">
        <v>2989.82</v>
      </c>
      <c r="C198" s="41">
        <v>2996.93</v>
      </c>
      <c r="D198" s="41">
        <v>2979.59</v>
      </c>
      <c r="E198" s="41">
        <v>2986.25</v>
      </c>
      <c r="F198" s="41">
        <v>2986.25</v>
      </c>
    </row>
    <row r="199" spans="1:6" x14ac:dyDescent="0.25">
      <c r="A199" s="40">
        <v>45421</v>
      </c>
      <c r="B199" s="41">
        <v>2967.16</v>
      </c>
      <c r="C199" s="41">
        <v>2983.82</v>
      </c>
      <c r="D199" s="41">
        <v>2962.85</v>
      </c>
      <c r="E199" s="41">
        <v>2983.3</v>
      </c>
      <c r="F199" s="41">
        <v>2983.3</v>
      </c>
    </row>
    <row r="200" spans="1:6" x14ac:dyDescent="0.25">
      <c r="A200" s="40">
        <v>45420</v>
      </c>
      <c r="B200" s="41">
        <v>2959.89</v>
      </c>
      <c r="C200" s="41">
        <v>2968.79</v>
      </c>
      <c r="D200" s="41">
        <v>2955.5</v>
      </c>
      <c r="E200" s="41">
        <v>2966.73</v>
      </c>
      <c r="F200" s="41">
        <v>2966.73</v>
      </c>
    </row>
    <row r="201" spans="1:6" x14ac:dyDescent="0.25">
      <c r="A201" s="40">
        <v>45419</v>
      </c>
      <c r="B201" s="41">
        <v>2970.39</v>
      </c>
      <c r="C201" s="41">
        <v>2976.61</v>
      </c>
      <c r="D201" s="41">
        <v>2965.04</v>
      </c>
      <c r="E201" s="41">
        <v>2968.68</v>
      </c>
      <c r="F201" s="41">
        <v>2968.68</v>
      </c>
    </row>
    <row r="202" spans="1:6" x14ac:dyDescent="0.25">
      <c r="A202" s="40">
        <v>45418</v>
      </c>
      <c r="B202" s="41">
        <v>2944.98</v>
      </c>
      <c r="C202" s="41">
        <v>2965.87</v>
      </c>
      <c r="D202" s="41">
        <v>2944.98</v>
      </c>
      <c r="E202" s="41">
        <v>2965.8</v>
      </c>
      <c r="F202" s="41">
        <v>2965.8</v>
      </c>
    </row>
    <row r="203" spans="1:6" x14ac:dyDescent="0.25">
      <c r="A203" s="40">
        <v>45415</v>
      </c>
      <c r="B203" s="41">
        <v>2930.14</v>
      </c>
      <c r="C203" s="41">
        <v>2942.7</v>
      </c>
      <c r="D203" s="41">
        <v>2920.37</v>
      </c>
      <c r="E203" s="41">
        <v>2934.08</v>
      </c>
      <c r="F203" s="41">
        <v>2934.08</v>
      </c>
    </row>
    <row r="204" spans="1:6" x14ac:dyDescent="0.25">
      <c r="A204" s="40">
        <v>45414</v>
      </c>
      <c r="B204" s="41">
        <v>2890.31</v>
      </c>
      <c r="C204" s="41">
        <v>2904.13</v>
      </c>
      <c r="D204" s="41">
        <v>2868.1</v>
      </c>
      <c r="E204" s="41">
        <v>2899.54</v>
      </c>
      <c r="F204" s="41">
        <v>2899.54</v>
      </c>
    </row>
    <row r="205" spans="1:6" x14ac:dyDescent="0.25">
      <c r="A205" s="40">
        <v>45413</v>
      </c>
      <c r="B205" s="41">
        <v>2875.5</v>
      </c>
      <c r="C205" s="41">
        <v>2915.96</v>
      </c>
      <c r="D205" s="41">
        <v>2866.99</v>
      </c>
      <c r="E205" s="41">
        <v>2871.2</v>
      </c>
      <c r="F205" s="41">
        <v>2871.2</v>
      </c>
    </row>
    <row r="206" spans="1:6" x14ac:dyDescent="0.25">
      <c r="A206" s="40">
        <v>45412</v>
      </c>
      <c r="B206" s="41">
        <v>2916.18</v>
      </c>
      <c r="C206" s="41">
        <v>2920.9</v>
      </c>
      <c r="D206" s="41">
        <v>2877.94</v>
      </c>
      <c r="E206" s="41">
        <v>2878.12</v>
      </c>
      <c r="F206" s="41">
        <v>2878.12</v>
      </c>
    </row>
    <row r="207" spans="1:6" x14ac:dyDescent="0.25">
      <c r="A207" s="40">
        <v>45411</v>
      </c>
      <c r="B207" s="41">
        <v>2921.44</v>
      </c>
      <c r="C207" s="41">
        <v>2929.45</v>
      </c>
      <c r="D207" s="41">
        <v>2911.17</v>
      </c>
      <c r="E207" s="41">
        <v>2925.99</v>
      </c>
      <c r="F207" s="41">
        <v>2925.99</v>
      </c>
    </row>
    <row r="208" spans="1:6" x14ac:dyDescent="0.25">
      <c r="A208" s="40">
        <v>45408</v>
      </c>
      <c r="B208" s="41">
        <v>2893.8</v>
      </c>
      <c r="C208" s="41">
        <v>2924.17</v>
      </c>
      <c r="D208" s="41">
        <v>2893.8</v>
      </c>
      <c r="E208" s="41">
        <v>2916.2</v>
      </c>
      <c r="F208" s="41">
        <v>2916.2</v>
      </c>
    </row>
    <row r="209" spans="1:6" x14ac:dyDescent="0.25">
      <c r="A209" s="40">
        <v>45407</v>
      </c>
      <c r="B209" s="41">
        <v>2889.46</v>
      </c>
      <c r="C209" s="41">
        <v>2893.38</v>
      </c>
      <c r="D209" s="41">
        <v>2854.91</v>
      </c>
      <c r="E209" s="41">
        <v>2888.01</v>
      </c>
      <c r="F209" s="41">
        <v>2888.01</v>
      </c>
    </row>
    <row r="210" spans="1:6" x14ac:dyDescent="0.25">
      <c r="A210" s="40">
        <v>45406</v>
      </c>
      <c r="B210" s="41">
        <v>2906.09</v>
      </c>
      <c r="C210" s="41">
        <v>2912.23</v>
      </c>
      <c r="D210" s="41">
        <v>2887.52</v>
      </c>
      <c r="E210" s="41">
        <v>2901.83</v>
      </c>
      <c r="F210" s="41">
        <v>2901.83</v>
      </c>
    </row>
    <row r="211" spans="1:6" x14ac:dyDescent="0.25">
      <c r="A211" s="40">
        <v>45405</v>
      </c>
      <c r="B211" s="41">
        <v>2874.25</v>
      </c>
      <c r="C211" s="41">
        <v>2906.07</v>
      </c>
      <c r="D211" s="41">
        <v>2874.25</v>
      </c>
      <c r="E211" s="41">
        <v>2902.14</v>
      </c>
      <c r="F211" s="41">
        <v>2902.14</v>
      </c>
    </row>
    <row r="212" spans="1:6" x14ac:dyDescent="0.25">
      <c r="A212" s="40">
        <v>45404</v>
      </c>
      <c r="B212" s="41">
        <v>2848.26</v>
      </c>
      <c r="C212" s="41">
        <v>2881.6</v>
      </c>
      <c r="D212" s="41">
        <v>2841.94</v>
      </c>
      <c r="E212" s="41">
        <v>2865.61</v>
      </c>
      <c r="F212" s="41">
        <v>2865.61</v>
      </c>
    </row>
    <row r="213" spans="1:6" x14ac:dyDescent="0.25">
      <c r="A213" s="40">
        <v>45401</v>
      </c>
      <c r="B213" s="41">
        <v>2860.72</v>
      </c>
      <c r="C213" s="41">
        <v>2867.04</v>
      </c>
      <c r="D213" s="41">
        <v>2832.5</v>
      </c>
      <c r="E213" s="41">
        <v>2840.52</v>
      </c>
      <c r="F213" s="41">
        <v>2840.52</v>
      </c>
    </row>
    <row r="214" spans="1:6" x14ac:dyDescent="0.25">
      <c r="A214" s="40">
        <v>45400</v>
      </c>
      <c r="B214" s="41">
        <v>2873.2</v>
      </c>
      <c r="C214" s="41">
        <v>2888.88</v>
      </c>
      <c r="D214" s="41">
        <v>2857.29</v>
      </c>
      <c r="E214" s="41">
        <v>2861.95</v>
      </c>
      <c r="F214" s="41">
        <v>2861.95</v>
      </c>
    </row>
    <row r="215" spans="1:6" x14ac:dyDescent="0.25">
      <c r="A215" s="40">
        <v>45399</v>
      </c>
      <c r="B215" s="41">
        <v>2896.26</v>
      </c>
      <c r="C215" s="41">
        <v>2900.91</v>
      </c>
      <c r="D215" s="41">
        <v>2860.99</v>
      </c>
      <c r="E215" s="41">
        <v>2868.18</v>
      </c>
      <c r="F215" s="41">
        <v>2868.18</v>
      </c>
    </row>
    <row r="216" spans="1:6" x14ac:dyDescent="0.25">
      <c r="A216" s="40">
        <v>45398</v>
      </c>
      <c r="B216" s="41">
        <v>2890.39</v>
      </c>
      <c r="C216" s="41">
        <v>2901.13</v>
      </c>
      <c r="D216" s="41">
        <v>2878.75</v>
      </c>
      <c r="E216" s="41">
        <v>2885.76</v>
      </c>
      <c r="F216" s="41">
        <v>2885.76</v>
      </c>
    </row>
    <row r="217" spans="1:6" x14ac:dyDescent="0.25">
      <c r="A217" s="40">
        <v>45397</v>
      </c>
      <c r="B217" s="41">
        <v>2944.42</v>
      </c>
      <c r="C217" s="41">
        <v>2954.66</v>
      </c>
      <c r="D217" s="41">
        <v>2887.25</v>
      </c>
      <c r="E217" s="41">
        <v>2892.64</v>
      </c>
      <c r="F217" s="41">
        <v>2892.64</v>
      </c>
    </row>
    <row r="218" spans="1:6" x14ac:dyDescent="0.25">
      <c r="A218" s="40">
        <v>45394</v>
      </c>
      <c r="B218" s="41">
        <v>2960.28</v>
      </c>
      <c r="C218" s="41">
        <v>2960.28</v>
      </c>
      <c r="D218" s="41">
        <v>2920.8</v>
      </c>
      <c r="E218" s="41">
        <v>2929.53</v>
      </c>
      <c r="F218" s="41">
        <v>2929.53</v>
      </c>
    </row>
    <row r="219" spans="1:6" x14ac:dyDescent="0.25">
      <c r="A219" s="40">
        <v>45393</v>
      </c>
      <c r="B219" s="41">
        <v>2961.61</v>
      </c>
      <c r="C219" s="41">
        <v>2980.81</v>
      </c>
      <c r="D219" s="41">
        <v>2941.31</v>
      </c>
      <c r="E219" s="41">
        <v>2974.09</v>
      </c>
      <c r="F219" s="41">
        <v>2974.09</v>
      </c>
    </row>
    <row r="220" spans="1:6" x14ac:dyDescent="0.25">
      <c r="A220" s="40">
        <v>45392</v>
      </c>
      <c r="B220" s="41">
        <v>2960.22</v>
      </c>
      <c r="C220" s="41">
        <v>2964.48</v>
      </c>
      <c r="D220" s="41">
        <v>2941.61</v>
      </c>
      <c r="E220" s="41">
        <v>2953.42</v>
      </c>
      <c r="F220" s="41">
        <v>2953.42</v>
      </c>
    </row>
    <row r="221" spans="1:6" x14ac:dyDescent="0.25">
      <c r="A221" s="40">
        <v>45391</v>
      </c>
      <c r="B221" s="41">
        <v>2990.92</v>
      </c>
      <c r="C221" s="41">
        <v>2993.11</v>
      </c>
      <c r="D221" s="41">
        <v>2958.42</v>
      </c>
      <c r="E221" s="41">
        <v>2985.5</v>
      </c>
      <c r="F221" s="41">
        <v>2985.5</v>
      </c>
    </row>
    <row r="222" spans="1:6" x14ac:dyDescent="0.25">
      <c r="A222" s="40">
        <v>45390</v>
      </c>
      <c r="B222" s="41">
        <v>2984.6</v>
      </c>
      <c r="C222" s="41">
        <v>2989.59</v>
      </c>
      <c r="D222" s="41">
        <v>2978.29</v>
      </c>
      <c r="E222" s="41">
        <v>2981.06</v>
      </c>
      <c r="F222" s="41">
        <v>2981.06</v>
      </c>
    </row>
    <row r="223" spans="1:6" x14ac:dyDescent="0.25">
      <c r="A223" s="40">
        <v>45387</v>
      </c>
      <c r="B223" s="41">
        <v>2949.58</v>
      </c>
      <c r="C223" s="41">
        <v>2990.11</v>
      </c>
      <c r="D223" s="41">
        <v>2949.58</v>
      </c>
      <c r="E223" s="41">
        <v>2980.07</v>
      </c>
      <c r="F223" s="41">
        <v>2980.07</v>
      </c>
    </row>
    <row r="224" spans="1:6" x14ac:dyDescent="0.25">
      <c r="A224" s="40">
        <v>45386</v>
      </c>
      <c r="B224" s="41">
        <v>2998.07</v>
      </c>
      <c r="C224" s="41">
        <v>3010.44</v>
      </c>
      <c r="D224" s="41">
        <v>2947.64</v>
      </c>
      <c r="E224" s="41">
        <v>2948.25</v>
      </c>
      <c r="F224" s="41">
        <v>2948.25</v>
      </c>
    </row>
    <row r="225" spans="1:6" x14ac:dyDescent="0.25">
      <c r="A225" s="40">
        <v>45385</v>
      </c>
      <c r="B225" s="41">
        <v>2975.25</v>
      </c>
      <c r="C225" s="41">
        <v>2993.35</v>
      </c>
      <c r="D225" s="41">
        <v>2973.48</v>
      </c>
      <c r="E225" s="41">
        <v>2984.22</v>
      </c>
      <c r="F225" s="41">
        <v>2984.22</v>
      </c>
    </row>
    <row r="226" spans="1:6" x14ac:dyDescent="0.25">
      <c r="A226" s="40">
        <v>45384</v>
      </c>
      <c r="B226" s="41">
        <v>2989.07</v>
      </c>
      <c r="C226" s="41">
        <v>2989.07</v>
      </c>
      <c r="D226" s="41">
        <v>2968.38</v>
      </c>
      <c r="E226" s="41">
        <v>2979.71</v>
      </c>
      <c r="F226" s="41">
        <v>2979.71</v>
      </c>
    </row>
    <row r="227" spans="1:6" x14ac:dyDescent="0.25">
      <c r="A227" s="40">
        <v>45383</v>
      </c>
      <c r="B227" s="41">
        <v>3014.57</v>
      </c>
      <c r="C227" s="41">
        <v>3016.66</v>
      </c>
      <c r="D227" s="41">
        <v>2996.93</v>
      </c>
      <c r="E227" s="41">
        <v>3004.22</v>
      </c>
      <c r="F227" s="41">
        <v>3004.22</v>
      </c>
    </row>
    <row r="228" spans="1:6" x14ac:dyDescent="0.25">
      <c r="A228" s="40">
        <v>45379</v>
      </c>
      <c r="B228" s="41">
        <v>3008.75</v>
      </c>
      <c r="C228" s="41">
        <v>3018.15</v>
      </c>
      <c r="D228" s="41">
        <v>3008.59</v>
      </c>
      <c r="E228" s="41">
        <v>3012.9</v>
      </c>
      <c r="F228" s="41">
        <v>3012.9</v>
      </c>
    </row>
    <row r="229" spans="1:6" x14ac:dyDescent="0.25">
      <c r="A229" s="40">
        <v>45378</v>
      </c>
      <c r="B229" s="41">
        <v>2990.11</v>
      </c>
      <c r="C229" s="41">
        <v>3009.53</v>
      </c>
      <c r="D229" s="41">
        <v>2988.79</v>
      </c>
      <c r="E229" s="41">
        <v>3008.75</v>
      </c>
      <c r="F229" s="41">
        <v>3008.75</v>
      </c>
    </row>
    <row r="230" spans="1:6" x14ac:dyDescent="0.25">
      <c r="A230" s="40">
        <v>45377</v>
      </c>
      <c r="B230" s="41">
        <v>2992.13</v>
      </c>
      <c r="C230" s="41">
        <v>2998.58</v>
      </c>
      <c r="D230" s="41">
        <v>2980.58</v>
      </c>
      <c r="E230" s="41">
        <v>2980.68</v>
      </c>
      <c r="F230" s="41">
        <v>2980.68</v>
      </c>
    </row>
    <row r="231" spans="1:6" x14ac:dyDescent="0.25">
      <c r="A231" s="40">
        <v>45376</v>
      </c>
      <c r="B231" s="41">
        <v>2991.66</v>
      </c>
      <c r="C231" s="41">
        <v>2994.56</v>
      </c>
      <c r="D231" s="41">
        <v>2987.05</v>
      </c>
      <c r="E231" s="41">
        <v>2987.89</v>
      </c>
      <c r="F231" s="41">
        <v>2987.89</v>
      </c>
    </row>
    <row r="232" spans="1:6" x14ac:dyDescent="0.25">
      <c r="A232" s="40">
        <v>45373</v>
      </c>
      <c r="B232" s="41">
        <v>3004.46</v>
      </c>
      <c r="C232" s="41">
        <v>3004.46</v>
      </c>
      <c r="D232" s="41">
        <v>2993.53</v>
      </c>
      <c r="E232" s="41">
        <v>2995.59</v>
      </c>
      <c r="F232" s="41">
        <v>2995.59</v>
      </c>
    </row>
    <row r="233" spans="1:6" x14ac:dyDescent="0.25">
      <c r="A233" s="40">
        <v>45372</v>
      </c>
      <c r="B233" s="41">
        <v>3005.89</v>
      </c>
      <c r="C233" s="41">
        <v>3013.76</v>
      </c>
      <c r="D233" s="41">
        <v>3002.88</v>
      </c>
      <c r="E233" s="41">
        <v>3003.2</v>
      </c>
      <c r="F233" s="41">
        <v>3003.2</v>
      </c>
    </row>
    <row r="234" spans="1:6" x14ac:dyDescent="0.25">
      <c r="A234" s="40">
        <v>45371</v>
      </c>
      <c r="B234" s="41">
        <v>2962.4</v>
      </c>
      <c r="C234" s="41">
        <v>2992.69</v>
      </c>
      <c r="D234" s="41">
        <v>2958.37</v>
      </c>
      <c r="E234" s="41">
        <v>2991.29</v>
      </c>
      <c r="F234" s="41">
        <v>2991.29</v>
      </c>
    </row>
    <row r="235" spans="1:6" x14ac:dyDescent="0.25">
      <c r="A235" s="40">
        <v>45370</v>
      </c>
      <c r="B235" s="41">
        <v>2939</v>
      </c>
      <c r="C235" s="41">
        <v>2962.53</v>
      </c>
      <c r="D235" s="41">
        <v>2935</v>
      </c>
      <c r="E235" s="41">
        <v>2961.58</v>
      </c>
      <c r="F235" s="41">
        <v>2961.58</v>
      </c>
    </row>
    <row r="236" spans="1:6" x14ac:dyDescent="0.25">
      <c r="A236" s="40">
        <v>45369</v>
      </c>
      <c r="B236" s="41">
        <v>2949.84</v>
      </c>
      <c r="C236" s="41">
        <v>2958.58</v>
      </c>
      <c r="D236" s="41">
        <v>2942.98</v>
      </c>
      <c r="E236" s="41">
        <v>2944.94</v>
      </c>
      <c r="F236" s="41">
        <v>2944.94</v>
      </c>
    </row>
    <row r="237" spans="1:6" x14ac:dyDescent="0.25">
      <c r="A237" s="40">
        <v>45366</v>
      </c>
      <c r="B237" s="41">
        <v>2932.79</v>
      </c>
      <c r="C237" s="41">
        <v>2940.29</v>
      </c>
      <c r="D237" s="41">
        <v>2922.42</v>
      </c>
      <c r="E237" s="41">
        <v>2929.51</v>
      </c>
      <c r="F237" s="41">
        <v>2929.51</v>
      </c>
    </row>
    <row r="238" spans="1:6" x14ac:dyDescent="0.25">
      <c r="A238" s="40">
        <v>45365</v>
      </c>
      <c r="B238" s="41">
        <v>2962.85</v>
      </c>
      <c r="C238" s="41">
        <v>2964.28</v>
      </c>
      <c r="D238" s="41">
        <v>2930.29</v>
      </c>
      <c r="E238" s="41">
        <v>2946.21</v>
      </c>
      <c r="F238" s="41">
        <v>2946.21</v>
      </c>
    </row>
    <row r="239" spans="1:6" x14ac:dyDescent="0.25">
      <c r="A239" s="40">
        <v>45364</v>
      </c>
      <c r="B239" s="41">
        <v>2962.03</v>
      </c>
      <c r="C239" s="41">
        <v>2967.7</v>
      </c>
      <c r="D239" s="41">
        <v>2952.64</v>
      </c>
      <c r="E239" s="41">
        <v>2959.22</v>
      </c>
      <c r="F239" s="41">
        <v>2959.22</v>
      </c>
    </row>
    <row r="240" spans="1:6" x14ac:dyDescent="0.25">
      <c r="A240" s="40">
        <v>45363</v>
      </c>
      <c r="B240" s="41">
        <v>2942.59</v>
      </c>
      <c r="C240" s="41">
        <v>2965.56</v>
      </c>
      <c r="D240" s="41">
        <v>2930.57</v>
      </c>
      <c r="E240" s="41">
        <v>2962.99</v>
      </c>
      <c r="F240" s="41">
        <v>2962.99</v>
      </c>
    </row>
    <row r="241" spans="1:6" x14ac:dyDescent="0.25">
      <c r="A241" s="40">
        <v>45362</v>
      </c>
      <c r="B241" s="41">
        <v>2931.84</v>
      </c>
      <c r="C241" s="41">
        <v>2937.69</v>
      </c>
      <c r="D241" s="41">
        <v>2919.52</v>
      </c>
      <c r="E241" s="41">
        <v>2933.64</v>
      </c>
      <c r="F241" s="41">
        <v>2933.64</v>
      </c>
    </row>
    <row r="242" spans="1:6" x14ac:dyDescent="0.25">
      <c r="A242" s="40">
        <v>45359</v>
      </c>
      <c r="B242" s="41">
        <v>2958.69</v>
      </c>
      <c r="C242" s="41">
        <v>2976.51</v>
      </c>
      <c r="D242" s="41">
        <v>2934.97</v>
      </c>
      <c r="E242" s="41">
        <v>2938.63</v>
      </c>
      <c r="F242" s="41">
        <v>2938.63</v>
      </c>
    </row>
    <row r="243" spans="1:6" x14ac:dyDescent="0.25">
      <c r="A243" s="40">
        <v>45358</v>
      </c>
      <c r="B243" s="41">
        <v>2942.93</v>
      </c>
      <c r="C243" s="41">
        <v>2961.04</v>
      </c>
      <c r="D243" s="41">
        <v>2941.38</v>
      </c>
      <c r="E243" s="41">
        <v>2956.73</v>
      </c>
      <c r="F243" s="41">
        <v>2956.73</v>
      </c>
    </row>
    <row r="244" spans="1:6" x14ac:dyDescent="0.25">
      <c r="A244" s="40">
        <v>45357</v>
      </c>
      <c r="B244" s="41">
        <v>2926.15</v>
      </c>
      <c r="C244" s="41">
        <v>2940.03</v>
      </c>
      <c r="D244" s="41">
        <v>2919.87</v>
      </c>
      <c r="E244" s="41">
        <v>2927.43</v>
      </c>
      <c r="F244" s="41">
        <v>2927.43</v>
      </c>
    </row>
    <row r="245" spans="1:6" x14ac:dyDescent="0.25">
      <c r="A245" s="40">
        <v>45356</v>
      </c>
      <c r="B245" s="41">
        <v>2928.97</v>
      </c>
      <c r="C245" s="41">
        <v>2932.05</v>
      </c>
      <c r="D245" s="41">
        <v>2899.35</v>
      </c>
      <c r="E245" s="41">
        <v>2911.19</v>
      </c>
      <c r="F245" s="41">
        <v>2911.19</v>
      </c>
    </row>
    <row r="246" spans="1:6" x14ac:dyDescent="0.25">
      <c r="A246" s="40">
        <v>45355</v>
      </c>
      <c r="B246" s="41">
        <v>2943.06</v>
      </c>
      <c r="C246" s="41">
        <v>2952.53</v>
      </c>
      <c r="D246" s="41">
        <v>2940.48</v>
      </c>
      <c r="E246" s="41">
        <v>2941.78</v>
      </c>
      <c r="F246" s="41">
        <v>2941.78</v>
      </c>
    </row>
    <row r="247" spans="1:6" x14ac:dyDescent="0.25">
      <c r="A247" s="40">
        <v>45352</v>
      </c>
      <c r="B247" s="41">
        <v>2922.88</v>
      </c>
      <c r="C247" s="41">
        <v>2946.28</v>
      </c>
      <c r="D247" s="41">
        <v>2919.96</v>
      </c>
      <c r="E247" s="41">
        <v>2944.86</v>
      </c>
      <c r="F247" s="41">
        <v>2944.86</v>
      </c>
    </row>
    <row r="248" spans="1:6" x14ac:dyDescent="0.25">
      <c r="A248" s="40">
        <v>45351</v>
      </c>
      <c r="B248" s="41">
        <v>2917.35</v>
      </c>
      <c r="C248" s="41">
        <v>2926.82</v>
      </c>
      <c r="D248" s="41">
        <v>2902.95</v>
      </c>
      <c r="E248" s="41">
        <v>2922.16</v>
      </c>
      <c r="F248" s="41">
        <v>2922.16</v>
      </c>
    </row>
    <row r="249" spans="1:6" x14ac:dyDescent="0.25">
      <c r="A249" s="40">
        <v>45350</v>
      </c>
      <c r="B249" s="41">
        <v>2904.79</v>
      </c>
      <c r="C249" s="41">
        <v>2912.04</v>
      </c>
      <c r="D249" s="41">
        <v>2900.16</v>
      </c>
      <c r="E249" s="41">
        <v>2906.84</v>
      </c>
      <c r="F249" s="41">
        <v>2906.84</v>
      </c>
    </row>
    <row r="250" spans="1:6" x14ac:dyDescent="0.25">
      <c r="A250" s="40">
        <v>45349</v>
      </c>
      <c r="B250" s="41">
        <v>2910.35</v>
      </c>
      <c r="C250" s="41">
        <v>2913.81</v>
      </c>
      <c r="D250" s="41">
        <v>2901.08</v>
      </c>
      <c r="E250" s="41">
        <v>2912.51</v>
      </c>
      <c r="F250" s="41">
        <v>2912.51</v>
      </c>
    </row>
    <row r="251" spans="1:6" x14ac:dyDescent="0.25">
      <c r="A251" s="40">
        <v>45348</v>
      </c>
      <c r="B251" s="41">
        <v>2914.85</v>
      </c>
      <c r="C251" s="41">
        <v>2917.7</v>
      </c>
      <c r="D251" s="41">
        <v>2904.43</v>
      </c>
      <c r="E251" s="49">
        <v>2904.9</v>
      </c>
      <c r="F251" s="41">
        <v>2904.9</v>
      </c>
    </row>
    <row r="252" spans="1:6" x14ac:dyDescent="0.25">
      <c r="A252" s="93">
        <v>43157</v>
      </c>
      <c r="B252" s="75">
        <v>1470.37</v>
      </c>
      <c r="C252" s="75">
        <v>1599.12</v>
      </c>
      <c r="D252" s="75">
        <v>1436.81</v>
      </c>
      <c r="E252" s="75">
        <v>1583.54</v>
      </c>
    </row>
  </sheetData>
  <pageMargins left="0.7" right="0.7" top="0.75" bottom="0.75" header="0.3" footer="0.3"/>
  <pageSetup orientation="portrait" r:id="rId1"/>
  <headerFooter>
    <oddHeader>&amp;C&amp;"Calibri,Bold"&amp;26&amp;A&amp;R&amp;"Calibri,Bold"&amp;26&amp;P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Exe Sum &amp; Dashboard</vt:lpstr>
      <vt:lpstr>Memo</vt:lpstr>
      <vt:lpstr>Stock Pivot Table</vt:lpstr>
      <vt:lpstr>Sector Pivot Table</vt:lpstr>
      <vt:lpstr>Portfolio</vt:lpstr>
      <vt:lpstr>Sectors &amp; Company Names</vt:lpstr>
      <vt:lpstr>RUA</vt:lpstr>
      <vt:lpstr>Memo!Print_Area</vt:lpstr>
      <vt:lpstr>Portfolio!Print_Area</vt:lpstr>
      <vt:lpstr>RUA!Print_Area</vt:lpstr>
      <vt:lpstr>'Sector Pivot Table'!Print_Area</vt:lpstr>
      <vt:lpstr>'Sectors &amp; Company Names'!Print_Area</vt:lpstr>
      <vt:lpstr>'Stock Pivot Table'!Print_Area</vt:lpstr>
      <vt:lpstr>Portfolio!Print_Titles</vt:lpstr>
      <vt:lpstr>RUA!Print_Titles</vt:lpstr>
      <vt:lpstr>'Sector Pivot Table'!Print_Titles</vt:lpstr>
      <vt:lpstr>'Sectors &amp; Company Names'!Print_Titles</vt:lpstr>
      <vt:lpstr>'Stock Pivot Table'!Print_Titles</vt:lpstr>
      <vt:lpstr>Top5Stocks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Hitzig</dc:creator>
  <cp:lastModifiedBy>MJ Sanacore</cp:lastModifiedBy>
  <cp:lastPrinted>2025-03-02T21:06:05Z</cp:lastPrinted>
  <dcterms:created xsi:type="dcterms:W3CDTF">2017-07-20T18:39:50Z</dcterms:created>
  <dcterms:modified xsi:type="dcterms:W3CDTF">2026-01-31T23:08:28Z</dcterms:modified>
</cp:coreProperties>
</file>