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19176\Desktop\BUS 356 Portfolio\"/>
    </mc:Choice>
  </mc:AlternateContent>
  <xr:revisionPtr revIDLastSave="0" documentId="13_ncr:1_{DBA62A81-651D-4AD3-AB5D-FCC7AB9203B9}" xr6:coauthVersionLast="47" xr6:coauthVersionMax="47" xr10:uidLastSave="{00000000-0000-0000-0000-000000000000}"/>
  <bookViews>
    <workbookView xWindow="-9550" yWindow="-21710" windowWidth="38620" windowHeight="21100" xr2:uid="{AA3A4E0A-484D-FA48-AF06-E3618777F2A2}"/>
  </bookViews>
  <sheets>
    <sheet name="Exe Sum &amp; Dashboard" sheetId="9" r:id="rId1"/>
    <sheet name="Memo" sheetId="8" r:id="rId2"/>
    <sheet name="Project 1" sheetId="1" r:id="rId3"/>
    <sheet name="Project 1 Unit Mix Pivot" sheetId="11" r:id="rId4"/>
    <sheet name="Project 1 Financial Analysis" sheetId="3" r:id="rId5"/>
    <sheet name="Project 2" sheetId="4" r:id="rId6"/>
    <sheet name="Project 2 Unit Mix Pivot" sheetId="13" r:id="rId7"/>
    <sheet name="Project 2 Financial Analysis" sheetId="5" r:id="rId8"/>
  </sheets>
  <definedNames>
    <definedName name="_xlchart.v1.0" hidden="1">'Project 2 Financial Analysis'!$A$123</definedName>
    <definedName name="_xlchart.v1.1" hidden="1">'Project 2 Financial Analysis'!$B$112:$O$112</definedName>
    <definedName name="_xlchart.v1.2" hidden="1">'Project 2 Financial Analysis'!$B$123:$O$123</definedName>
    <definedName name="_xlchart.v1.5" hidden="1">'Project 1 Financial Analysis'!$A$116:$B$116</definedName>
    <definedName name="_xlchart.v1.6" hidden="1">'Project 1 Financial Analysis'!$C$105:$O$105</definedName>
    <definedName name="_xlchart.v1.7" hidden="1">'Project 1 Financial Analysis'!$C$116:$O$116</definedName>
    <definedName name="_xlchart.v2.3" hidden="1">'Project 2 Financial Analysis'!$E$131</definedName>
    <definedName name="_xlchart.v2.4" hidden="1">'Project 2 Financial Analysis'!$E$132:$E$142</definedName>
    <definedName name="_xlchart.v2.8" hidden="1">'Project 1 Financial Analysis'!$E$124</definedName>
    <definedName name="_xlchart.v2.9" hidden="1">'Project 1 Financial Analysis'!$E$125:$E$135</definedName>
    <definedName name="_xlnm.Print_Area" localSheetId="0">'Exe Sum &amp; Dashboard'!$A$1:$BM$141</definedName>
    <definedName name="_xlnm.Print_Area" localSheetId="1">Memo!$A$1:$N$59</definedName>
    <definedName name="_xlnm.Print_Area" localSheetId="2">'Project 1'!$A$1:$K$57</definedName>
    <definedName name="_xlnm.Print_Area" localSheetId="4">'Project 1 Financial Analysis'!$A$1:$O$136</definedName>
    <definedName name="_xlnm.Print_Area" localSheetId="3">'Project 1 Unit Mix Pivot'!$A$3:$C$9</definedName>
    <definedName name="_xlnm.Print_Area" localSheetId="5">'Project 2'!$A$1:$K$57</definedName>
    <definedName name="_xlnm.Print_Area" localSheetId="7">'Project 2 Financial Analysis'!$A$1:$O$143</definedName>
    <definedName name="_xlnm.Print_Area" localSheetId="6">'Project 2 Unit Mix Pivot'!$A$3:$C$11</definedName>
  </definedNames>
  <calcPr calcId="191029"/>
  <pivotCaches>
    <pivotCache cacheId="0" r:id="rId9"/>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5" l="1"/>
  <c r="C21" i="3"/>
  <c r="F43" i="5"/>
  <c r="F46" i="5"/>
  <c r="E142" i="5"/>
  <c r="F123" i="5"/>
  <c r="F29" i="5"/>
  <c r="E5" i="3"/>
  <c r="F5" i="3"/>
  <c r="G5" i="3"/>
  <c r="H5" i="3"/>
  <c r="I5" i="3"/>
  <c r="J5" i="3" s="1"/>
  <c r="K5" i="3" s="1"/>
  <c r="L5" i="3" s="1"/>
  <c r="M5" i="3" s="1"/>
  <c r="N5" i="3" s="1"/>
  <c r="O5" i="3" s="1"/>
  <c r="F116" i="3"/>
  <c r="E115" i="3"/>
  <c r="E114" i="3"/>
  <c r="D120" i="5"/>
  <c r="E113" i="3"/>
  <c r="E111" i="3"/>
  <c r="D113" i="3"/>
  <c r="B113" i="3"/>
  <c r="O118" i="5"/>
  <c r="F111" i="3"/>
  <c r="E110" i="3"/>
  <c r="B31" i="3"/>
  <c r="B34" i="1"/>
  <c r="B38" i="1" s="1"/>
  <c r="E135" i="3"/>
  <c r="E126" i="3"/>
  <c r="E127" i="3"/>
  <c r="D126" i="3"/>
  <c r="C126" i="3"/>
  <c r="B126" i="3"/>
  <c r="E125" i="3"/>
  <c r="D127" i="5"/>
  <c r="D120" i="3"/>
  <c r="D119" i="3"/>
  <c r="B54" i="3"/>
  <c r="D94" i="3"/>
  <c r="E92" i="3"/>
  <c r="D92" i="3"/>
  <c r="B88" i="3"/>
  <c r="B21" i="1"/>
  <c r="E96" i="5"/>
  <c r="F96" i="5"/>
  <c r="G96" i="5"/>
  <c r="H96" i="5"/>
  <c r="I96" i="5"/>
  <c r="J96" i="5"/>
  <c r="K96" i="5"/>
  <c r="L96" i="5"/>
  <c r="M96" i="5"/>
  <c r="N96" i="5"/>
  <c r="O96" i="5"/>
  <c r="D96" i="5"/>
  <c r="D88" i="3"/>
  <c r="F54" i="3"/>
  <c r="F52" i="3"/>
  <c r="F51" i="3"/>
  <c r="F39" i="3"/>
  <c r="F38" i="3"/>
  <c r="F37" i="3"/>
  <c r="F36" i="3"/>
  <c r="F35" i="3"/>
  <c r="F33" i="3"/>
  <c r="F32" i="3"/>
  <c r="F31" i="3"/>
  <c r="G28" i="5"/>
  <c r="H28" i="5"/>
  <c r="I28" i="5"/>
  <c r="J28" i="5"/>
  <c r="K28" i="5"/>
  <c r="L28" i="5"/>
  <c r="M28" i="5"/>
  <c r="N28" i="5"/>
  <c r="O28" i="5"/>
  <c r="F21" i="3"/>
  <c r="J27" i="5"/>
  <c r="K27" i="5"/>
  <c r="L27" i="5"/>
  <c r="M27" i="5"/>
  <c r="N27" i="5"/>
  <c r="O27" i="5"/>
  <c r="G26" i="5"/>
  <c r="H26" i="5"/>
  <c r="I26" i="5"/>
  <c r="J26" i="5"/>
  <c r="G25" i="5"/>
  <c r="H25" i="5"/>
  <c r="I25" i="5"/>
  <c r="J25" i="5"/>
  <c r="K25" i="5"/>
  <c r="L25" i="5"/>
  <c r="M25" i="5"/>
  <c r="N25" i="5"/>
  <c r="O25" i="5"/>
  <c r="G23" i="5"/>
  <c r="H23" i="5"/>
  <c r="I23" i="5"/>
  <c r="J23" i="5"/>
  <c r="K23" i="5"/>
  <c r="L23" i="5"/>
  <c r="J22" i="5"/>
  <c r="K22" i="5"/>
  <c r="L22" i="5"/>
  <c r="M22" i="5"/>
  <c r="N22" i="5"/>
  <c r="O22" i="5"/>
  <c r="E22" i="5"/>
  <c r="F18" i="3"/>
  <c r="F30" i="5"/>
  <c r="F27" i="5" s="1"/>
  <c r="G30" i="5"/>
  <c r="H30" i="5"/>
  <c r="I30" i="5"/>
  <c r="J30" i="5"/>
  <c r="K30" i="5"/>
  <c r="K24" i="5" s="1"/>
  <c r="L30" i="5"/>
  <c r="L24" i="5" s="1"/>
  <c r="M30" i="5"/>
  <c r="M24" i="5" s="1"/>
  <c r="N30" i="5"/>
  <c r="N24" i="5" s="1"/>
  <c r="O30" i="5"/>
  <c r="O26" i="5" s="1"/>
  <c r="E30" i="5"/>
  <c r="E24" i="5"/>
  <c r="E25" i="5"/>
  <c r="E26" i="5"/>
  <c r="E27" i="5"/>
  <c r="E28" i="5"/>
  <c r="F23" i="3"/>
  <c r="D27" i="5"/>
  <c r="D24" i="5"/>
  <c r="D25" i="5"/>
  <c r="D26" i="5"/>
  <c r="E23" i="5"/>
  <c r="D23" i="5"/>
  <c r="D19" i="3"/>
  <c r="D22" i="5"/>
  <c r="D18" i="3"/>
  <c r="D17" i="3"/>
  <c r="F6" i="1"/>
  <c r="F7" i="1"/>
  <c r="F8" i="1"/>
  <c r="F9" i="1"/>
  <c r="F5" i="1"/>
  <c r="F12" i="1"/>
  <c r="F13" i="1"/>
  <c r="F11" i="1"/>
  <c r="G36" i="3"/>
  <c r="H36" i="3"/>
  <c r="I36" i="3"/>
  <c r="J36" i="3"/>
  <c r="K36" i="3"/>
  <c r="L36" i="3"/>
  <c r="M36" i="3"/>
  <c r="N36" i="3"/>
  <c r="O36" i="3"/>
  <c r="G37" i="3"/>
  <c r="H37" i="3"/>
  <c r="I37" i="3"/>
  <c r="J37" i="3"/>
  <c r="K37" i="3"/>
  <c r="L37" i="3"/>
  <c r="M37" i="3"/>
  <c r="N37" i="3"/>
  <c r="O37" i="3"/>
  <c r="G38" i="3"/>
  <c r="H38" i="3"/>
  <c r="I38" i="3"/>
  <c r="J38" i="3"/>
  <c r="K38" i="3"/>
  <c r="L38" i="3"/>
  <c r="M38" i="3"/>
  <c r="N38" i="3"/>
  <c r="O38" i="3"/>
  <c r="B13" i="3"/>
  <c r="B14" i="3"/>
  <c r="B15" i="3"/>
  <c r="B16" i="3"/>
  <c r="B12" i="3"/>
  <c r="B13" i="4"/>
  <c r="C23" i="5"/>
  <c r="C24" i="5"/>
  <c r="C25" i="5"/>
  <c r="C26" i="5"/>
  <c r="C27" i="5"/>
  <c r="C28" i="5"/>
  <c r="E94" i="5"/>
  <c r="F94" i="5" s="1"/>
  <c r="G94" i="5" s="1"/>
  <c r="H94" i="5" s="1"/>
  <c r="I94" i="5" s="1"/>
  <c r="J94" i="5" s="1"/>
  <c r="K94" i="5" s="1"/>
  <c r="L94" i="5" s="1"/>
  <c r="M94" i="5" s="1"/>
  <c r="N94" i="5" s="1"/>
  <c r="O94" i="5" s="1"/>
  <c r="B23" i="5"/>
  <c r="M23" i="5" s="1"/>
  <c r="B24" i="5"/>
  <c r="G24" i="5" s="1"/>
  <c r="B25" i="5"/>
  <c r="B26" i="5"/>
  <c r="K26" i="5" s="1"/>
  <c r="B27" i="5"/>
  <c r="I27" i="5" s="1"/>
  <c r="B28" i="5"/>
  <c r="F28" i="5" s="1"/>
  <c r="B22" i="5"/>
  <c r="F22" i="5" s="1"/>
  <c r="F24" i="3"/>
  <c r="G24" i="3"/>
  <c r="H24" i="3"/>
  <c r="I24" i="3"/>
  <c r="J24" i="3"/>
  <c r="K24" i="3"/>
  <c r="L24" i="3"/>
  <c r="M24" i="3"/>
  <c r="N24" i="3"/>
  <c r="O24" i="3"/>
  <c r="E24" i="3"/>
  <c r="E35" i="5"/>
  <c r="F35" i="5" s="1"/>
  <c r="G35" i="5" s="1"/>
  <c r="H35" i="5" s="1"/>
  <c r="I35" i="5" s="1"/>
  <c r="J35" i="5" s="1"/>
  <c r="K35" i="5" s="1"/>
  <c r="L35" i="5" s="1"/>
  <c r="M35" i="5" s="1"/>
  <c r="N35" i="5" s="1"/>
  <c r="O35" i="5" s="1"/>
  <c r="E21" i="5"/>
  <c r="F21" i="5"/>
  <c r="G21" i="5"/>
  <c r="H21" i="5"/>
  <c r="I21" i="5"/>
  <c r="J21" i="5"/>
  <c r="K21" i="5"/>
  <c r="L21" i="5"/>
  <c r="M21" i="5"/>
  <c r="N21" i="5"/>
  <c r="O21" i="5"/>
  <c r="D21" i="5"/>
  <c r="F17" i="3"/>
  <c r="G9" i="5"/>
  <c r="G10" i="5" s="1"/>
  <c r="H9" i="5"/>
  <c r="H10" i="5" s="1"/>
  <c r="I9" i="5"/>
  <c r="I10" i="5" s="1"/>
  <c r="J9" i="5"/>
  <c r="J10" i="5" s="1"/>
  <c r="K9" i="5"/>
  <c r="K10" i="5" s="1"/>
  <c r="L9" i="5"/>
  <c r="L10" i="5" s="1"/>
  <c r="M9" i="5"/>
  <c r="M10" i="5" s="1"/>
  <c r="N9" i="5"/>
  <c r="N10" i="5" s="1"/>
  <c r="O9" i="5"/>
  <c r="O10" i="5" s="1"/>
  <c r="F9" i="5"/>
  <c r="F10" i="5" s="1"/>
  <c r="E5" i="5"/>
  <c r="F5" i="5" s="1"/>
  <c r="G5" i="5" s="1"/>
  <c r="H5" i="5" s="1"/>
  <c r="I5" i="5" s="1"/>
  <c r="J5" i="5" s="1"/>
  <c r="K5" i="5" s="1"/>
  <c r="L5" i="5" s="1"/>
  <c r="M5" i="5" s="1"/>
  <c r="N5" i="5" s="1"/>
  <c r="O5" i="5" s="1"/>
  <c r="E114" i="5"/>
  <c r="F114" i="5" s="1"/>
  <c r="G114" i="5" s="1"/>
  <c r="H114" i="5" s="1"/>
  <c r="I114" i="5" s="1"/>
  <c r="J114" i="5" s="1"/>
  <c r="K114" i="5" s="1"/>
  <c r="L114" i="5" s="1"/>
  <c r="M114" i="5" s="1"/>
  <c r="N114" i="5" s="1"/>
  <c r="O114" i="5" s="1"/>
  <c r="K37" i="5" l="1"/>
  <c r="H22" i="5"/>
  <c r="H37" i="5" s="1"/>
  <c r="O24" i="5"/>
  <c r="F26" i="5"/>
  <c r="F23" i="5"/>
  <c r="F37" i="5" s="1"/>
  <c r="J24" i="5"/>
  <c r="J37" i="5" s="1"/>
  <c r="N26" i="5"/>
  <c r="H27" i="5"/>
  <c r="F24" i="5"/>
  <c r="I22" i="5"/>
  <c r="G22" i="5"/>
  <c r="O23" i="5"/>
  <c r="O37" i="5" s="1"/>
  <c r="I24" i="5"/>
  <c r="M26" i="5"/>
  <c r="M29" i="5" s="1"/>
  <c r="G27" i="5"/>
  <c r="D28" i="5"/>
  <c r="N23" i="5"/>
  <c r="N29" i="5" s="1"/>
  <c r="H24" i="5"/>
  <c r="L26" i="5"/>
  <c r="L37" i="5" s="1"/>
  <c r="F25" i="5"/>
  <c r="L29" i="5"/>
  <c r="K29" i="5"/>
  <c r="O29" i="5"/>
  <c r="B82" i="5"/>
  <c r="B83" i="5"/>
  <c r="B84" i="5"/>
  <c r="B85" i="5"/>
  <c r="B86" i="5"/>
  <c r="B87" i="5"/>
  <c r="B88" i="5"/>
  <c r="B89" i="5"/>
  <c r="B81" i="5"/>
  <c r="B77" i="5"/>
  <c r="B76" i="5"/>
  <c r="B75" i="5"/>
  <c r="B74" i="5"/>
  <c r="B66" i="5"/>
  <c r="B67" i="5"/>
  <c r="B68" i="5"/>
  <c r="B69" i="5"/>
  <c r="B70" i="5"/>
  <c r="B65" i="5"/>
  <c r="F90" i="5"/>
  <c r="G90" i="5"/>
  <c r="G92" i="5" s="1"/>
  <c r="H90" i="5"/>
  <c r="I90" i="5"/>
  <c r="J90" i="5"/>
  <c r="K90" i="5"/>
  <c r="L90" i="5"/>
  <c r="M90" i="5"/>
  <c r="N90" i="5"/>
  <c r="O90" i="5"/>
  <c r="E90" i="5"/>
  <c r="F78" i="5"/>
  <c r="G78" i="5"/>
  <c r="H78" i="5"/>
  <c r="I78" i="5"/>
  <c r="J78" i="5"/>
  <c r="K78" i="5"/>
  <c r="L78" i="5"/>
  <c r="M78" i="5"/>
  <c r="N78" i="5"/>
  <c r="O78" i="5"/>
  <c r="E78" i="5"/>
  <c r="D71" i="5"/>
  <c r="D92" i="5" s="1"/>
  <c r="D95" i="5" s="1"/>
  <c r="G56" i="5"/>
  <c r="H56" i="5"/>
  <c r="I56" i="5"/>
  <c r="J56" i="5"/>
  <c r="K56" i="5"/>
  <c r="L56" i="5"/>
  <c r="M56" i="5"/>
  <c r="N56" i="5"/>
  <c r="O56" i="5"/>
  <c r="F56" i="5"/>
  <c r="B57" i="4"/>
  <c r="E107" i="3"/>
  <c r="F107" i="3" s="1"/>
  <c r="G107" i="3" s="1"/>
  <c r="H107" i="3" s="1"/>
  <c r="I107" i="3" s="1"/>
  <c r="J107" i="3" s="1"/>
  <c r="K107" i="3" s="1"/>
  <c r="L107" i="3" s="1"/>
  <c r="M107" i="3" s="1"/>
  <c r="N107" i="3" s="1"/>
  <c r="O107" i="3" s="1"/>
  <c r="E87" i="3"/>
  <c r="F87" i="3" s="1"/>
  <c r="G87" i="3" s="1"/>
  <c r="H87" i="3" s="1"/>
  <c r="I87" i="3" s="1"/>
  <c r="J87" i="3" s="1"/>
  <c r="K87" i="3" s="1"/>
  <c r="L87" i="3" s="1"/>
  <c r="M87" i="3" s="1"/>
  <c r="N87" i="3" s="1"/>
  <c r="O87" i="3" s="1"/>
  <c r="E56" i="3"/>
  <c r="F56" i="3" s="1"/>
  <c r="G56" i="3" s="1"/>
  <c r="H56" i="3" s="1"/>
  <c r="I56" i="3" s="1"/>
  <c r="J56" i="3" s="1"/>
  <c r="K56" i="3" s="1"/>
  <c r="L56" i="3" s="1"/>
  <c r="M56" i="3" s="1"/>
  <c r="N56" i="3" s="1"/>
  <c r="O56" i="3" s="1"/>
  <c r="E29" i="3"/>
  <c r="F29" i="3" s="1"/>
  <c r="G29" i="3" s="1"/>
  <c r="H29" i="3" s="1"/>
  <c r="I29" i="3" s="1"/>
  <c r="J29" i="3" s="1"/>
  <c r="K29" i="3" s="1"/>
  <c r="L29" i="3" s="1"/>
  <c r="M29" i="3" s="1"/>
  <c r="N29" i="3" s="1"/>
  <c r="O29" i="3" s="1"/>
  <c r="G13" i="4"/>
  <c r="B14" i="4" s="1"/>
  <c r="I13" i="4"/>
  <c r="E13" i="4"/>
  <c r="G12" i="4"/>
  <c r="I12" i="4"/>
  <c r="K12" i="4"/>
  <c r="H5" i="4"/>
  <c r="H13" i="4" s="1"/>
  <c r="J5" i="4"/>
  <c r="J13" i="4" s="1"/>
  <c r="K5" i="4"/>
  <c r="H11" i="4"/>
  <c r="J11" i="4"/>
  <c r="K11" i="4"/>
  <c r="H30" i="4"/>
  <c r="G30" i="4"/>
  <c r="F29" i="4"/>
  <c r="E12" i="4"/>
  <c r="K10" i="4"/>
  <c r="J10" i="4"/>
  <c r="H10" i="4"/>
  <c r="K9" i="4"/>
  <c r="J9" i="4"/>
  <c r="H9" i="4"/>
  <c r="K8" i="4"/>
  <c r="J8" i="4"/>
  <c r="J12" i="4" s="1"/>
  <c r="H8" i="4"/>
  <c r="K7" i="4"/>
  <c r="J7" i="4"/>
  <c r="H7" i="4"/>
  <c r="K6" i="4"/>
  <c r="K13" i="4" s="1"/>
  <c r="J6" i="4"/>
  <c r="H6" i="4"/>
  <c r="H12" i="4" s="1"/>
  <c r="B9" i="4" s="1"/>
  <c r="B11" i="4" s="1"/>
  <c r="H111" i="3"/>
  <c r="I111" i="3"/>
  <c r="J111" i="3"/>
  <c r="K111" i="3"/>
  <c r="L111" i="3"/>
  <c r="M111" i="3"/>
  <c r="N111" i="3"/>
  <c r="O111" i="3"/>
  <c r="D108" i="3"/>
  <c r="F39" i="5" l="1"/>
  <c r="F40" i="5"/>
  <c r="F38" i="5"/>
  <c r="O40" i="5"/>
  <c r="O45" i="5" s="1"/>
  <c r="O38" i="5"/>
  <c r="O43" i="5" s="1"/>
  <c r="O39" i="5"/>
  <c r="O44" i="5" s="1"/>
  <c r="L40" i="5"/>
  <c r="L45" i="5" s="1"/>
  <c r="L38" i="5"/>
  <c r="L43" i="5" s="1"/>
  <c r="L39" i="5"/>
  <c r="L44" i="5" s="1"/>
  <c r="L41" i="5"/>
  <c r="G37" i="5"/>
  <c r="G29" i="5"/>
  <c r="M37" i="5"/>
  <c r="I37" i="5"/>
  <c r="J39" i="5"/>
  <c r="J44" i="5" s="1"/>
  <c r="J40" i="5"/>
  <c r="J45" i="5" s="1"/>
  <c r="J38" i="5"/>
  <c r="J43" i="5" s="1"/>
  <c r="D99" i="5"/>
  <c r="D101" i="5" s="1"/>
  <c r="K40" i="5"/>
  <c r="K45" i="5" s="1"/>
  <c r="K38" i="5"/>
  <c r="K43" i="5" s="1"/>
  <c r="K39" i="5"/>
  <c r="K44" i="5" s="1"/>
  <c r="H29" i="5"/>
  <c r="H38" i="5"/>
  <c r="H43" i="5" s="1"/>
  <c r="H39" i="5"/>
  <c r="H44" i="5" s="1"/>
  <c r="H40" i="5"/>
  <c r="H45" i="5" s="1"/>
  <c r="J29" i="5"/>
  <c r="N37" i="5"/>
  <c r="I29" i="5"/>
  <c r="B90" i="5"/>
  <c r="F28" i="4" s="1"/>
  <c r="E92" i="5"/>
  <c r="E95" i="5" s="1"/>
  <c r="E99" i="5" s="1"/>
  <c r="E101" i="5" s="1"/>
  <c r="F92" i="5"/>
  <c r="B78" i="5"/>
  <c r="F27" i="4" s="1"/>
  <c r="B71" i="5"/>
  <c r="F26" i="4" s="1"/>
  <c r="F6" i="4"/>
  <c r="F7" i="4"/>
  <c r="F5" i="4"/>
  <c r="F11" i="4"/>
  <c r="F10" i="4"/>
  <c r="F9" i="4"/>
  <c r="F8" i="4"/>
  <c r="G20" i="4"/>
  <c r="G21" i="4"/>
  <c r="G22" i="4"/>
  <c r="B128" i="3"/>
  <c r="B132" i="3"/>
  <c r="B131" i="3"/>
  <c r="B129" i="3"/>
  <c r="B135" i="3"/>
  <c r="B127" i="3"/>
  <c r="B130" i="3"/>
  <c r="B134" i="3"/>
  <c r="B133" i="3"/>
  <c r="G30" i="1"/>
  <c r="H30" i="1"/>
  <c r="F29" i="1"/>
  <c r="F23" i="1" s="1"/>
  <c r="F24" i="1" s="1"/>
  <c r="E83" i="3"/>
  <c r="F83" i="3"/>
  <c r="G83" i="3"/>
  <c r="H83" i="3"/>
  <c r="I83" i="3"/>
  <c r="J83" i="3"/>
  <c r="K83" i="3"/>
  <c r="L83" i="3"/>
  <c r="M83" i="3"/>
  <c r="N83" i="3"/>
  <c r="O83" i="3"/>
  <c r="D83" i="3"/>
  <c r="B75" i="3"/>
  <c r="B76" i="3"/>
  <c r="B77" i="3"/>
  <c r="B78" i="3"/>
  <c r="B79" i="3"/>
  <c r="B80" i="3"/>
  <c r="B81" i="3"/>
  <c r="B82" i="3"/>
  <c r="B74" i="3"/>
  <c r="F71" i="3"/>
  <c r="G71" i="3"/>
  <c r="H71" i="3"/>
  <c r="I71" i="3"/>
  <c r="J71" i="3"/>
  <c r="K71" i="3"/>
  <c r="L71" i="3"/>
  <c r="M71" i="3"/>
  <c r="N71" i="3"/>
  <c r="O71" i="3"/>
  <c r="E71" i="3"/>
  <c r="B70" i="3"/>
  <c r="B69" i="3"/>
  <c r="B68" i="3"/>
  <c r="B67" i="3"/>
  <c r="B59" i="3"/>
  <c r="B60" i="3"/>
  <c r="B61" i="3"/>
  <c r="B62" i="3"/>
  <c r="B63" i="3"/>
  <c r="B58" i="3"/>
  <c r="E64" i="3"/>
  <c r="F64" i="3"/>
  <c r="G64" i="3"/>
  <c r="H64" i="3"/>
  <c r="I64" i="3"/>
  <c r="J64" i="3"/>
  <c r="K64" i="3"/>
  <c r="L64" i="3"/>
  <c r="M64" i="3"/>
  <c r="N64" i="3"/>
  <c r="O64" i="3"/>
  <c r="D64" i="3"/>
  <c r="B48" i="3"/>
  <c r="B47" i="3"/>
  <c r="B46" i="3"/>
  <c r="B45" i="3"/>
  <c r="B44" i="3"/>
  <c r="B43" i="3"/>
  <c r="B42" i="3"/>
  <c r="B53" i="3"/>
  <c r="G49" i="3"/>
  <c r="H49" i="3"/>
  <c r="I49" i="3"/>
  <c r="J49" i="3"/>
  <c r="K49" i="3"/>
  <c r="L49" i="3"/>
  <c r="M49" i="3"/>
  <c r="N49" i="3"/>
  <c r="O49" i="3"/>
  <c r="F49" i="3"/>
  <c r="G18" i="3"/>
  <c r="H18" i="3"/>
  <c r="I18" i="3"/>
  <c r="J18" i="3"/>
  <c r="K18" i="3"/>
  <c r="L18" i="3"/>
  <c r="M18" i="3"/>
  <c r="N18" i="3"/>
  <c r="O18" i="3"/>
  <c r="G19" i="3"/>
  <c r="H19" i="3"/>
  <c r="I19" i="3"/>
  <c r="J19" i="3"/>
  <c r="K19" i="3"/>
  <c r="L19" i="3"/>
  <c r="M19" i="3"/>
  <c r="N19" i="3"/>
  <c r="O19" i="3"/>
  <c r="G20" i="3"/>
  <c r="H20" i="3"/>
  <c r="I20" i="3"/>
  <c r="J20" i="3"/>
  <c r="K20" i="3"/>
  <c r="L20" i="3"/>
  <c r="M20" i="3"/>
  <c r="N20" i="3"/>
  <c r="O20" i="3"/>
  <c r="G21" i="3"/>
  <c r="H21" i="3"/>
  <c r="I21" i="3"/>
  <c r="J21" i="3"/>
  <c r="K21" i="3"/>
  <c r="L21" i="3"/>
  <c r="M21" i="3"/>
  <c r="N21" i="3"/>
  <c r="O21" i="3"/>
  <c r="G22" i="3"/>
  <c r="H22" i="3"/>
  <c r="I22" i="3"/>
  <c r="J22" i="3"/>
  <c r="K22" i="3"/>
  <c r="L22" i="3"/>
  <c r="M22" i="3"/>
  <c r="N22" i="3"/>
  <c r="O22" i="3"/>
  <c r="F22" i="3"/>
  <c r="F20" i="3"/>
  <c r="F19" i="3"/>
  <c r="G17" i="3"/>
  <c r="H17" i="3"/>
  <c r="I17" i="3"/>
  <c r="J17" i="3"/>
  <c r="K17" i="3"/>
  <c r="L17" i="3"/>
  <c r="M17" i="3"/>
  <c r="N17" i="3"/>
  <c r="O17" i="3"/>
  <c r="E18" i="3"/>
  <c r="E19" i="3"/>
  <c r="D20" i="3"/>
  <c r="E20" i="3"/>
  <c r="D21" i="3"/>
  <c r="E21" i="3"/>
  <c r="D22" i="3"/>
  <c r="E22" i="3"/>
  <c r="C19" i="3"/>
  <c r="C20" i="3"/>
  <c r="C22" i="3"/>
  <c r="C18" i="3"/>
  <c r="G38" i="5" l="1"/>
  <c r="G43" i="5" s="1"/>
  <c r="G40" i="5"/>
  <c r="G45" i="5" s="1"/>
  <c r="G39" i="5"/>
  <c r="G44" i="5" s="1"/>
  <c r="L42" i="5"/>
  <c r="L46" i="5" s="1"/>
  <c r="L58" i="5" s="1"/>
  <c r="K41" i="5"/>
  <c r="N39" i="5"/>
  <c r="N44" i="5" s="1"/>
  <c r="N40" i="5"/>
  <c r="N45" i="5" s="1"/>
  <c r="N38" i="5"/>
  <c r="N43" i="5" s="1"/>
  <c r="N41" i="5"/>
  <c r="F45" i="5"/>
  <c r="B45" i="5" s="1"/>
  <c r="B40" i="5"/>
  <c r="J41" i="5"/>
  <c r="F44" i="5"/>
  <c r="M38" i="5"/>
  <c r="M43" i="5" s="1"/>
  <c r="M40" i="5"/>
  <c r="M45" i="5" s="1"/>
  <c r="M39" i="5"/>
  <c r="M44" i="5" s="1"/>
  <c r="H41" i="5"/>
  <c r="O41" i="5"/>
  <c r="B37" i="5"/>
  <c r="I40" i="5"/>
  <c r="I45" i="5" s="1"/>
  <c r="I39" i="5"/>
  <c r="I44" i="5" s="1"/>
  <c r="I38" i="5"/>
  <c r="I43" i="5" s="1"/>
  <c r="F41" i="5"/>
  <c r="F30" i="4"/>
  <c r="F23" i="4" s="1"/>
  <c r="B30" i="4" s="1"/>
  <c r="F24" i="4"/>
  <c r="G23" i="4"/>
  <c r="G24" i="4" s="1"/>
  <c r="B92" i="5"/>
  <c r="F13" i="4"/>
  <c r="F12" i="4"/>
  <c r="H22" i="4"/>
  <c r="H20" i="4"/>
  <c r="H21" i="4"/>
  <c r="C127" i="3"/>
  <c r="B136" i="3"/>
  <c r="K85" i="3"/>
  <c r="O85" i="3"/>
  <c r="G85" i="3"/>
  <c r="L85" i="3"/>
  <c r="B64" i="3"/>
  <c r="F26" i="1" s="1"/>
  <c r="J85" i="3"/>
  <c r="N85" i="3"/>
  <c r="F85" i="3"/>
  <c r="B49" i="3"/>
  <c r="M85" i="3"/>
  <c r="E85" i="3"/>
  <c r="E88" i="3" s="1"/>
  <c r="I85" i="3"/>
  <c r="B83" i="3"/>
  <c r="F28" i="1" s="1"/>
  <c r="D85" i="3"/>
  <c r="H85" i="3"/>
  <c r="B71" i="3"/>
  <c r="I23" i="3"/>
  <c r="N23" i="3"/>
  <c r="O23" i="3"/>
  <c r="G23" i="3"/>
  <c r="I31" i="3"/>
  <c r="M23" i="3"/>
  <c r="H31" i="3"/>
  <c r="H32" i="3" s="1"/>
  <c r="L31" i="3"/>
  <c r="L32" i="3" s="1"/>
  <c r="G31" i="3"/>
  <c r="G32" i="3" s="1"/>
  <c r="O31" i="3"/>
  <c r="O33" i="3" s="1"/>
  <c r="K31" i="3"/>
  <c r="K33" i="3" s="1"/>
  <c r="H23" i="3"/>
  <c r="N31" i="3"/>
  <c r="N33" i="3" s="1"/>
  <c r="J31" i="3"/>
  <c r="J32" i="3" s="1"/>
  <c r="L23" i="3"/>
  <c r="K23" i="3"/>
  <c r="M31" i="3"/>
  <c r="J23" i="3"/>
  <c r="L59" i="5" l="1"/>
  <c r="L61" i="5"/>
  <c r="L95" i="5" s="1"/>
  <c r="L99" i="5" s="1"/>
  <c r="L101" i="5" s="1"/>
  <c r="H42" i="5"/>
  <c r="H46" i="5" s="1"/>
  <c r="H58" i="5" s="1"/>
  <c r="F42" i="5"/>
  <c r="I41" i="5"/>
  <c r="O42" i="5"/>
  <c r="O46" i="5"/>
  <c r="O58" i="5" s="1"/>
  <c r="K42" i="5"/>
  <c r="K46" i="5"/>
  <c r="K58" i="5" s="1"/>
  <c r="M41" i="5"/>
  <c r="B38" i="5"/>
  <c r="B44" i="5"/>
  <c r="N46" i="5"/>
  <c r="N58" i="5" s="1"/>
  <c r="N42" i="5"/>
  <c r="B43" i="5"/>
  <c r="B39" i="5"/>
  <c r="J42" i="5"/>
  <c r="J46" i="5" s="1"/>
  <c r="J58" i="5" s="1"/>
  <c r="G41" i="5"/>
  <c r="B41" i="5" s="1"/>
  <c r="B31" i="4"/>
  <c r="B32" i="4" s="1"/>
  <c r="D115" i="5"/>
  <c r="D126" i="5" s="1"/>
  <c r="B133" i="5" s="1"/>
  <c r="H23" i="4"/>
  <c r="H24" i="4" s="1"/>
  <c r="F110" i="3"/>
  <c r="D127" i="3"/>
  <c r="B85" i="3"/>
  <c r="F27" i="1"/>
  <c r="F30" i="1" s="1"/>
  <c r="E94" i="3"/>
  <c r="K32" i="3"/>
  <c r="L33" i="3"/>
  <c r="H33" i="3"/>
  <c r="I33" i="3"/>
  <c r="I32" i="3"/>
  <c r="J33" i="3"/>
  <c r="N32" i="3"/>
  <c r="O32" i="3"/>
  <c r="G33" i="3"/>
  <c r="M33" i="3"/>
  <c r="M32" i="3"/>
  <c r="H59" i="5" l="1"/>
  <c r="H61" i="5"/>
  <c r="H95" i="5" s="1"/>
  <c r="H99" i="5" s="1"/>
  <c r="H101" i="5" s="1"/>
  <c r="J59" i="5"/>
  <c r="B40" i="4"/>
  <c r="B43" i="4" s="1"/>
  <c r="J61" i="5"/>
  <c r="J95" i="5" s="1"/>
  <c r="J99" i="5" s="1"/>
  <c r="J101" i="5" s="1"/>
  <c r="B34" i="4" s="1"/>
  <c r="B38" i="4" s="1"/>
  <c r="K59" i="5"/>
  <c r="K61" i="5"/>
  <c r="K95" i="5" s="1"/>
  <c r="K99" i="5" s="1"/>
  <c r="K101" i="5" s="1"/>
  <c r="O61" i="5"/>
  <c r="O59" i="5"/>
  <c r="O120" i="5"/>
  <c r="O121" i="5" s="1"/>
  <c r="O122" i="5" s="1"/>
  <c r="O123" i="5" s="1"/>
  <c r="N61" i="5"/>
  <c r="N95" i="5" s="1"/>
  <c r="N99" i="5" s="1"/>
  <c r="N101" i="5" s="1"/>
  <c r="N59" i="5"/>
  <c r="M42" i="5"/>
  <c r="M46" i="5" s="1"/>
  <c r="M58" i="5" s="1"/>
  <c r="F58" i="5"/>
  <c r="I42" i="5"/>
  <c r="I46" i="5" s="1"/>
  <c r="G42" i="5"/>
  <c r="B42" i="5" s="1"/>
  <c r="G46" i="5"/>
  <c r="G58" i="5" s="1"/>
  <c r="B142" i="5"/>
  <c r="E132" i="5"/>
  <c r="C133" i="5" s="1"/>
  <c r="E117" i="5" s="1"/>
  <c r="E118" i="5" s="1"/>
  <c r="B141" i="5"/>
  <c r="B134" i="5"/>
  <c r="B139" i="5"/>
  <c r="B138" i="5"/>
  <c r="B140" i="5"/>
  <c r="B135" i="5"/>
  <c r="B136" i="5"/>
  <c r="B137" i="5"/>
  <c r="C128" i="3"/>
  <c r="K35" i="3"/>
  <c r="M35" i="3"/>
  <c r="M39" i="3" s="1"/>
  <c r="M51" i="3" s="1"/>
  <c r="M52" i="3" s="1"/>
  <c r="L35" i="3"/>
  <c r="L39" i="3" s="1"/>
  <c r="L51" i="3" s="1"/>
  <c r="L52" i="3" s="1"/>
  <c r="B38" i="3"/>
  <c r="O35" i="3"/>
  <c r="O39" i="3" s="1"/>
  <c r="O51" i="3" s="1"/>
  <c r="O52" i="3" s="1"/>
  <c r="H35" i="3"/>
  <c r="H39" i="3" s="1"/>
  <c r="H51" i="3" s="1"/>
  <c r="H52" i="3" s="1"/>
  <c r="J35" i="3"/>
  <c r="J39" i="3" s="1"/>
  <c r="J51" i="3" s="1"/>
  <c r="N35" i="3"/>
  <c r="N39" i="3" s="1"/>
  <c r="N51" i="3" s="1"/>
  <c r="N52" i="3" s="1"/>
  <c r="I35" i="3"/>
  <c r="G35" i="3"/>
  <c r="G39" i="3" s="1"/>
  <c r="G51" i="3" s="1"/>
  <c r="B32" i="3"/>
  <c r="B37" i="3"/>
  <c r="B33" i="3"/>
  <c r="I58" i="5" l="1"/>
  <c r="B46" i="5"/>
  <c r="M59" i="5"/>
  <c r="M61" i="5"/>
  <c r="M95" i="5" s="1"/>
  <c r="M99" i="5" s="1"/>
  <c r="M101" i="5" s="1"/>
  <c r="F59" i="5"/>
  <c r="F61" i="5"/>
  <c r="B21" i="4"/>
  <c r="B23" i="4" s="1"/>
  <c r="O95" i="5"/>
  <c r="G59" i="5"/>
  <c r="G61" i="5"/>
  <c r="G95" i="5" s="1"/>
  <c r="G99" i="5" s="1"/>
  <c r="G101" i="5" s="1"/>
  <c r="B143" i="5"/>
  <c r="E120" i="5"/>
  <c r="D133" i="5"/>
  <c r="G54" i="3"/>
  <c r="G88" i="3" s="1"/>
  <c r="G92" i="3" s="1"/>
  <c r="G94" i="3" s="1"/>
  <c r="G52" i="3"/>
  <c r="J113" i="3"/>
  <c r="J52" i="3"/>
  <c r="J114" i="3"/>
  <c r="J115" i="3" s="1"/>
  <c r="J116" i="3" s="1"/>
  <c r="O54" i="3"/>
  <c r="O88" i="3" s="1"/>
  <c r="O113" i="3"/>
  <c r="H54" i="3"/>
  <c r="H88" i="3" s="1"/>
  <c r="H92" i="3" s="1"/>
  <c r="H94" i="3" s="1"/>
  <c r="H113" i="3"/>
  <c r="L54" i="3"/>
  <c r="L88" i="3" s="1"/>
  <c r="L92" i="3" s="1"/>
  <c r="L94" i="3" s="1"/>
  <c r="L113" i="3"/>
  <c r="M54" i="3"/>
  <c r="M88" i="3" s="1"/>
  <c r="M92" i="3" s="1"/>
  <c r="M94" i="3" s="1"/>
  <c r="M113" i="3"/>
  <c r="N54" i="3"/>
  <c r="N88" i="3" s="1"/>
  <c r="N92" i="3" s="1"/>
  <c r="N94" i="3" s="1"/>
  <c r="N113" i="3"/>
  <c r="D128" i="3"/>
  <c r="G110" i="3"/>
  <c r="J54" i="3"/>
  <c r="J88" i="3" s="1"/>
  <c r="J92" i="3" s="1"/>
  <c r="J94" i="3" s="1"/>
  <c r="B40" i="1"/>
  <c r="B43" i="1" s="1"/>
  <c r="I39" i="3"/>
  <c r="I51" i="3" s="1"/>
  <c r="I52" i="3" s="1"/>
  <c r="B35" i="3"/>
  <c r="K39" i="3"/>
  <c r="K51" i="3" s="1"/>
  <c r="K52" i="3" s="1"/>
  <c r="O97" i="5" l="1"/>
  <c r="B24" i="4"/>
  <c r="B25" i="4"/>
  <c r="F95" i="5"/>
  <c r="I61" i="5"/>
  <c r="I95" i="5" s="1"/>
  <c r="I99" i="5" s="1"/>
  <c r="I101" i="5" s="1"/>
  <c r="I59" i="5"/>
  <c r="E121" i="5"/>
  <c r="E122" i="5" s="1"/>
  <c r="E133" i="5"/>
  <c r="F113" i="3"/>
  <c r="F114" i="3" s="1"/>
  <c r="B23" i="1"/>
  <c r="L114" i="3"/>
  <c r="L115" i="3" s="1"/>
  <c r="L116" i="3" s="1"/>
  <c r="H114" i="3"/>
  <c r="H115" i="3" s="1"/>
  <c r="H116" i="3" s="1"/>
  <c r="N114" i="3"/>
  <c r="N115" i="3" s="1"/>
  <c r="N116" i="3" s="1"/>
  <c r="O114" i="3"/>
  <c r="O115" i="3" s="1"/>
  <c r="O116" i="3" s="1"/>
  <c r="M114" i="3"/>
  <c r="M115" i="3" s="1"/>
  <c r="M116" i="3" s="1"/>
  <c r="K54" i="3"/>
  <c r="K88" i="3" s="1"/>
  <c r="K92" i="3" s="1"/>
  <c r="K94" i="3" s="1"/>
  <c r="K113" i="3"/>
  <c r="G111" i="3"/>
  <c r="B36" i="3"/>
  <c r="I54" i="3"/>
  <c r="I88" i="3" s="1"/>
  <c r="I92" i="3" s="1"/>
  <c r="I94" i="3" s="1"/>
  <c r="I113" i="3"/>
  <c r="B51" i="3"/>
  <c r="B39" i="3"/>
  <c r="F99" i="5" l="1"/>
  <c r="B95" i="5"/>
  <c r="B61" i="5"/>
  <c r="B36" i="4"/>
  <c r="B97" i="5"/>
  <c r="O98" i="5"/>
  <c r="B98" i="5" s="1"/>
  <c r="C134" i="5"/>
  <c r="O90" i="3"/>
  <c r="F115" i="3"/>
  <c r="G113" i="3"/>
  <c r="B111" i="3"/>
  <c r="K114" i="3"/>
  <c r="K115" i="3" s="1"/>
  <c r="K116" i="3" s="1"/>
  <c r="I114" i="3"/>
  <c r="I115" i="3" s="1"/>
  <c r="I116" i="3" s="1"/>
  <c r="E128" i="3"/>
  <c r="C129" i="3" s="1"/>
  <c r="D129" i="3" s="1"/>
  <c r="F88" i="3"/>
  <c r="B36" i="1" l="1"/>
  <c r="B90" i="3"/>
  <c r="O91" i="3"/>
  <c r="B91" i="3" s="1"/>
  <c r="O99" i="5"/>
  <c r="O101" i="5" s="1"/>
  <c r="B42" i="4"/>
  <c r="B37" i="4"/>
  <c r="F101" i="5"/>
  <c r="B105" i="5"/>
  <c r="B107" i="5" s="1"/>
  <c r="B99" i="5"/>
  <c r="B108" i="5" s="1"/>
  <c r="B109" i="5" s="1"/>
  <c r="B106" i="5"/>
  <c r="B102" i="5"/>
  <c r="F117" i="5"/>
  <c r="F118" i="5" s="1"/>
  <c r="D134" i="5"/>
  <c r="E134" i="5" s="1"/>
  <c r="C135" i="5" s="1"/>
  <c r="G117" i="5" s="1"/>
  <c r="G118" i="5" s="1"/>
  <c r="G120" i="5" s="1"/>
  <c r="G114" i="3"/>
  <c r="G115" i="3"/>
  <c r="G116" i="3" s="1"/>
  <c r="F92" i="3"/>
  <c r="B92" i="3" l="1"/>
  <c r="B101" i="3" s="1"/>
  <c r="B102" i="3" s="1"/>
  <c r="B42" i="1"/>
  <c r="B37" i="1"/>
  <c r="O92" i="3"/>
  <c r="D135" i="5"/>
  <c r="B101" i="5"/>
  <c r="G121" i="5"/>
  <c r="G122" i="5"/>
  <c r="G123" i="5" s="1"/>
  <c r="F120" i="5"/>
  <c r="E135" i="5"/>
  <c r="E129" i="3"/>
  <c r="C130" i="3" s="1"/>
  <c r="D130" i="3" s="1"/>
  <c r="F94" i="3"/>
  <c r="B99" i="3" l="1"/>
  <c r="B98" i="3"/>
  <c r="B100" i="3" s="1"/>
  <c r="B95" i="3"/>
  <c r="O94" i="3"/>
  <c r="B94" i="3" s="1"/>
  <c r="F121" i="5"/>
  <c r="F122" i="5"/>
  <c r="C136" i="5"/>
  <c r="H117" i="5" s="1"/>
  <c r="H118" i="5" s="1"/>
  <c r="G10" i="3"/>
  <c r="H10" i="3"/>
  <c r="I10" i="3"/>
  <c r="J10" i="3"/>
  <c r="K10" i="3"/>
  <c r="L10" i="3"/>
  <c r="M10" i="3"/>
  <c r="N10" i="3"/>
  <c r="O10" i="3"/>
  <c r="F10" i="3"/>
  <c r="E17" i="3"/>
  <c r="G13" i="1"/>
  <c r="E13" i="1"/>
  <c r="E12" i="1"/>
  <c r="G12" i="1" s="1"/>
  <c r="H12" i="1" s="1"/>
  <c r="E11" i="1"/>
  <c r="E10" i="1"/>
  <c r="K9" i="1"/>
  <c r="H9" i="1"/>
  <c r="K8" i="1"/>
  <c r="H8" i="1"/>
  <c r="J7" i="1"/>
  <c r="H7" i="1"/>
  <c r="J6" i="1"/>
  <c r="H6" i="1"/>
  <c r="H5" i="1"/>
  <c r="H120" i="5" l="1"/>
  <c r="D136" i="5"/>
  <c r="B24" i="1"/>
  <c r="B13" i="1"/>
  <c r="G10" i="1"/>
  <c r="B14" i="1" s="1"/>
  <c r="G22" i="1"/>
  <c r="G20" i="1"/>
  <c r="B31" i="1"/>
  <c r="G21" i="1"/>
  <c r="G23" i="1"/>
  <c r="H10" i="1"/>
  <c r="I11" i="1"/>
  <c r="K11" i="1" s="1"/>
  <c r="H13" i="1"/>
  <c r="K7" i="1"/>
  <c r="I10" i="1"/>
  <c r="I12" i="1"/>
  <c r="J12" i="1" s="1"/>
  <c r="I13" i="1"/>
  <c r="J13" i="1" s="1"/>
  <c r="K6" i="1"/>
  <c r="J5" i="1"/>
  <c r="J9" i="1"/>
  <c r="G11" i="1"/>
  <c r="H11" i="1" s="1"/>
  <c r="K5" i="1"/>
  <c r="J8" i="1"/>
  <c r="H121" i="5" l="1"/>
  <c r="H122" i="5"/>
  <c r="H123" i="5" s="1"/>
  <c r="E136" i="5"/>
  <c r="H21" i="1"/>
  <c r="B25" i="1"/>
  <c r="B9" i="1"/>
  <c r="B11" i="1" s="1"/>
  <c r="E130" i="3"/>
  <c r="B32" i="1"/>
  <c r="G24" i="1"/>
  <c r="H23" i="1"/>
  <c r="H20" i="1"/>
  <c r="H22" i="1"/>
  <c r="K13" i="1"/>
  <c r="K12" i="1"/>
  <c r="J10" i="1"/>
  <c r="K10" i="1"/>
  <c r="J11" i="1"/>
  <c r="C137" i="5" l="1"/>
  <c r="I117" i="5" s="1"/>
  <c r="I118" i="5" s="1"/>
  <c r="C131" i="3"/>
  <c r="H24" i="1"/>
  <c r="I120" i="5" l="1"/>
  <c r="D137" i="5"/>
  <c r="D131" i="3"/>
  <c r="E131" i="3" s="1"/>
  <c r="C132" i="3" s="1"/>
  <c r="D132" i="3" s="1"/>
  <c r="I121" i="5" l="1"/>
  <c r="I122" i="5" s="1"/>
  <c r="I123" i="5" s="1"/>
  <c r="E137" i="5"/>
  <c r="E132" i="3"/>
  <c r="C138" i="5" l="1"/>
  <c r="J117" i="5" s="1"/>
  <c r="J118" i="5" s="1"/>
  <c r="C133" i="3"/>
  <c r="D133" i="3" s="1"/>
  <c r="J120" i="5" l="1"/>
  <c r="D138" i="5"/>
  <c r="E133" i="3"/>
  <c r="J121" i="5" l="1"/>
  <c r="J122" i="5"/>
  <c r="J123" i="5" s="1"/>
  <c r="E138" i="5"/>
  <c r="C134" i="3"/>
  <c r="D134" i="3" s="1"/>
  <c r="C139" i="5" l="1"/>
  <c r="K117" i="5" s="1"/>
  <c r="K118" i="5" s="1"/>
  <c r="K120" i="5" s="1"/>
  <c r="E134" i="3"/>
  <c r="K121" i="5" l="1"/>
  <c r="K122" i="5"/>
  <c r="K123" i="5" s="1"/>
  <c r="D139" i="5"/>
  <c r="C135" i="3"/>
  <c r="D135" i="3" s="1"/>
  <c r="E139" i="5" l="1"/>
  <c r="C136" i="3"/>
  <c r="C140" i="5" l="1"/>
  <c r="D136" i="3"/>
  <c r="D140" i="5" l="1"/>
  <c r="E140" i="5" s="1"/>
  <c r="L117" i="5"/>
  <c r="L118" i="5" s="1"/>
  <c r="L120" i="5" s="1"/>
  <c r="C141" i="5"/>
  <c r="F10" i="1"/>
  <c r="D141" i="5" l="1"/>
  <c r="E141" i="5" s="1"/>
  <c r="M117" i="5"/>
  <c r="M118" i="5" s="1"/>
  <c r="M120" i="5" s="1"/>
  <c r="L121" i="5"/>
  <c r="L122" i="5" s="1"/>
  <c r="L123" i="5" s="1"/>
  <c r="C142" i="5"/>
  <c r="N117" i="5" s="1"/>
  <c r="N118" i="5" s="1"/>
  <c r="N120" i="5" l="1"/>
  <c r="B118" i="5"/>
  <c r="M121" i="5"/>
  <c r="M122" i="5"/>
  <c r="M123" i="5" s="1"/>
  <c r="D142" i="5"/>
  <c r="C143" i="5"/>
  <c r="N121" i="5" l="1"/>
  <c r="N122" i="5" s="1"/>
  <c r="N123" i="5" s="1"/>
  <c r="D14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A37" authorId="0" shapeId="0" xr:uid="{2E210291-B3D2-6C4E-B255-6859301B2F44}">
      <text>
        <r>
          <rPr>
            <b/>
            <sz val="10"/>
            <color rgb="FF000000"/>
            <rFont val="Tahoma"/>
            <family val="2"/>
          </rPr>
          <t>Michael Nugent:</t>
        </r>
        <r>
          <rPr>
            <sz val="10"/>
            <color rgb="FF000000"/>
            <rFont val="Tahoma"/>
            <family val="2"/>
          </rPr>
          <t xml:space="preserve">
</t>
        </r>
        <r>
          <rPr>
            <sz val="10"/>
            <color rgb="FF000000"/>
            <rFont val="Corbel"/>
            <family val="2"/>
            <scheme val="minor"/>
          </rPr>
          <t>The </t>
        </r>
        <r>
          <rPr>
            <b/>
            <sz val="10"/>
            <color rgb="FF000000"/>
            <rFont val="Corbel"/>
            <family val="2"/>
            <scheme val="minor"/>
          </rPr>
          <t>loan-to-value</t>
        </r>
        <r>
          <rPr>
            <sz val="10"/>
            <color rgb="FF000000"/>
            <rFont val="Corbel"/>
            <family val="2"/>
            <scheme val="minor"/>
          </rPr>
          <t> (</t>
        </r>
        <r>
          <rPr>
            <b/>
            <sz val="10"/>
            <color rgb="FF000000"/>
            <rFont val="Corbel"/>
            <family val="2"/>
            <scheme val="minor"/>
          </rPr>
          <t>LTV</t>
        </r>
        <r>
          <rPr>
            <sz val="10"/>
            <color rgb="FF000000"/>
            <rFont val="Corbel"/>
            <family val="2"/>
            <scheme val="minor"/>
          </rPr>
          <t>) ratio is an assessment of lending risk that </t>
        </r>
        <r>
          <rPr>
            <b/>
            <sz val="10"/>
            <color rgb="FF000000"/>
            <rFont val="Corbel"/>
            <family val="2"/>
            <scheme val="minor"/>
          </rPr>
          <t>financial</t>
        </r>
        <r>
          <rPr>
            <sz val="10"/>
            <color rgb="FF000000"/>
            <rFont val="Corbel"/>
            <family val="2"/>
            <scheme val="minor"/>
          </rPr>
          <t> institutions and other lenders examine before approving a mortgage.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A37" authorId="0" shapeId="0" xr:uid="{AB1A57F1-42D0-4BA5-B414-FE401BB19080}">
      <text>
        <r>
          <rPr>
            <b/>
            <sz val="10"/>
            <color rgb="FF000000"/>
            <rFont val="Tahoma"/>
            <family val="2"/>
          </rPr>
          <t>Michael Nugent:</t>
        </r>
        <r>
          <rPr>
            <sz val="10"/>
            <color rgb="FF000000"/>
            <rFont val="Tahoma"/>
            <family val="2"/>
          </rPr>
          <t xml:space="preserve">
</t>
        </r>
        <r>
          <rPr>
            <sz val="10"/>
            <color rgb="FF000000"/>
            <rFont val="Corbel"/>
            <family val="2"/>
            <scheme val="minor"/>
          </rPr>
          <t>The </t>
        </r>
        <r>
          <rPr>
            <b/>
            <sz val="10"/>
            <color rgb="FF000000"/>
            <rFont val="Corbel"/>
            <family val="2"/>
            <scheme val="minor"/>
          </rPr>
          <t>loan-to-value</t>
        </r>
        <r>
          <rPr>
            <sz val="10"/>
            <color rgb="FF000000"/>
            <rFont val="Corbel"/>
            <family val="2"/>
            <scheme val="minor"/>
          </rPr>
          <t> (</t>
        </r>
        <r>
          <rPr>
            <b/>
            <sz val="10"/>
            <color rgb="FF000000"/>
            <rFont val="Corbel"/>
            <family val="2"/>
            <scheme val="minor"/>
          </rPr>
          <t>LTV</t>
        </r>
        <r>
          <rPr>
            <sz val="10"/>
            <color rgb="FF000000"/>
            <rFont val="Corbel"/>
            <family val="2"/>
            <scheme val="minor"/>
          </rPr>
          <t>) ratio is an assessment of lending risk that </t>
        </r>
        <r>
          <rPr>
            <b/>
            <sz val="10"/>
            <color rgb="FF000000"/>
            <rFont val="Corbel"/>
            <family val="2"/>
            <scheme val="minor"/>
          </rPr>
          <t>financial</t>
        </r>
        <r>
          <rPr>
            <sz val="10"/>
            <color rgb="FF000000"/>
            <rFont val="Corbel"/>
            <family val="2"/>
            <scheme val="minor"/>
          </rPr>
          <t> institutions and other lenders examine before approving a mortgage.</t>
        </r>
      </text>
    </comment>
  </commentList>
</comments>
</file>

<file path=xl/sharedStrings.xml><?xml version="1.0" encoding="utf-8"?>
<sst xmlns="http://schemas.openxmlformats.org/spreadsheetml/2006/main" count="460" uniqueCount="198">
  <si>
    <t>Unit Mix</t>
  </si>
  <si>
    <t>Unit Type</t>
  </si>
  <si>
    <t># Units</t>
  </si>
  <si>
    <t>% Total</t>
  </si>
  <si>
    <t>SF/Unit</t>
  </si>
  <si>
    <t>SF</t>
  </si>
  <si>
    <t>Rent/Month</t>
  </si>
  <si>
    <t>Rent/SF</t>
  </si>
  <si>
    <t>Annual Rent</t>
  </si>
  <si>
    <t>`</t>
  </si>
  <si>
    <t>1 Bed / 1 Bath (A1)</t>
  </si>
  <si>
    <t>1 Bed / 1 Bath (A2)</t>
  </si>
  <si>
    <t>2 Bed / 2 Bath (B1)</t>
  </si>
  <si>
    <t>2 Bed / 2 Bath (B2) Den</t>
  </si>
  <si>
    <t>3 Bed / 2 Bath (B2)</t>
  </si>
  <si>
    <t>Total/Average</t>
  </si>
  <si>
    <t>1 Bed</t>
  </si>
  <si>
    <t>2 Bed</t>
  </si>
  <si>
    <t>3 Bed</t>
  </si>
  <si>
    <t>Site Assumptions</t>
  </si>
  <si>
    <t>Sources And Uses</t>
  </si>
  <si>
    <t>$ Amount</t>
  </si>
  <si>
    <t>$/Unit</t>
  </si>
  <si>
    <t>$/NSF</t>
  </si>
  <si>
    <t>Project Name</t>
  </si>
  <si>
    <t>Sources</t>
  </si>
  <si>
    <t>County</t>
  </si>
  <si>
    <t>Equity</t>
  </si>
  <si>
    <t>State</t>
  </si>
  <si>
    <t>LP Equity</t>
  </si>
  <si>
    <t>Building Assumptions</t>
  </si>
  <si>
    <t>GP Equity</t>
  </si>
  <si>
    <t>Gross Buildable SF (GSF)</t>
  </si>
  <si>
    <t>Debt</t>
  </si>
  <si>
    <t xml:space="preserve">Residential Net Rentable SF </t>
  </si>
  <si>
    <t>Total Sources</t>
  </si>
  <si>
    <t>Commercial Net Rentable SF</t>
  </si>
  <si>
    <t>Uses</t>
  </si>
  <si>
    <t>Total Net Rentable SF (NSF)</t>
  </si>
  <si>
    <t>Acquisitions Costs</t>
  </si>
  <si>
    <t>Efficiency Factor</t>
  </si>
  <si>
    <t>Hard Costs</t>
  </si>
  <si>
    <t>Residential Units</t>
  </si>
  <si>
    <t>Soft Costs</t>
  </si>
  <si>
    <t>Avg. Unit Size</t>
  </si>
  <si>
    <t>Financing Costs</t>
  </si>
  <si>
    <t>Parking Spaces</t>
  </si>
  <si>
    <t>Total Uses</t>
  </si>
  <si>
    <t>Storage Units</t>
  </si>
  <si>
    <t>IRR</t>
  </si>
  <si>
    <t>Exit Assumptions</t>
  </si>
  <si>
    <t>Hold Period (Years)</t>
  </si>
  <si>
    <t>Sale Date</t>
  </si>
  <si>
    <t>Forward NOI</t>
  </si>
  <si>
    <t>Exit Cap</t>
  </si>
  <si>
    <t>Gross Proceeds</t>
  </si>
  <si>
    <t>Per Unit</t>
  </si>
  <si>
    <t>Per NSF</t>
  </si>
  <si>
    <t>Cost Of Sale</t>
  </si>
  <si>
    <t>Construction Financing</t>
  </si>
  <si>
    <t>Loan Amount</t>
  </si>
  <si>
    <t>LTV %</t>
  </si>
  <si>
    <t>Going-In Metrics (Untrended Pro Forma)</t>
  </si>
  <si>
    <t>Valuation Cap Rate</t>
  </si>
  <si>
    <t>Valuation</t>
  </si>
  <si>
    <t>Debt Yield</t>
  </si>
  <si>
    <t>Takeout Metrics</t>
  </si>
  <si>
    <t>Total Financing Costs</t>
  </si>
  <si>
    <t>Year 6 NOI</t>
  </si>
  <si>
    <t>Appraisal</t>
  </si>
  <si>
    <t xml:space="preserve">Lender Third Party Reports </t>
  </si>
  <si>
    <t>Lender Legal Fees</t>
  </si>
  <si>
    <t>Lender Inspection</t>
  </si>
  <si>
    <t>Mortgage Recording Tax</t>
  </si>
  <si>
    <t>Doc Stamps and Intangible Tax</t>
  </si>
  <si>
    <t>Lender Fee</t>
  </si>
  <si>
    <t>Mortgage Broker Fee</t>
  </si>
  <si>
    <t>Equity Broker Fee</t>
  </si>
  <si>
    <t>Title Insurance</t>
  </si>
  <si>
    <t>Monthly Title Updates</t>
  </si>
  <si>
    <t>Interest Reserve</t>
  </si>
  <si>
    <t>Apartments</t>
  </si>
  <si>
    <t>Suffolk</t>
  </si>
  <si>
    <t>New York</t>
  </si>
  <si>
    <t>Year</t>
  </si>
  <si>
    <t>Month</t>
  </si>
  <si>
    <t>Ending Date</t>
  </si>
  <si>
    <t>Property Performance</t>
  </si>
  <si>
    <t>Units Complete</t>
  </si>
  <si>
    <t>Completed %</t>
  </si>
  <si>
    <t>Cumulative Units Leased</t>
  </si>
  <si>
    <t>Market Rent Growth</t>
  </si>
  <si>
    <t>Operating Cash Flow</t>
  </si>
  <si>
    <t>Total/WA</t>
  </si>
  <si>
    <t>Revenue</t>
  </si>
  <si>
    <t xml:space="preserve">Apartment Rental Revenue </t>
  </si>
  <si>
    <t>Potential Gross Revenue</t>
  </si>
  <si>
    <t>Effective Gross Revenue</t>
  </si>
  <si>
    <t>Operating Expenses</t>
  </si>
  <si>
    <t>Real Estate Taxes</t>
  </si>
  <si>
    <t>Payroll &amp; Benefits</t>
  </si>
  <si>
    <t>Insurance</t>
  </si>
  <si>
    <t>Utilities</t>
  </si>
  <si>
    <t>Repairs &amp; Maintenance,Con Serv, TO</t>
  </si>
  <si>
    <t>Administrative &amp; Marketing</t>
  </si>
  <si>
    <t>Management Fee</t>
  </si>
  <si>
    <t>Total Operating Expenses</t>
  </si>
  <si>
    <t>Reserves</t>
  </si>
  <si>
    <t>Net Cash Flow</t>
  </si>
  <si>
    <t>Development Cash Flow</t>
  </si>
  <si>
    <t>Total</t>
  </si>
  <si>
    <t>Acquisition Costs</t>
  </si>
  <si>
    <t>Land Costs</t>
  </si>
  <si>
    <t>Legal Fees (Acquisition &amp; LLC)</t>
  </si>
  <si>
    <t>Buyers Brokers Fee</t>
  </si>
  <si>
    <t>Acquisition Fee</t>
  </si>
  <si>
    <t>Other Closing Costs</t>
  </si>
  <si>
    <t>Other Pre-Development DD Costs</t>
  </si>
  <si>
    <t>Total Acquisitions Costs</t>
  </si>
  <si>
    <t>Building Construction Costs</t>
  </si>
  <si>
    <t>Structure Parking Costs</t>
  </si>
  <si>
    <t>Sitework</t>
  </si>
  <si>
    <t>Hard Cost Contingency</t>
  </si>
  <si>
    <t>Total Hard Costs</t>
  </si>
  <si>
    <t>Legal Fees</t>
  </si>
  <si>
    <t>Insurance, Taxes &amp; Mermit Fees</t>
  </si>
  <si>
    <t>Architecture, Engineering &amp; Survey</t>
  </si>
  <si>
    <t>FF&amp;E</t>
  </si>
  <si>
    <t>Marketing Costs</t>
  </si>
  <si>
    <t>Misc. Reimbursable</t>
  </si>
  <si>
    <t>Construction Management Fee</t>
  </si>
  <si>
    <t>Developers Overhead</t>
  </si>
  <si>
    <t>Soft Costs Contingency</t>
  </si>
  <si>
    <t>Total Soft Costs</t>
  </si>
  <si>
    <t>Total Development Cash Flow</t>
  </si>
  <si>
    <t>Sale Proceeds</t>
  </si>
  <si>
    <t>Sales Cost</t>
  </si>
  <si>
    <t>Net Proceeds</t>
  </si>
  <si>
    <t>Equity Multiple (EM)</t>
  </si>
  <si>
    <t>Whole Dollar Profit (WDP)</t>
  </si>
  <si>
    <t>Financing Cash Flow</t>
  </si>
  <si>
    <t>Interest Payments</t>
  </si>
  <si>
    <t>Total Interest Payments</t>
  </si>
  <si>
    <t>Avg Market Rent ($/Unit/Mo.)</t>
  </si>
  <si>
    <t>Parking Income 5% of Rent</t>
  </si>
  <si>
    <t>Tenant Storage Income 2% of Rent</t>
  </si>
  <si>
    <t>Vacancy Loss - Residential -2%</t>
  </si>
  <si>
    <t>Vacancy Loss - Parking -2%</t>
  </si>
  <si>
    <t>Vacancy Loss - Storage -2%</t>
  </si>
  <si>
    <t>Discounted Cash Flow</t>
  </si>
  <si>
    <t>Exit Cap Rate WACC</t>
  </si>
  <si>
    <t>Gross Proceeds From Sale</t>
  </si>
  <si>
    <t>NPV</t>
  </si>
  <si>
    <t>Project Level Returns</t>
  </si>
  <si>
    <t>% WDP From Development</t>
  </si>
  <si>
    <t>Pro Forma NCF Year 6</t>
  </si>
  <si>
    <t>Loan principal</t>
  </si>
  <si>
    <t>Annual rate of interest</t>
  </si>
  <si>
    <t xml:space="preserve"> Number of years</t>
  </si>
  <si>
    <t>Feq (m)</t>
  </si>
  <si>
    <t>Annual annuity payments</t>
  </si>
  <si>
    <t>To Interest</t>
  </si>
  <si>
    <t>To Principal</t>
  </si>
  <si>
    <t>Year-End Principal</t>
  </si>
  <si>
    <t>Totals</t>
  </si>
  <si>
    <t xml:space="preserve">Construction Loan </t>
  </si>
  <si>
    <t xml:space="preserve">CONSTRUCTION LOAN AMORTIZATION SCHEDULE				</t>
  </si>
  <si>
    <t>Total Annual Payment</t>
  </si>
  <si>
    <t>EBT (earning before tax)</t>
  </si>
  <si>
    <t xml:space="preserve"> </t>
  </si>
  <si>
    <t>Net Income</t>
  </si>
  <si>
    <t>Net Operating Income EBIT</t>
  </si>
  <si>
    <t>Construction Loan Interest payments</t>
  </si>
  <si>
    <t>Net Profit Margin</t>
  </si>
  <si>
    <t>Operating Profit Margin</t>
  </si>
  <si>
    <t>Income Tax Rate 21%</t>
  </si>
  <si>
    <t>PROJECT 1 FINANCIAL ANALYSIS</t>
  </si>
  <si>
    <t>PROJECT 1 ASSUMPTIONS</t>
  </si>
  <si>
    <t>PROJECT 2 ASSUMPTIONS</t>
  </si>
  <si>
    <t>4 Bed / 2 Bath (B2)</t>
  </si>
  <si>
    <t>Studio</t>
  </si>
  <si>
    <t>SF (square footage)</t>
  </si>
  <si>
    <t>SF/ Per Unit</t>
  </si>
  <si>
    <t>Queens</t>
  </si>
  <si>
    <t>Average</t>
  </si>
  <si>
    <t>DASHBOARD AREA</t>
  </si>
  <si>
    <t>PROJECT 2 FINANCIAL ANALYSIS</t>
  </si>
  <si>
    <t>Parking Income 4% of Rent</t>
  </si>
  <si>
    <t>Pet Fee Income 1% of Rent</t>
  </si>
  <si>
    <t>Vacancy Loss - Pet -2%</t>
  </si>
  <si>
    <t>Vacancy Loss - Residential -3%</t>
  </si>
  <si>
    <t>Vacancy Loss - Parking -1%</t>
  </si>
  <si>
    <t>Tenant Storage Income 1.5% of Rent</t>
  </si>
  <si>
    <t>Total W/A</t>
  </si>
  <si>
    <t>Sum of Annual Rent</t>
  </si>
  <si>
    <t>Sum of Rent/SF</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</si>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</sst>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
    <numFmt numFmtId="167" formatCode="&quot;$&quot;#,##0.0000_);\(&quot;$&quot;#,##0.0000\)"/>
    <numFmt numFmtId="168" formatCode="[$-409]mmm\-yy;@"/>
    <numFmt numFmtId="169" formatCode="&quot;$&quot;#,##0.00000_);\(&quot;$&quot;#,##0.00000\)"/>
    <numFmt numFmtId="170" formatCode="0.0%"/>
    <numFmt numFmtId="171" formatCode="_(* #,##0_);_(* \(#,##0\);_(* &quot;-&quot;??_);_(@_)"/>
  </numFmts>
  <fonts count="22" x14ac:knownFonts="1">
    <font>
      <sz val="12"/>
      <color theme="1"/>
      <name val="Corbel"/>
      <family val="2"/>
      <scheme val="minor"/>
    </font>
    <font>
      <sz val="11"/>
      <color theme="1"/>
      <name val="Corbel"/>
      <family val="2"/>
      <scheme val="minor"/>
    </font>
    <font>
      <sz val="12"/>
      <color theme="1"/>
      <name val="Corbel"/>
      <family val="2"/>
      <scheme val="minor"/>
    </font>
    <font>
      <b/>
      <sz val="12"/>
      <color theme="1"/>
      <name val="Corbel"/>
      <family val="2"/>
      <scheme val="minor"/>
    </font>
    <font>
      <b/>
      <sz val="11"/>
      <color theme="0"/>
      <name val="Corbel"/>
      <family val="2"/>
      <scheme val="minor"/>
    </font>
    <font>
      <sz val="11"/>
      <color theme="0"/>
      <name val="Corbel"/>
      <family val="2"/>
      <scheme val="minor"/>
    </font>
    <font>
      <b/>
      <sz val="11"/>
      <color theme="1"/>
      <name val="Corbel"/>
      <family val="2"/>
      <scheme val="minor"/>
    </font>
    <font>
      <sz val="11"/>
      <color rgb="FF0000FF"/>
      <name val="Corbel"/>
      <family val="2"/>
      <scheme val="minor"/>
    </font>
    <font>
      <sz val="11"/>
      <name val="Corbel"/>
      <family val="2"/>
      <scheme val="minor"/>
    </font>
    <font>
      <b/>
      <sz val="11"/>
      <name val="Corbel"/>
      <family val="2"/>
      <scheme val="minor"/>
    </font>
    <font>
      <sz val="10"/>
      <color rgb="FF000000"/>
      <name val="Tahoma"/>
      <family val="2"/>
    </font>
    <font>
      <b/>
      <sz val="10"/>
      <color rgb="FF000000"/>
      <name val="Tahoma"/>
      <family val="2"/>
    </font>
    <font>
      <sz val="10"/>
      <color rgb="FF000000"/>
      <name val="Corbel"/>
      <family val="2"/>
      <scheme val="minor"/>
    </font>
    <font>
      <b/>
      <sz val="10"/>
      <color rgb="FF000000"/>
      <name val="Corbel"/>
      <family val="2"/>
      <scheme val="minor"/>
    </font>
    <font>
      <sz val="12"/>
      <name val="Times New Roman"/>
      <family val="1"/>
    </font>
    <font>
      <sz val="12"/>
      <name val="Times New Roman"/>
      <family val="1"/>
    </font>
    <font>
      <b/>
      <sz val="11"/>
      <name val="Arial"/>
      <family val="2"/>
    </font>
    <font>
      <sz val="10"/>
      <name val="Arial"/>
      <family val="2"/>
    </font>
    <font>
      <sz val="8"/>
      <name val="Corbel"/>
      <family val="2"/>
      <scheme val="minor"/>
    </font>
    <font>
      <sz val="28"/>
      <color theme="1"/>
      <name val="Corbel"/>
      <family val="2"/>
      <scheme val="minor"/>
    </font>
    <font>
      <sz val="11"/>
      <color theme="5" tint="0.39997558519241921"/>
      <name val="Corbel"/>
      <family val="2"/>
      <scheme val="minor"/>
    </font>
    <font>
      <sz val="12"/>
      <color rgb="FFFF0000"/>
      <name val="Corbel"/>
      <family val="2"/>
      <scheme val="minor"/>
    </font>
  </fonts>
  <fills count="1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1" tint="4.9989318521683403E-2"/>
        <bgColor indexed="64"/>
      </patternFill>
    </fill>
  </fills>
  <borders count="5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auto="1"/>
      </top>
      <bottom/>
      <diagonal/>
    </border>
    <border>
      <left/>
      <right style="thin">
        <color indexed="64"/>
      </right>
      <top style="thin">
        <color auto="1"/>
      </top>
      <bottom/>
      <diagonal/>
    </border>
    <border>
      <left/>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theme="0"/>
      </left>
      <right style="thin">
        <color theme="0"/>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auto="1"/>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theme="0"/>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thin">
        <color indexed="64"/>
      </bottom>
      <diagonal/>
    </border>
    <border>
      <left/>
      <right style="thin">
        <color theme="0"/>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medium">
        <color auto="1"/>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s>
  <cellStyleXfs count="8">
    <xf numFmtId="0" fontId="0" fillId="0" borderId="0"/>
    <xf numFmtId="9" fontId="2" fillId="0" borderId="0" applyFont="0" applyFill="0" applyBorder="0" applyAlignment="0" applyProtection="0"/>
    <xf numFmtId="0" fontId="14" fillId="0" borderId="0"/>
    <xf numFmtId="44"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 fillId="0" borderId="0"/>
    <xf numFmtId="43" fontId="2" fillId="0" borderId="0" applyFont="0" applyFill="0" applyBorder="0" applyAlignment="0" applyProtection="0"/>
  </cellStyleXfs>
  <cellXfs count="358">
    <xf numFmtId="0" fontId="0" fillId="0" borderId="0" xfId="0"/>
    <xf numFmtId="0" fontId="0" fillId="0" borderId="0" xfId="0" applyAlignment="1">
      <alignment horizontal="center"/>
    </xf>
    <xf numFmtId="165" fontId="0" fillId="0" borderId="0" xfId="0" applyNumberFormat="1" applyAlignment="1">
      <alignment horizontal="center"/>
    </xf>
    <xf numFmtId="165" fontId="0" fillId="0" borderId="0" xfId="0" applyNumberFormat="1"/>
    <xf numFmtId="0" fontId="3" fillId="0" borderId="0" xfId="0" applyFont="1" applyAlignment="1">
      <alignment horizontal="left" indent="1"/>
    </xf>
    <xf numFmtId="167" fontId="0" fillId="0" borderId="0" xfId="0" applyNumberFormat="1"/>
    <xf numFmtId="5" fontId="0" fillId="0" borderId="0" xfId="0" applyNumberFormat="1"/>
    <xf numFmtId="0" fontId="6" fillId="0" borderId="6" xfId="0" applyFont="1" applyBorder="1" applyAlignment="1">
      <alignment horizontal="center"/>
    </xf>
    <xf numFmtId="164" fontId="6" fillId="0" borderId="6" xfId="0" applyNumberFormat="1" applyFont="1" applyBorder="1" applyAlignment="1">
      <alignment horizontal="center"/>
    </xf>
    <xf numFmtId="9" fontId="0" fillId="0" borderId="11" xfId="0" applyNumberFormat="1" applyBorder="1" applyAlignment="1">
      <alignment horizontal="center"/>
    </xf>
    <xf numFmtId="5" fontId="0" fillId="0" borderId="11" xfId="0" applyNumberFormat="1" applyBorder="1" applyAlignment="1">
      <alignment horizontal="center"/>
    </xf>
    <xf numFmtId="9" fontId="6" fillId="3" borderId="3" xfId="0" applyNumberFormat="1" applyFont="1" applyFill="1" applyBorder="1" applyAlignment="1">
      <alignment horizontal="center"/>
    </xf>
    <xf numFmtId="5" fontId="6" fillId="3" borderId="3" xfId="0" applyNumberFormat="1" applyFont="1" applyFill="1" applyBorder="1" applyAlignment="1">
      <alignment horizontal="center"/>
    </xf>
    <xf numFmtId="5" fontId="6" fillId="0" borderId="6" xfId="0" applyNumberFormat="1" applyFont="1" applyBorder="1" applyAlignment="1">
      <alignment horizontal="center"/>
    </xf>
    <xf numFmtId="9" fontId="0" fillId="0" borderId="0" xfId="1" applyFont="1" applyBorder="1" applyAlignment="1">
      <alignment horizontal="center"/>
    </xf>
    <xf numFmtId="0" fontId="6" fillId="3" borderId="3" xfId="0" applyFont="1" applyFill="1" applyBorder="1" applyAlignment="1">
      <alignment horizontal="center"/>
    </xf>
    <xf numFmtId="3" fontId="0" fillId="0" borderId="0" xfId="0" applyNumberFormat="1"/>
    <xf numFmtId="0" fontId="0" fillId="6" borderId="0" xfId="0" applyFill="1"/>
    <xf numFmtId="0" fontId="0" fillId="0" borderId="6" xfId="0" applyBorder="1" applyAlignment="1">
      <alignment horizontal="center"/>
    </xf>
    <xf numFmtId="0" fontId="3" fillId="0" borderId="6" xfId="0" applyFont="1" applyBorder="1" applyAlignment="1">
      <alignment horizontal="left" indent="1"/>
    </xf>
    <xf numFmtId="0" fontId="0" fillId="0" borderId="6" xfId="0" applyBorder="1"/>
    <xf numFmtId="0" fontId="0" fillId="0" borderId="0" xfId="0" applyAlignment="1">
      <alignment horizontal="left" indent="1"/>
    </xf>
    <xf numFmtId="0" fontId="6" fillId="3" borderId="6" xfId="0" applyFont="1" applyFill="1" applyBorder="1" applyAlignment="1">
      <alignment horizontal="left" indent="1"/>
    </xf>
    <xf numFmtId="0" fontId="6" fillId="3" borderId="6" xfId="0" applyFont="1" applyFill="1" applyBorder="1" applyAlignment="1">
      <alignment horizontal="center"/>
    </xf>
    <xf numFmtId="0" fontId="6" fillId="3" borderId="11" xfId="0" applyFont="1" applyFill="1" applyBorder="1" applyAlignment="1">
      <alignment horizontal="left" indent="1"/>
    </xf>
    <xf numFmtId="0" fontId="6" fillId="3" borderId="11" xfId="0" applyFont="1" applyFill="1" applyBorder="1" applyAlignment="1">
      <alignment horizontal="center"/>
    </xf>
    <xf numFmtId="168" fontId="6" fillId="3" borderId="11" xfId="0" applyNumberFormat="1" applyFont="1" applyFill="1" applyBorder="1" applyAlignment="1">
      <alignment horizontal="center"/>
    </xf>
    <xf numFmtId="5" fontId="4" fillId="0" borderId="6" xfId="0" applyNumberFormat="1" applyFont="1" applyBorder="1" applyAlignment="1">
      <alignment horizontal="center"/>
    </xf>
    <xf numFmtId="0" fontId="4" fillId="0" borderId="6" xfId="0" applyFont="1" applyBorder="1" applyAlignment="1">
      <alignment horizontal="center"/>
    </xf>
    <xf numFmtId="0" fontId="4" fillId="7" borderId="7" xfId="0" applyFont="1" applyFill="1" applyBorder="1" applyAlignment="1">
      <alignment horizontal="center"/>
    </xf>
    <xf numFmtId="0" fontId="4" fillId="7" borderId="11" xfId="0" applyFont="1" applyFill="1" applyBorder="1" applyAlignment="1">
      <alignment horizontal="center"/>
    </xf>
    <xf numFmtId="0" fontId="4" fillId="7" borderId="9" xfId="0" applyFont="1" applyFill="1" applyBorder="1" applyAlignment="1">
      <alignment horizontal="center"/>
    </xf>
    <xf numFmtId="10" fontId="8" fillId="7" borderId="11" xfId="0" applyNumberFormat="1" applyFont="1" applyFill="1" applyBorder="1" applyAlignment="1">
      <alignment horizontal="center"/>
    </xf>
    <xf numFmtId="0" fontId="0" fillId="0" borderId="7" xfId="0" applyBorder="1" applyAlignment="1">
      <alignment horizontal="center"/>
    </xf>
    <xf numFmtId="10" fontId="0" fillId="0" borderId="0" xfId="0" applyNumberFormat="1" applyAlignment="1">
      <alignment horizontal="center"/>
    </xf>
    <xf numFmtId="5" fontId="4" fillId="2" borderId="3" xfId="0" applyNumberFormat="1" applyFont="1" applyFill="1" applyBorder="1" applyAlignment="1">
      <alignment horizontal="center"/>
    </xf>
    <xf numFmtId="0" fontId="6" fillId="0" borderId="0" xfId="0" applyFont="1" applyAlignment="1">
      <alignment horizontal="left" indent="1"/>
    </xf>
    <xf numFmtId="5" fontId="6" fillId="0" borderId="14" xfId="0" applyNumberFormat="1" applyFont="1" applyBorder="1" applyAlignment="1">
      <alignment horizontal="center"/>
    </xf>
    <xf numFmtId="5" fontId="6" fillId="0" borderId="0" xfId="0" applyNumberFormat="1" applyFont="1" applyAlignment="1">
      <alignment horizontal="center"/>
    </xf>
    <xf numFmtId="7" fontId="6" fillId="0" borderId="6" xfId="0" applyNumberFormat="1" applyFont="1" applyBorder="1" applyAlignment="1">
      <alignment horizontal="center"/>
    </xf>
    <xf numFmtId="5" fontId="6" fillId="0" borderId="13" xfId="0" applyNumberFormat="1" applyFont="1" applyBorder="1" applyAlignment="1">
      <alignment horizontal="center"/>
    </xf>
    <xf numFmtId="5" fontId="4" fillId="2" borderId="12" xfId="0" applyNumberFormat="1" applyFont="1" applyFill="1" applyBorder="1" applyAlignment="1">
      <alignment horizontal="center"/>
    </xf>
    <xf numFmtId="5" fontId="6" fillId="0" borderId="15" xfId="0" applyNumberFormat="1" applyFont="1" applyBorder="1" applyAlignment="1">
      <alignment horizontal="center"/>
    </xf>
    <xf numFmtId="8" fontId="0" fillId="0" borderId="0" xfId="0" applyNumberFormat="1"/>
    <xf numFmtId="0" fontId="14" fillId="0" borderId="16" xfId="2" applyBorder="1" applyAlignment="1">
      <alignment horizontal="center"/>
    </xf>
    <xf numFmtId="0" fontId="14" fillId="0" borderId="24" xfId="2" applyBorder="1" applyAlignment="1">
      <alignment horizontal="center"/>
    </xf>
    <xf numFmtId="165" fontId="14" fillId="0" borderId="16" xfId="2" applyNumberFormat="1" applyBorder="1" applyAlignment="1">
      <alignment horizontal="center"/>
    </xf>
    <xf numFmtId="0" fontId="14" fillId="10" borderId="20" xfId="2" applyFill="1" applyBorder="1"/>
    <xf numFmtId="0" fontId="14" fillId="10" borderId="21" xfId="2" applyFill="1" applyBorder="1"/>
    <xf numFmtId="164" fontId="14" fillId="0" borderId="16" xfId="2" applyNumberFormat="1" applyBorder="1" applyAlignment="1">
      <alignment horizontal="center"/>
    </xf>
    <xf numFmtId="165" fontId="14" fillId="0" borderId="16" xfId="2" applyNumberFormat="1" applyBorder="1"/>
    <xf numFmtId="10" fontId="15" fillId="0" borderId="16" xfId="4" applyNumberFormat="1" applyBorder="1" applyAlignment="1">
      <alignment horizontal="center"/>
    </xf>
    <xf numFmtId="0" fontId="14" fillId="10" borderId="29" xfId="2" applyFill="1" applyBorder="1"/>
    <xf numFmtId="0" fontId="14" fillId="0" borderId="28" xfId="2" applyBorder="1" applyAlignment="1">
      <alignment horizontal="center" wrapText="1"/>
    </xf>
    <xf numFmtId="0" fontId="14" fillId="0" borderId="8" xfId="2" applyBorder="1" applyAlignment="1">
      <alignment horizontal="center"/>
    </xf>
    <xf numFmtId="0" fontId="14" fillId="0" borderId="16" xfId="2" applyBorder="1" applyAlignment="1">
      <alignment horizontal="center" vertical="center" wrapText="1"/>
    </xf>
    <xf numFmtId="165" fontId="14" fillId="0" borderId="25" xfId="2" applyNumberFormat="1" applyBorder="1"/>
    <xf numFmtId="164" fontId="0" fillId="0" borderId="0" xfId="0" applyNumberFormat="1"/>
    <xf numFmtId="165" fontId="14" fillId="4" borderId="25" xfId="2" applyNumberFormat="1" applyFill="1" applyBorder="1"/>
    <xf numFmtId="5" fontId="0" fillId="4" borderId="32" xfId="0" applyNumberFormat="1" applyFill="1" applyBorder="1" applyAlignment="1">
      <alignment horizontal="center"/>
    </xf>
    <xf numFmtId="0" fontId="6" fillId="3" borderId="30" xfId="0" applyFont="1" applyFill="1" applyBorder="1" applyAlignment="1">
      <alignment horizontal="center" vertical="center" wrapText="1"/>
    </xf>
    <xf numFmtId="0" fontId="6" fillId="3" borderId="31" xfId="0" applyFont="1" applyFill="1" applyBorder="1" applyAlignment="1">
      <alignment horizontal="center" vertical="center" wrapText="1"/>
    </xf>
    <xf numFmtId="164" fontId="6" fillId="3" borderId="31" xfId="0" applyNumberFormat="1" applyFont="1" applyFill="1" applyBorder="1" applyAlignment="1">
      <alignment horizontal="center" vertical="center" wrapText="1"/>
    </xf>
    <xf numFmtId="165" fontId="6" fillId="3" borderId="31" xfId="0" applyNumberFormat="1" applyFont="1" applyFill="1" applyBorder="1" applyAlignment="1">
      <alignment horizontal="center" vertical="center" wrapText="1"/>
    </xf>
    <xf numFmtId="0" fontId="0" fillId="6" borderId="0" xfId="0" applyFill="1" applyAlignment="1">
      <alignment horizontal="center"/>
    </xf>
    <xf numFmtId="9" fontId="0" fillId="6" borderId="0" xfId="1" applyFont="1" applyFill="1" applyAlignment="1">
      <alignment horizontal="center"/>
    </xf>
    <xf numFmtId="166" fontId="0" fillId="6" borderId="0" xfId="0" applyNumberFormat="1" applyFill="1" applyAlignment="1">
      <alignment horizontal="center"/>
    </xf>
    <xf numFmtId="164" fontId="0" fillId="6" borderId="0" xfId="0" applyNumberFormat="1" applyFill="1" applyAlignment="1">
      <alignment horizontal="center"/>
    </xf>
    <xf numFmtId="165" fontId="0" fillId="6" borderId="0" xfId="0" applyNumberFormat="1" applyFill="1" applyAlignment="1">
      <alignment horizontal="center"/>
    </xf>
    <xf numFmtId="0" fontId="4" fillId="2" borderId="17" xfId="0" applyFont="1" applyFill="1" applyBorder="1" applyAlignment="1">
      <alignment horizontal="left" indent="1"/>
    </xf>
    <xf numFmtId="0" fontId="5" fillId="2" borderId="33" xfId="0" applyFont="1" applyFill="1" applyBorder="1" applyAlignment="1">
      <alignment horizontal="center"/>
    </xf>
    <xf numFmtId="164" fontId="5" fillId="2" borderId="33" xfId="0" applyNumberFormat="1" applyFont="1" applyFill="1" applyBorder="1" applyAlignment="1">
      <alignment horizontal="center"/>
    </xf>
    <xf numFmtId="165" fontId="5" fillId="2" borderId="33" xfId="0" applyNumberFormat="1" applyFont="1" applyFill="1" applyBorder="1" applyAlignment="1">
      <alignment horizontal="center"/>
    </xf>
    <xf numFmtId="164" fontId="5" fillId="2" borderId="19" xfId="0" applyNumberFormat="1" applyFont="1" applyFill="1" applyBorder="1" applyAlignment="1">
      <alignment horizontal="center"/>
    </xf>
    <xf numFmtId="164" fontId="6" fillId="3" borderId="32" xfId="0" applyNumberFormat="1" applyFont="1" applyFill="1" applyBorder="1" applyAlignment="1">
      <alignment horizontal="center" vertical="center" wrapText="1"/>
    </xf>
    <xf numFmtId="0" fontId="0" fillId="0" borderId="20" xfId="0" applyBorder="1"/>
    <xf numFmtId="9" fontId="0" fillId="0" borderId="0" xfId="1" applyFont="1" applyBorder="1"/>
    <xf numFmtId="164" fontId="0" fillId="0" borderId="21" xfId="0" applyNumberFormat="1" applyBorder="1" applyAlignment="1">
      <alignment horizontal="center"/>
    </xf>
    <xf numFmtId="0" fontId="6" fillId="5" borderId="20" xfId="0" applyFont="1" applyFill="1" applyBorder="1"/>
    <xf numFmtId="9" fontId="0" fillId="3" borderId="0" xfId="1" applyFont="1" applyFill="1" applyBorder="1"/>
    <xf numFmtId="164" fontId="0" fillId="3" borderId="21" xfId="0" applyNumberFormat="1" applyFill="1" applyBorder="1" applyAlignment="1">
      <alignment horizontal="center"/>
    </xf>
    <xf numFmtId="0" fontId="0" fillId="3" borderId="22" xfId="0" applyFill="1" applyBorder="1"/>
    <xf numFmtId="1" fontId="0" fillId="3" borderId="26" xfId="0" applyNumberFormat="1" applyFill="1" applyBorder="1" applyAlignment="1">
      <alignment horizontal="right"/>
    </xf>
    <xf numFmtId="9" fontId="0" fillId="3" borderId="26" xfId="1" applyFont="1" applyFill="1" applyBorder="1"/>
    <xf numFmtId="164" fontId="0" fillId="3" borderId="26" xfId="0" applyNumberFormat="1" applyFill="1" applyBorder="1" applyAlignment="1">
      <alignment horizontal="center"/>
    </xf>
    <xf numFmtId="165" fontId="0" fillId="3" borderId="26" xfId="0" applyNumberFormat="1" applyFill="1" applyBorder="1" applyAlignment="1">
      <alignment horizontal="center"/>
    </xf>
    <xf numFmtId="164" fontId="0" fillId="3" borderId="23" xfId="0" applyNumberFormat="1" applyFill="1" applyBorder="1" applyAlignment="1">
      <alignment horizontal="center"/>
    </xf>
    <xf numFmtId="164" fontId="6" fillId="0" borderId="13" xfId="0" applyNumberFormat="1" applyFont="1" applyBorder="1" applyAlignment="1">
      <alignment horizontal="center"/>
    </xf>
    <xf numFmtId="164" fontId="6" fillId="3" borderId="3" xfId="0" applyNumberFormat="1" applyFont="1" applyFill="1" applyBorder="1" applyAlignment="1">
      <alignment horizontal="center"/>
    </xf>
    <xf numFmtId="0" fontId="1" fillId="11" borderId="0" xfId="6" applyFill="1"/>
    <xf numFmtId="0" fontId="1" fillId="12" borderId="20" xfId="6" applyFill="1" applyBorder="1"/>
    <xf numFmtId="0" fontId="1" fillId="12" borderId="21" xfId="6" applyFill="1" applyBorder="1"/>
    <xf numFmtId="0" fontId="1" fillId="12" borderId="22" xfId="6" applyFill="1" applyBorder="1"/>
    <xf numFmtId="0" fontId="1" fillId="12" borderId="26" xfId="6" applyFill="1" applyBorder="1"/>
    <xf numFmtId="0" fontId="1" fillId="12" borderId="23" xfId="6" applyFill="1" applyBorder="1"/>
    <xf numFmtId="0" fontId="20" fillId="13" borderId="0" xfId="6" applyFont="1" applyFill="1"/>
    <xf numFmtId="0" fontId="0" fillId="0" borderId="34" xfId="0" applyBorder="1" applyAlignment="1">
      <alignment horizontal="left" indent="1"/>
    </xf>
    <xf numFmtId="0" fontId="0" fillId="6" borderId="35" xfId="0" applyFill="1" applyBorder="1" applyAlignment="1">
      <alignment horizontal="center"/>
    </xf>
    <xf numFmtId="9" fontId="0" fillId="6" borderId="36" xfId="1" applyFont="1" applyFill="1" applyBorder="1" applyAlignment="1">
      <alignment horizontal="center"/>
    </xf>
    <xf numFmtId="10" fontId="0" fillId="6" borderId="36" xfId="1" applyNumberFormat="1" applyFont="1" applyFill="1" applyBorder="1" applyAlignment="1">
      <alignment horizontal="center"/>
    </xf>
    <xf numFmtId="164" fontId="6" fillId="3" borderId="16" xfId="0" applyNumberFormat="1" applyFont="1" applyFill="1" applyBorder="1" applyAlignment="1">
      <alignment horizontal="center"/>
    </xf>
    <xf numFmtId="1" fontId="0" fillId="0" borderId="0" xfId="0" applyNumberFormat="1"/>
    <xf numFmtId="0" fontId="0" fillId="0" borderId="16" xfId="0" applyBorder="1"/>
    <xf numFmtId="0" fontId="0" fillId="0" borderId="13" xfId="0" applyBorder="1"/>
    <xf numFmtId="5" fontId="0" fillId="0" borderId="16" xfId="0" applyNumberFormat="1" applyBorder="1"/>
    <xf numFmtId="10" fontId="0" fillId="0" borderId="16" xfId="0" applyNumberFormat="1" applyBorder="1"/>
    <xf numFmtId="0" fontId="4" fillId="2" borderId="37" xfId="0" applyFont="1" applyFill="1" applyBorder="1" applyAlignment="1">
      <alignment horizontal="left" indent="1"/>
    </xf>
    <xf numFmtId="5" fontId="4" fillId="2" borderId="38" xfId="0" applyNumberFormat="1" applyFont="1" applyFill="1" applyBorder="1" applyAlignment="1">
      <alignment horizontal="center"/>
    </xf>
    <xf numFmtId="0" fontId="5" fillId="2" borderId="39" xfId="0" applyFont="1" applyFill="1" applyBorder="1" applyAlignment="1">
      <alignment horizontal="center"/>
    </xf>
    <xf numFmtId="0" fontId="5" fillId="2" borderId="40" xfId="0" applyFont="1" applyFill="1" applyBorder="1" applyAlignment="1">
      <alignment horizontal="center"/>
    </xf>
    <xf numFmtId="0" fontId="6" fillId="3" borderId="28" xfId="0" applyFont="1" applyFill="1" applyBorder="1" applyAlignment="1">
      <alignment horizontal="left" indent="1"/>
    </xf>
    <xf numFmtId="0" fontId="6" fillId="3" borderId="41" xfId="0" applyFont="1" applyFill="1" applyBorder="1" applyAlignment="1">
      <alignment horizontal="center"/>
    </xf>
    <xf numFmtId="0" fontId="6" fillId="3" borderId="20" xfId="0" applyFont="1" applyFill="1" applyBorder="1" applyAlignment="1">
      <alignment horizontal="left" indent="1"/>
    </xf>
    <xf numFmtId="0" fontId="6" fillId="3" borderId="0" xfId="0" applyFont="1" applyFill="1" applyAlignment="1">
      <alignment horizontal="center"/>
    </xf>
    <xf numFmtId="0" fontId="6" fillId="3" borderId="21" xfId="0" applyFont="1" applyFill="1" applyBorder="1" applyAlignment="1">
      <alignment horizontal="center"/>
    </xf>
    <xf numFmtId="168" fontId="6" fillId="3" borderId="42" xfId="0" applyNumberFormat="1" applyFont="1" applyFill="1" applyBorder="1" applyAlignment="1">
      <alignment horizontal="center"/>
    </xf>
    <xf numFmtId="168" fontId="6" fillId="3" borderId="0" xfId="0" applyNumberFormat="1" applyFont="1" applyFill="1" applyAlignment="1">
      <alignment horizontal="center"/>
    </xf>
    <xf numFmtId="168" fontId="6" fillId="3" borderId="21" xfId="0" applyNumberFormat="1" applyFont="1" applyFill="1" applyBorder="1" applyAlignment="1">
      <alignment horizontal="center"/>
    </xf>
    <xf numFmtId="0" fontId="6" fillId="0" borderId="20" xfId="0" applyFont="1" applyBorder="1" applyAlignment="1">
      <alignment horizontal="left" indent="1"/>
    </xf>
    <xf numFmtId="5" fontId="0" fillId="0" borderId="0" xfId="0" applyNumberFormat="1" applyAlignment="1">
      <alignment horizontal="center"/>
    </xf>
    <xf numFmtId="5" fontId="0" fillId="0" borderId="21" xfId="0" applyNumberFormat="1" applyBorder="1" applyAlignment="1">
      <alignment horizontal="center"/>
    </xf>
    <xf numFmtId="164" fontId="0" fillId="0" borderId="20" xfId="0" applyNumberFormat="1" applyBorder="1" applyAlignment="1">
      <alignment horizontal="left" indent="2"/>
    </xf>
    <xf numFmtId="164" fontId="0" fillId="0" borderId="0" xfId="0" applyNumberFormat="1" applyAlignment="1">
      <alignment horizontal="center"/>
    </xf>
    <xf numFmtId="0" fontId="6" fillId="0" borderId="28" xfId="0" applyFont="1" applyBorder="1" applyAlignment="1">
      <alignment horizontal="left" indent="1"/>
    </xf>
    <xf numFmtId="5" fontId="6" fillId="0" borderId="21" xfId="0" applyNumberFormat="1" applyFont="1" applyBorder="1" applyAlignment="1">
      <alignment horizontal="center"/>
    </xf>
    <xf numFmtId="0" fontId="6" fillId="3" borderId="43" xfId="0" applyFont="1" applyFill="1" applyBorder="1" applyAlignment="1">
      <alignment horizontal="left" indent="1"/>
    </xf>
    <xf numFmtId="5" fontId="6" fillId="3" borderId="27" xfId="0" applyNumberFormat="1" applyFont="1" applyFill="1" applyBorder="1" applyAlignment="1">
      <alignment horizontal="center"/>
    </xf>
    <xf numFmtId="0" fontId="0" fillId="0" borderId="20" xfId="0" applyBorder="1" applyAlignment="1">
      <alignment horizontal="left" indent="1"/>
    </xf>
    <xf numFmtId="0" fontId="6" fillId="3" borderId="44" xfId="0" applyFont="1" applyFill="1" applyBorder="1" applyAlignment="1">
      <alignment horizontal="left" indent="1"/>
    </xf>
    <xf numFmtId="5" fontId="6" fillId="3" borderId="45" xfId="0" applyNumberFormat="1" applyFont="1" applyFill="1" applyBorder="1" applyAlignment="1">
      <alignment horizontal="center"/>
    </xf>
    <xf numFmtId="0" fontId="0" fillId="3" borderId="46" xfId="0" applyFill="1" applyBorder="1" applyAlignment="1">
      <alignment horizontal="center"/>
    </xf>
    <xf numFmtId="5" fontId="6" fillId="3" borderId="46" xfId="0" applyNumberFormat="1" applyFont="1" applyFill="1" applyBorder="1" applyAlignment="1">
      <alignment horizontal="center"/>
    </xf>
    <xf numFmtId="170" fontId="6" fillId="3" borderId="46" xfId="1" applyNumberFormat="1" applyFont="1" applyFill="1" applyBorder="1" applyAlignment="1">
      <alignment horizontal="center"/>
    </xf>
    <xf numFmtId="170" fontId="6" fillId="3" borderId="47" xfId="1" applyNumberFormat="1" applyFont="1" applyFill="1" applyBorder="1" applyAlignment="1">
      <alignment horizontal="center"/>
    </xf>
    <xf numFmtId="0" fontId="4" fillId="2" borderId="40" xfId="0" applyFont="1" applyFill="1" applyBorder="1"/>
    <xf numFmtId="5" fontId="6" fillId="0" borderId="41" xfId="0" applyNumberFormat="1" applyFont="1" applyBorder="1" applyAlignment="1">
      <alignment horizontal="center"/>
    </xf>
    <xf numFmtId="10" fontId="6" fillId="7" borderId="21" xfId="1" applyNumberFormat="1" applyFont="1" applyFill="1" applyBorder="1" applyAlignment="1">
      <alignment horizontal="center"/>
    </xf>
    <xf numFmtId="39" fontId="6" fillId="0" borderId="21" xfId="0" applyNumberFormat="1" applyFont="1" applyBorder="1" applyAlignment="1">
      <alignment horizontal="center"/>
    </xf>
    <xf numFmtId="0" fontId="6" fillId="0" borderId="22" xfId="0" applyFont="1" applyBorder="1" applyAlignment="1">
      <alignment horizontal="left" indent="2"/>
    </xf>
    <xf numFmtId="10" fontId="6" fillId="0" borderId="23" xfId="0" applyNumberFormat="1" applyFont="1" applyBorder="1" applyAlignment="1">
      <alignment horizontal="center"/>
    </xf>
    <xf numFmtId="0" fontId="6" fillId="3" borderId="17" xfId="0" applyFont="1" applyFill="1" applyBorder="1" applyAlignment="1">
      <alignment horizontal="left" indent="1"/>
    </xf>
    <xf numFmtId="0" fontId="6" fillId="3" borderId="18" xfId="0" applyFont="1" applyFill="1" applyBorder="1" applyAlignment="1">
      <alignment horizontal="center"/>
    </xf>
    <xf numFmtId="0" fontId="6" fillId="3" borderId="19" xfId="0" applyFont="1" applyFill="1" applyBorder="1" applyAlignment="1">
      <alignment horizontal="center"/>
    </xf>
    <xf numFmtId="5" fontId="4" fillId="2" borderId="43" xfId="0" applyNumberFormat="1" applyFont="1" applyFill="1" applyBorder="1" applyAlignment="1">
      <alignment horizontal="left" indent="1"/>
    </xf>
    <xf numFmtId="5" fontId="0" fillId="0" borderId="20" xfId="0" applyNumberFormat="1" applyBorder="1" applyAlignment="1">
      <alignment horizontal="left" indent="1"/>
    </xf>
    <xf numFmtId="5" fontId="0" fillId="0" borderId="20" xfId="0" applyNumberFormat="1" applyBorder="1" applyAlignment="1">
      <alignment horizontal="left" indent="2"/>
    </xf>
    <xf numFmtId="5" fontId="6" fillId="3" borderId="43" xfId="0" applyNumberFormat="1" applyFont="1" applyFill="1" applyBorder="1" applyAlignment="1">
      <alignment horizontal="left" indent="1"/>
    </xf>
    <xf numFmtId="0" fontId="6" fillId="3" borderId="22" xfId="0" applyFont="1" applyFill="1" applyBorder="1" applyAlignment="1">
      <alignment horizontal="left" indent="1"/>
    </xf>
    <xf numFmtId="164" fontId="6" fillId="3" borderId="48" xfId="0" applyNumberFormat="1" applyFont="1" applyFill="1" applyBorder="1" applyAlignment="1">
      <alignment horizontal="center"/>
    </xf>
    <xf numFmtId="10" fontId="6" fillId="3" borderId="26" xfId="0" applyNumberFormat="1" applyFont="1" applyFill="1" applyBorder="1" applyAlignment="1">
      <alignment horizontal="center"/>
    </xf>
    <xf numFmtId="10" fontId="6" fillId="3" borderId="23" xfId="0" applyNumberFormat="1" applyFont="1" applyFill="1" applyBorder="1" applyAlignment="1">
      <alignment horizontal="center"/>
    </xf>
    <xf numFmtId="0" fontId="4" fillId="2" borderId="43" xfId="0" applyFont="1" applyFill="1" applyBorder="1" applyAlignment="1">
      <alignment horizontal="left" indent="1"/>
    </xf>
    <xf numFmtId="0" fontId="0" fillId="0" borderId="20" xfId="0" applyBorder="1" applyAlignment="1">
      <alignment horizontal="left" indent="2"/>
    </xf>
    <xf numFmtId="5" fontId="6" fillId="3" borderId="47" xfId="0" applyNumberFormat="1" applyFont="1" applyFill="1" applyBorder="1" applyAlignment="1">
      <alignment horizontal="center"/>
    </xf>
    <xf numFmtId="5" fontId="4" fillId="2" borderId="49" xfId="0" applyNumberFormat="1" applyFont="1" applyFill="1" applyBorder="1" applyAlignment="1">
      <alignment horizontal="center"/>
    </xf>
    <xf numFmtId="5" fontId="4" fillId="2" borderId="50" xfId="0" applyNumberFormat="1" applyFont="1" applyFill="1" applyBorder="1" applyAlignment="1">
      <alignment horizontal="center"/>
    </xf>
    <xf numFmtId="5" fontId="4" fillId="2" borderId="39" xfId="0" applyNumberFormat="1" applyFont="1" applyFill="1" applyBorder="1" applyAlignment="1">
      <alignment horizontal="center"/>
    </xf>
    <xf numFmtId="5" fontId="4" fillId="2" borderId="40" xfId="0" applyNumberFormat="1" applyFont="1" applyFill="1" applyBorder="1" applyAlignment="1">
      <alignment horizontal="center"/>
    </xf>
    <xf numFmtId="0" fontId="6" fillId="3" borderId="51" xfId="0" applyFont="1" applyFill="1" applyBorder="1" applyAlignment="1">
      <alignment horizontal="left" indent="1"/>
    </xf>
    <xf numFmtId="7" fontId="6" fillId="0" borderId="0" xfId="0" applyNumberFormat="1" applyFont="1" applyAlignment="1">
      <alignment horizontal="center"/>
    </xf>
    <xf numFmtId="169" fontId="6" fillId="0" borderId="0" xfId="0" applyNumberFormat="1" applyFont="1" applyAlignment="1">
      <alignment horizontal="center"/>
    </xf>
    <xf numFmtId="9" fontId="6" fillId="0" borderId="0" xfId="1" applyFont="1" applyBorder="1" applyAlignment="1">
      <alignment horizontal="center"/>
    </xf>
    <xf numFmtId="9" fontId="6" fillId="0" borderId="21" xfId="1" applyFont="1" applyBorder="1" applyAlignment="1">
      <alignment horizontal="center"/>
    </xf>
    <xf numFmtId="5" fontId="4" fillId="2" borderId="52" xfId="0" applyNumberFormat="1" applyFont="1" applyFill="1" applyBorder="1" applyAlignment="1">
      <alignment horizontal="center"/>
    </xf>
    <xf numFmtId="0" fontId="4" fillId="2" borderId="39" xfId="0" applyFont="1" applyFill="1" applyBorder="1" applyAlignment="1">
      <alignment horizontal="center"/>
    </xf>
    <xf numFmtId="0" fontId="4" fillId="2" borderId="40" xfId="0" applyFont="1" applyFill="1" applyBorder="1" applyAlignment="1">
      <alignment horizontal="center"/>
    </xf>
    <xf numFmtId="0" fontId="9" fillId="0" borderId="20" xfId="0" applyFont="1" applyBorder="1" applyAlignment="1">
      <alignment horizontal="left"/>
    </xf>
    <xf numFmtId="0" fontId="4" fillId="0" borderId="0" xfId="0" applyFont="1" applyAlignment="1">
      <alignment horizontal="center"/>
    </xf>
    <xf numFmtId="0" fontId="4" fillId="0" borderId="21" xfId="0" applyFont="1" applyBorder="1" applyAlignment="1">
      <alignment horizontal="center"/>
    </xf>
    <xf numFmtId="0" fontId="0" fillId="7" borderId="20" xfId="0" applyFill="1" applyBorder="1" applyAlignment="1">
      <alignment horizontal="left" indent="1"/>
    </xf>
    <xf numFmtId="0" fontId="4" fillId="7" borderId="0" xfId="0" applyFont="1" applyFill="1" applyAlignment="1">
      <alignment horizontal="center"/>
    </xf>
    <xf numFmtId="3" fontId="0" fillId="7" borderId="0" xfId="0" applyNumberFormat="1" applyFill="1" applyAlignment="1">
      <alignment horizontal="center"/>
    </xf>
    <xf numFmtId="3" fontId="0" fillId="7" borderId="21" xfId="0" applyNumberFormat="1" applyFill="1" applyBorder="1" applyAlignment="1">
      <alignment horizontal="center"/>
    </xf>
    <xf numFmtId="0" fontId="0" fillId="7" borderId="51" xfId="0" applyFill="1" applyBorder="1" applyAlignment="1">
      <alignment horizontal="left" indent="1"/>
    </xf>
    <xf numFmtId="10" fontId="8" fillId="7" borderId="42" xfId="0" applyNumberFormat="1" applyFont="1" applyFill="1" applyBorder="1" applyAlignment="1">
      <alignment horizontal="center"/>
    </xf>
    <xf numFmtId="0" fontId="6" fillId="3" borderId="20" xfId="0" applyFont="1" applyFill="1" applyBorder="1" applyAlignment="1">
      <alignment horizontal="center"/>
    </xf>
    <xf numFmtId="10" fontId="8" fillId="7" borderId="0" xfId="0" applyNumberFormat="1" applyFont="1" applyFill="1" applyAlignment="1">
      <alignment horizontal="center"/>
    </xf>
    <xf numFmtId="10" fontId="8" fillId="7" borderId="21" xfId="0" applyNumberFormat="1" applyFont="1" applyFill="1" applyBorder="1" applyAlignment="1">
      <alignment horizontal="center"/>
    </xf>
    <xf numFmtId="166" fontId="0" fillId="0" borderId="0" xfId="0" applyNumberFormat="1" applyAlignment="1">
      <alignment horizontal="center"/>
    </xf>
    <xf numFmtId="2" fontId="8" fillId="7" borderId="0" xfId="0" applyNumberFormat="1" applyFont="1" applyFill="1" applyAlignment="1">
      <alignment horizontal="center"/>
    </xf>
    <xf numFmtId="2" fontId="8" fillId="7" borderId="21" xfId="0" applyNumberFormat="1" applyFont="1" applyFill="1" applyBorder="1" applyAlignment="1">
      <alignment horizontal="center"/>
    </xf>
    <xf numFmtId="0" fontId="0" fillId="8" borderId="20" xfId="0" applyFill="1" applyBorder="1" applyAlignment="1">
      <alignment horizontal="left" indent="1"/>
    </xf>
    <xf numFmtId="164" fontId="6" fillId="3" borderId="0" xfId="0" applyNumberFormat="1" applyFont="1" applyFill="1" applyAlignment="1">
      <alignment horizontal="center"/>
    </xf>
    <xf numFmtId="165" fontId="6" fillId="3" borderId="0" xfId="0" applyNumberFormat="1" applyFont="1" applyFill="1" applyAlignment="1">
      <alignment horizontal="center"/>
    </xf>
    <xf numFmtId="3" fontId="0" fillId="8" borderId="0" xfId="0" applyNumberFormat="1" applyFill="1" applyAlignment="1">
      <alignment horizontal="center"/>
    </xf>
    <xf numFmtId="3" fontId="0" fillId="8" borderId="21" xfId="0" applyNumberFormat="1" applyFill="1" applyBorder="1" applyAlignment="1">
      <alignment horizontal="center"/>
    </xf>
    <xf numFmtId="0" fontId="0" fillId="9" borderId="20" xfId="0" applyFill="1" applyBorder="1"/>
    <xf numFmtId="164" fontId="0" fillId="4" borderId="0" xfId="0" applyNumberFormat="1" applyFill="1" applyAlignment="1">
      <alignment horizontal="center"/>
    </xf>
    <xf numFmtId="164" fontId="0" fillId="8" borderId="0" xfId="0" applyNumberFormat="1" applyFill="1" applyAlignment="1">
      <alignment horizontal="center"/>
    </xf>
    <xf numFmtId="164" fontId="0" fillId="8" borderId="21" xfId="0" applyNumberFormat="1" applyFill="1" applyBorder="1" applyAlignment="1">
      <alignment horizontal="center"/>
    </xf>
    <xf numFmtId="0" fontId="0" fillId="6" borderId="20" xfId="0" applyFill="1" applyBorder="1" applyAlignment="1">
      <alignment horizontal="left" indent="1"/>
    </xf>
    <xf numFmtId="3" fontId="0" fillId="0" borderId="0" xfId="0" applyNumberFormat="1" applyAlignment="1">
      <alignment horizontal="center"/>
    </xf>
    <xf numFmtId="3" fontId="0" fillId="0" borderId="21" xfId="0" applyNumberFormat="1" applyBorder="1" applyAlignment="1">
      <alignment horizontal="center"/>
    </xf>
    <xf numFmtId="0" fontId="0" fillId="0" borderId="22" xfId="0" applyBorder="1" applyAlignment="1">
      <alignment horizontal="left" indent="1"/>
    </xf>
    <xf numFmtId="0" fontId="0" fillId="0" borderId="26" xfId="0" applyBorder="1" applyAlignment="1">
      <alignment horizontal="center"/>
    </xf>
    <xf numFmtId="0" fontId="0" fillId="0" borderId="53" xfId="0" applyBorder="1" applyAlignment="1">
      <alignment horizontal="center"/>
    </xf>
    <xf numFmtId="9" fontId="0" fillId="0" borderId="26" xfId="0" applyNumberFormat="1" applyBorder="1" applyAlignment="1">
      <alignment horizontal="center"/>
    </xf>
    <xf numFmtId="9" fontId="0" fillId="0" borderId="23" xfId="0" applyNumberFormat="1" applyBorder="1" applyAlignment="1">
      <alignment horizontal="center"/>
    </xf>
    <xf numFmtId="1" fontId="0" fillId="0" borderId="0" xfId="0" applyNumberFormat="1" applyAlignment="1">
      <alignment horizontal="right"/>
    </xf>
    <xf numFmtId="0" fontId="0" fillId="0" borderId="21" xfId="0" applyBorder="1"/>
    <xf numFmtId="0" fontId="0" fillId="14" borderId="20" xfId="0" applyFill="1" applyBorder="1"/>
    <xf numFmtId="0" fontId="0" fillId="14" borderId="0" xfId="0" applyFill="1" applyAlignment="1">
      <alignment horizontal="center"/>
    </xf>
    <xf numFmtId="166" fontId="0" fillId="14" borderId="0" xfId="0" applyNumberFormat="1" applyFill="1" applyAlignment="1">
      <alignment horizontal="center"/>
    </xf>
    <xf numFmtId="2" fontId="8" fillId="14" borderId="0" xfId="0" applyNumberFormat="1" applyFont="1" applyFill="1" applyAlignment="1">
      <alignment horizontal="center"/>
    </xf>
    <xf numFmtId="2" fontId="8" fillId="14" borderId="21" xfId="0" applyNumberFormat="1" applyFont="1" applyFill="1" applyBorder="1" applyAlignment="1">
      <alignment horizontal="center"/>
    </xf>
    <xf numFmtId="1" fontId="0" fillId="6" borderId="20" xfId="0" applyNumberFormat="1" applyFill="1" applyBorder="1" applyAlignment="1">
      <alignment horizontal="left" indent="1"/>
    </xf>
    <xf numFmtId="1" fontId="0" fillId="0" borderId="0" xfId="0" applyNumberFormat="1" applyAlignment="1">
      <alignment horizontal="center"/>
    </xf>
    <xf numFmtId="0" fontId="0" fillId="0" borderId="51" xfId="0" applyBorder="1" applyAlignment="1">
      <alignment horizontal="left" indent="1"/>
    </xf>
    <xf numFmtId="0" fontId="0" fillId="14" borderId="22" xfId="0" applyFill="1" applyBorder="1" applyAlignment="1">
      <alignment horizontal="left" indent="1"/>
    </xf>
    <xf numFmtId="0" fontId="0" fillId="14" borderId="26" xfId="0" applyFill="1" applyBorder="1"/>
    <xf numFmtId="0" fontId="0" fillId="14" borderId="23" xfId="0" applyFill="1" applyBorder="1"/>
    <xf numFmtId="0" fontId="0" fillId="10" borderId="0" xfId="0" applyFill="1" applyAlignment="1">
      <alignment horizontal="left" indent="1"/>
    </xf>
    <xf numFmtId="0" fontId="0" fillId="10" borderId="0" xfId="0" applyFill="1" applyAlignment="1">
      <alignment horizontal="center"/>
    </xf>
    <xf numFmtId="0" fontId="0" fillId="10" borderId="7" xfId="0" applyFill="1" applyBorder="1" applyAlignment="1">
      <alignment horizontal="center"/>
    </xf>
    <xf numFmtId="10" fontId="0" fillId="10" borderId="0" xfId="0" applyNumberFormat="1" applyFill="1" applyAlignment="1">
      <alignment horizontal="center"/>
    </xf>
    <xf numFmtId="0" fontId="0" fillId="3" borderId="6" xfId="0" applyFill="1" applyBorder="1"/>
    <xf numFmtId="0" fontId="0" fillId="3" borderId="0" xfId="0" applyFill="1"/>
    <xf numFmtId="0" fontId="0" fillId="3" borderId="11" xfId="0" applyFill="1" applyBorder="1"/>
    <xf numFmtId="5" fontId="6" fillId="0" borderId="11" xfId="0" applyNumberFormat="1" applyFont="1" applyBorder="1" applyAlignment="1">
      <alignment horizontal="center"/>
    </xf>
    <xf numFmtId="5" fontId="6" fillId="0" borderId="9" xfId="0" applyNumberFormat="1" applyFont="1" applyBorder="1" applyAlignment="1">
      <alignment horizontal="center"/>
    </xf>
    <xf numFmtId="0" fontId="0" fillId="0" borderId="14" xfId="0" applyBorder="1"/>
    <xf numFmtId="0" fontId="6" fillId="3" borderId="0" xfId="0" applyFont="1" applyFill="1" applyAlignment="1">
      <alignment horizontal="left" indent="1"/>
    </xf>
    <xf numFmtId="0" fontId="4" fillId="2" borderId="18" xfId="0" applyFont="1" applyFill="1" applyBorder="1" applyAlignment="1">
      <alignment horizontal="center"/>
    </xf>
    <xf numFmtId="0" fontId="0" fillId="2" borderId="18" xfId="0" applyFill="1" applyBorder="1"/>
    <xf numFmtId="164" fontId="0" fillId="2" borderId="18" xfId="0" applyNumberFormat="1" applyFill="1" applyBorder="1"/>
    <xf numFmtId="164" fontId="0" fillId="2" borderId="19" xfId="0" applyNumberFormat="1" applyFill="1" applyBorder="1"/>
    <xf numFmtId="164" fontId="0" fillId="0" borderId="21" xfId="0" applyNumberFormat="1" applyBorder="1"/>
    <xf numFmtId="5" fontId="0" fillId="0" borderId="42" xfId="0" applyNumberFormat="1" applyBorder="1" applyAlignment="1">
      <alignment horizontal="center"/>
    </xf>
    <xf numFmtId="164" fontId="6" fillId="0" borderId="0" xfId="0" applyNumberFormat="1" applyFont="1" applyAlignment="1">
      <alignment horizontal="center"/>
    </xf>
    <xf numFmtId="164" fontId="6" fillId="0" borderId="41" xfId="0" applyNumberFormat="1" applyFont="1" applyBorder="1" applyAlignment="1">
      <alignment horizontal="center"/>
    </xf>
    <xf numFmtId="164" fontId="6" fillId="3" borderId="46" xfId="0" applyNumberFormat="1" applyFont="1" applyFill="1" applyBorder="1" applyAlignment="1">
      <alignment horizontal="center"/>
    </xf>
    <xf numFmtId="0" fontId="0" fillId="2" borderId="19" xfId="0" applyFill="1" applyBorder="1"/>
    <xf numFmtId="8" fontId="0" fillId="0" borderId="21" xfId="0" applyNumberFormat="1" applyBorder="1"/>
    <xf numFmtId="10" fontId="0" fillId="0" borderId="21" xfId="0" applyNumberFormat="1" applyBorder="1"/>
    <xf numFmtId="2" fontId="0" fillId="0" borderId="21" xfId="0" applyNumberFormat="1" applyBorder="1"/>
    <xf numFmtId="5" fontId="0" fillId="0" borderId="21" xfId="0" applyNumberFormat="1" applyBorder="1"/>
    <xf numFmtId="10" fontId="0" fillId="0" borderId="23" xfId="1" applyNumberFormat="1" applyFont="1" applyBorder="1"/>
    <xf numFmtId="0" fontId="0" fillId="3" borderId="26" xfId="0" applyFill="1" applyBorder="1"/>
    <xf numFmtId="165" fontId="0" fillId="0" borderId="20" xfId="0" applyNumberFormat="1" applyBorder="1" applyAlignment="1">
      <alignment horizontal="center"/>
    </xf>
    <xf numFmtId="165" fontId="0" fillId="0" borderId="21" xfId="0" applyNumberFormat="1" applyBorder="1" applyAlignment="1">
      <alignment horizontal="center"/>
    </xf>
    <xf numFmtId="164" fontId="14" fillId="0" borderId="0" xfId="2" applyNumberFormat="1" applyAlignment="1">
      <alignment horizontal="center"/>
    </xf>
    <xf numFmtId="0" fontId="4" fillId="2" borderId="54" xfId="0" applyFont="1" applyFill="1" applyBorder="1"/>
    <xf numFmtId="0" fontId="0" fillId="2" borderId="18" xfId="0" applyFill="1" applyBorder="1" applyAlignment="1">
      <alignment horizontal="center"/>
    </xf>
    <xf numFmtId="0" fontId="0" fillId="2" borderId="19" xfId="0" applyFill="1" applyBorder="1" applyAlignment="1">
      <alignment horizontal="center"/>
    </xf>
    <xf numFmtId="0" fontId="14" fillId="0" borderId="25" xfId="2" applyBorder="1" applyAlignment="1">
      <alignment horizontal="center" vertical="center" wrapText="1"/>
    </xf>
    <xf numFmtId="0" fontId="15" fillId="0" borderId="44" xfId="2" applyFont="1" applyBorder="1"/>
    <xf numFmtId="165" fontId="14" fillId="0" borderId="46" xfId="2" applyNumberFormat="1" applyBorder="1"/>
    <xf numFmtId="0" fontId="0" fillId="10" borderId="21" xfId="0" applyFill="1" applyBorder="1"/>
    <xf numFmtId="0" fontId="14" fillId="0" borderId="24" xfId="2" applyBorder="1" applyAlignment="1">
      <alignment horizontal="center" wrapText="1"/>
    </xf>
    <xf numFmtId="5" fontId="0" fillId="0" borderId="25" xfId="0" applyNumberFormat="1" applyBorder="1"/>
    <xf numFmtId="0" fontId="15" fillId="0" borderId="55" xfId="2" applyFont="1" applyBorder="1"/>
    <xf numFmtId="0" fontId="6" fillId="5" borderId="0" xfId="0" applyFont="1" applyFill="1" applyAlignment="1">
      <alignment horizontal="center"/>
    </xf>
    <xf numFmtId="9" fontId="6" fillId="5" borderId="0" xfId="1" applyFont="1" applyFill="1" applyBorder="1" applyAlignment="1">
      <alignment horizontal="center"/>
    </xf>
    <xf numFmtId="166" fontId="6" fillId="5" borderId="0" xfId="0" applyNumberFormat="1" applyFont="1" applyFill="1" applyAlignment="1">
      <alignment horizontal="center"/>
    </xf>
    <xf numFmtId="164" fontId="6" fillId="5" borderId="0" xfId="0" applyNumberFormat="1" applyFont="1" applyFill="1" applyAlignment="1">
      <alignment horizontal="center"/>
    </xf>
    <xf numFmtId="165" fontId="6" fillId="5" borderId="0" xfId="0" applyNumberFormat="1" applyFont="1" applyFill="1" applyAlignment="1">
      <alignment horizontal="center"/>
    </xf>
    <xf numFmtId="0" fontId="0" fillId="3" borderId="0" xfId="0" applyFill="1" applyAlignment="1">
      <alignment horizontal="center"/>
    </xf>
    <xf numFmtId="9" fontId="0" fillId="3" borderId="0" xfId="1" applyFont="1" applyFill="1" applyBorder="1" applyAlignment="1">
      <alignment horizontal="center"/>
    </xf>
    <xf numFmtId="166" fontId="0" fillId="3" borderId="0" xfId="0" applyNumberFormat="1" applyFill="1" applyAlignment="1">
      <alignment horizontal="center"/>
    </xf>
    <xf numFmtId="164" fontId="0" fillId="3" borderId="0" xfId="0" applyNumberFormat="1" applyFill="1" applyAlignment="1">
      <alignment horizontal="center"/>
    </xf>
    <xf numFmtId="165" fontId="0" fillId="3" borderId="0" xfId="0" applyNumberFormat="1" applyFill="1" applyAlignment="1">
      <alignment horizontal="center"/>
    </xf>
    <xf numFmtId="165" fontId="6" fillId="3" borderId="3" xfId="0" applyNumberFormat="1" applyFont="1" applyFill="1" applyBorder="1" applyAlignment="1">
      <alignment horizontal="center"/>
    </xf>
    <xf numFmtId="0" fontId="5" fillId="2" borderId="40" xfId="0" applyFont="1" applyFill="1" applyBorder="1"/>
    <xf numFmtId="0" fontId="0" fillId="0" borderId="28" xfId="0" applyBorder="1" applyAlignment="1">
      <alignment horizontal="left" indent="1"/>
    </xf>
    <xf numFmtId="0" fontId="7" fillId="0" borderId="41" xfId="0" applyFont="1" applyBorder="1" applyAlignment="1">
      <alignment horizontal="right" indent="1"/>
    </xf>
    <xf numFmtId="0" fontId="7" fillId="0" borderId="21" xfId="0" applyFont="1" applyBorder="1" applyAlignment="1">
      <alignment horizontal="right" indent="1"/>
    </xf>
    <xf numFmtId="0" fontId="7" fillId="0" borderId="42" xfId="0" applyFont="1" applyBorder="1" applyAlignment="1">
      <alignment horizontal="right" indent="1"/>
    </xf>
    <xf numFmtId="0" fontId="5" fillId="2" borderId="27" xfId="0" applyFont="1" applyFill="1" applyBorder="1" applyAlignment="1">
      <alignment horizontal="center"/>
    </xf>
    <xf numFmtId="3" fontId="7" fillId="0" borderId="21" xfId="0" applyNumberFormat="1" applyFont="1" applyBorder="1" applyAlignment="1">
      <alignment horizontal="right" indent="1"/>
    </xf>
    <xf numFmtId="3" fontId="8" fillId="0" borderId="21" xfId="0" applyNumberFormat="1" applyFont="1" applyBorder="1" applyAlignment="1">
      <alignment horizontal="right" indent="1"/>
    </xf>
    <xf numFmtId="9" fontId="0" fillId="0" borderId="21" xfId="1" applyFont="1" applyBorder="1" applyAlignment="1">
      <alignment horizontal="right" indent="1"/>
    </xf>
    <xf numFmtId="3" fontId="8" fillId="0" borderId="23" xfId="0" applyNumberFormat="1" applyFont="1" applyBorder="1" applyAlignment="1">
      <alignment horizontal="right" indent="1"/>
    </xf>
    <xf numFmtId="0" fontId="5" fillId="2" borderId="54" xfId="0" applyFont="1" applyFill="1" applyBorder="1" applyAlignment="1">
      <alignment horizontal="center"/>
    </xf>
    <xf numFmtId="164" fontId="5" fillId="2" borderId="54" xfId="0" applyNumberFormat="1" applyFont="1" applyFill="1" applyBorder="1" applyAlignment="1">
      <alignment horizontal="center"/>
    </xf>
    <xf numFmtId="165" fontId="5" fillId="2" borderId="54" xfId="0" applyNumberFormat="1" applyFont="1" applyFill="1" applyBorder="1" applyAlignment="1">
      <alignment horizontal="center"/>
    </xf>
    <xf numFmtId="164" fontId="5" fillId="2" borderId="40" xfId="0" applyNumberFormat="1" applyFont="1" applyFill="1" applyBorder="1" applyAlignment="1">
      <alignment horizontal="center"/>
    </xf>
    <xf numFmtId="0" fontId="6" fillId="3" borderId="43" xfId="0" applyFont="1" applyFill="1" applyBorder="1" applyAlignment="1">
      <alignment horizontal="center"/>
    </xf>
    <xf numFmtId="164" fontId="6" fillId="3" borderId="27" xfId="0" applyNumberFormat="1" applyFont="1" applyFill="1" applyBorder="1" applyAlignment="1">
      <alignment horizontal="center"/>
    </xf>
    <xf numFmtId="164" fontId="6" fillId="5" borderId="21" xfId="0" applyNumberFormat="1" applyFont="1" applyFill="1" applyBorder="1" applyAlignment="1">
      <alignment horizontal="center"/>
    </xf>
    <xf numFmtId="0" fontId="0" fillId="3" borderId="20" xfId="0" applyFill="1" applyBorder="1"/>
    <xf numFmtId="0" fontId="0" fillId="3" borderId="26" xfId="0" applyFill="1" applyBorder="1" applyAlignment="1">
      <alignment horizontal="center"/>
    </xf>
    <xf numFmtId="9" fontId="0" fillId="3" borderId="26" xfId="1" applyFont="1" applyFill="1" applyBorder="1" applyAlignment="1">
      <alignment horizontal="center"/>
    </xf>
    <xf numFmtId="166" fontId="0" fillId="3" borderId="26" xfId="0" applyNumberFormat="1" applyFill="1" applyBorder="1" applyAlignment="1">
      <alignment horizontal="center"/>
    </xf>
    <xf numFmtId="9" fontId="0" fillId="0" borderId="0" xfId="0" applyNumberFormat="1" applyAlignment="1">
      <alignment horizontal="center"/>
    </xf>
    <xf numFmtId="0" fontId="0" fillId="0" borderId="20" xfId="0" applyBorder="1" applyAlignment="1">
      <alignment horizontal="left" indent="3"/>
    </xf>
    <xf numFmtId="0" fontId="0" fillId="0" borderId="51" xfId="0" applyBorder="1" applyAlignment="1">
      <alignment horizontal="left" indent="2"/>
    </xf>
    <xf numFmtId="9" fontId="6" fillId="3" borderId="46" xfId="1" applyFont="1" applyFill="1" applyBorder="1" applyAlignment="1">
      <alignment horizontal="center"/>
    </xf>
    <xf numFmtId="168" fontId="0" fillId="0" borderId="21" xfId="0" applyNumberFormat="1" applyBorder="1" applyAlignment="1">
      <alignment horizontal="right" indent="1"/>
    </xf>
    <xf numFmtId="5" fontId="0" fillId="0" borderId="21" xfId="0" applyNumberFormat="1" applyBorder="1" applyAlignment="1">
      <alignment horizontal="right" indent="1"/>
    </xf>
    <xf numFmtId="10" fontId="7" fillId="0" borderId="21" xfId="0" applyNumberFormat="1" applyFont="1" applyBorder="1" applyAlignment="1">
      <alignment horizontal="right" indent="1"/>
    </xf>
    <xf numFmtId="10" fontId="7" fillId="0" borderId="23" xfId="0" applyNumberFormat="1" applyFont="1" applyBorder="1" applyAlignment="1">
      <alignment horizontal="right" indent="1"/>
    </xf>
    <xf numFmtId="5" fontId="7" fillId="0" borderId="21" xfId="0" applyNumberFormat="1" applyFont="1" applyBorder="1" applyAlignment="1">
      <alignment horizontal="right" indent="1"/>
    </xf>
    <xf numFmtId="164" fontId="0" fillId="0" borderId="21" xfId="0" applyNumberFormat="1" applyBorder="1" applyAlignment="1">
      <alignment horizontal="right" indent="1"/>
    </xf>
    <xf numFmtId="0" fontId="6" fillId="3" borderId="27" xfId="0" applyFont="1" applyFill="1" applyBorder="1" applyAlignment="1">
      <alignment horizontal="right" indent="1"/>
    </xf>
    <xf numFmtId="10" fontId="0" fillId="0" borderId="21" xfId="1" applyNumberFormat="1" applyFont="1" applyBorder="1" applyAlignment="1">
      <alignment horizontal="right" indent="1"/>
    </xf>
    <xf numFmtId="5" fontId="0" fillId="0" borderId="41" xfId="0" applyNumberFormat="1" applyBorder="1" applyAlignment="1">
      <alignment horizontal="right" indent="1"/>
    </xf>
    <xf numFmtId="5" fontId="6" fillId="3" borderId="47" xfId="0" applyNumberFormat="1" applyFont="1" applyFill="1" applyBorder="1" applyAlignment="1">
      <alignment horizontal="right" indent="1"/>
    </xf>
    <xf numFmtId="0" fontId="6" fillId="3" borderId="5" xfId="0" applyFont="1" applyFill="1" applyBorder="1" applyAlignment="1">
      <alignment horizontal="center"/>
    </xf>
    <xf numFmtId="0" fontId="6" fillId="3" borderId="8" xfId="0" applyFont="1" applyFill="1" applyBorder="1" applyAlignment="1">
      <alignment horizontal="center"/>
    </xf>
    <xf numFmtId="168" fontId="6" fillId="3" borderId="10" xfId="0" applyNumberFormat="1" applyFont="1" applyFill="1" applyBorder="1" applyAlignment="1">
      <alignment horizontal="center"/>
    </xf>
    <xf numFmtId="1" fontId="0" fillId="3" borderId="0" xfId="0" applyNumberFormat="1" applyFill="1" applyAlignment="1">
      <alignment horizontal="right"/>
    </xf>
    <xf numFmtId="171" fontId="0" fillId="0" borderId="0" xfId="7" applyNumberFormat="1" applyFont="1" applyBorder="1" applyAlignment="1">
      <alignment horizontal="center"/>
    </xf>
    <xf numFmtId="171" fontId="0" fillId="0" borderId="21" xfId="7" applyNumberFormat="1" applyFont="1" applyBorder="1" applyAlignment="1">
      <alignment horizontal="center"/>
    </xf>
    <xf numFmtId="10" fontId="0" fillId="0" borderId="26" xfId="0" applyNumberFormat="1" applyBorder="1" applyAlignment="1">
      <alignment horizontal="center"/>
    </xf>
    <xf numFmtId="10" fontId="0" fillId="0" borderId="23" xfId="0" applyNumberFormat="1" applyBorder="1" applyAlignment="1">
      <alignment horizontal="center"/>
    </xf>
    <xf numFmtId="165" fontId="21" fillId="0" borderId="16" xfId="0" applyNumberFormat="1" applyFont="1" applyBorder="1"/>
    <xf numFmtId="165" fontId="0" fillId="0" borderId="25" xfId="0" applyNumberFormat="1" applyBorder="1"/>
    <xf numFmtId="165" fontId="21" fillId="0" borderId="56" xfId="0" applyNumberFormat="1" applyFont="1" applyBorder="1"/>
    <xf numFmtId="165" fontId="0" fillId="0" borderId="57" xfId="0" applyNumberFormat="1" applyBorder="1"/>
    <xf numFmtId="165" fontId="6" fillId="0" borderId="0" xfId="0" applyNumberFormat="1" applyFont="1" applyAlignment="1">
      <alignment horizontal="center"/>
    </xf>
    <xf numFmtId="165" fontId="6" fillId="0" borderId="14" xfId="0" applyNumberFormat="1" applyFont="1" applyBorder="1" applyAlignment="1">
      <alignment horizontal="center"/>
    </xf>
    <xf numFmtId="165" fontId="6" fillId="0" borderId="15" xfId="0" applyNumberFormat="1" applyFont="1" applyBorder="1" applyAlignment="1">
      <alignment horizontal="center"/>
    </xf>
    <xf numFmtId="165" fontId="6" fillId="0" borderId="6" xfId="0" applyNumberFormat="1" applyFont="1" applyBorder="1" applyAlignment="1">
      <alignment horizontal="center"/>
    </xf>
    <xf numFmtId="165" fontId="6" fillId="0" borderId="21" xfId="0" applyNumberFormat="1" applyFont="1" applyBorder="1" applyAlignment="1">
      <alignment horizontal="center"/>
    </xf>
    <xf numFmtId="164" fontId="6" fillId="0" borderId="14" xfId="0" applyNumberFormat="1" applyFont="1" applyBorder="1" applyAlignment="1">
      <alignment horizontal="center"/>
    </xf>
    <xf numFmtId="164" fontId="6" fillId="0" borderId="15" xfId="0" applyNumberFormat="1" applyFont="1" applyBorder="1" applyAlignment="1">
      <alignment horizontal="center"/>
    </xf>
    <xf numFmtId="164" fontId="6" fillId="0" borderId="21" xfId="0" applyNumberFormat="1" applyFont="1" applyBorder="1" applyAlignment="1">
      <alignment horizontal="center"/>
    </xf>
    <xf numFmtId="164" fontId="6" fillId="3" borderId="13" xfId="0" applyNumberFormat="1" applyFont="1" applyFill="1" applyBorder="1" applyAlignment="1">
      <alignment horizontal="center"/>
    </xf>
    <xf numFmtId="164" fontId="6" fillId="3" borderId="6" xfId="0" applyNumberFormat="1" applyFont="1" applyFill="1" applyBorder="1" applyAlignment="1">
      <alignment horizontal="center"/>
    </xf>
    <xf numFmtId="164" fontId="6" fillId="3" borderId="41" xfId="0" applyNumberFormat="1" applyFont="1" applyFill="1" applyBorder="1" applyAlignment="1">
      <alignment horizontal="center"/>
    </xf>
    <xf numFmtId="164" fontId="6" fillId="3" borderId="26" xfId="0" applyNumberFormat="1" applyFont="1" applyFill="1" applyBorder="1" applyAlignment="1">
      <alignment horizontal="center"/>
    </xf>
    <xf numFmtId="164" fontId="6" fillId="3" borderId="23" xfId="0" applyNumberFormat="1" applyFont="1" applyFill="1" applyBorder="1" applyAlignment="1">
      <alignment horizontal="center"/>
    </xf>
    <xf numFmtId="164" fontId="0" fillId="0" borderId="11" xfId="0" applyNumberFormat="1" applyBorder="1" applyAlignment="1">
      <alignment horizontal="center"/>
    </xf>
    <xf numFmtId="164" fontId="0" fillId="0" borderId="42" xfId="0" applyNumberFormat="1" applyBorder="1" applyAlignment="1">
      <alignment horizontal="center"/>
    </xf>
    <xf numFmtId="164" fontId="0" fillId="3" borderId="3" xfId="0" applyNumberFormat="1" applyFill="1" applyBorder="1"/>
    <xf numFmtId="164" fontId="0" fillId="0" borderId="11" xfId="0" applyNumberFormat="1" applyBorder="1"/>
    <xf numFmtId="164" fontId="0" fillId="3" borderId="3" xfId="0" applyNumberFormat="1" applyFill="1" applyBorder="1" applyAlignment="1">
      <alignment horizontal="center"/>
    </xf>
    <xf numFmtId="164" fontId="21" fillId="3" borderId="3" xfId="0" applyNumberFormat="1" applyFont="1" applyFill="1" applyBorder="1" applyAlignment="1">
      <alignment horizontal="center"/>
    </xf>
    <xf numFmtId="164" fontId="0" fillId="3" borderId="27" xfId="0" applyNumberFormat="1" applyFill="1" applyBorder="1" applyAlignment="1">
      <alignment horizontal="center"/>
    </xf>
    <xf numFmtId="164" fontId="21" fillId="0" borderId="0" xfId="0" applyNumberFormat="1" applyFont="1" applyAlignment="1">
      <alignment horizontal="center"/>
    </xf>
    <xf numFmtId="164" fontId="21" fillId="0" borderId="11" xfId="0" applyNumberFormat="1" applyFont="1" applyBorder="1" applyAlignment="1">
      <alignment horizontal="center"/>
    </xf>
    <xf numFmtId="10" fontId="0" fillId="3" borderId="26" xfId="0" applyNumberFormat="1" applyFill="1" applyBorder="1" applyAlignment="1">
      <alignment horizontal="center"/>
    </xf>
    <xf numFmtId="10" fontId="0" fillId="3" borderId="23" xfId="0" applyNumberFormat="1" applyFill="1" applyBorder="1" applyAlignment="1">
      <alignment horizontal="center"/>
    </xf>
    <xf numFmtId="165" fontId="6" fillId="0" borderId="41" xfId="0" applyNumberFormat="1" applyFont="1" applyBorder="1" applyAlignment="1">
      <alignment horizontal="center"/>
    </xf>
    <xf numFmtId="164" fontId="6" fillId="3" borderId="45" xfId="0" applyNumberFormat="1" applyFont="1" applyFill="1" applyBorder="1" applyAlignment="1">
      <alignment horizontal="center"/>
    </xf>
    <xf numFmtId="164" fontId="6" fillId="3" borderId="47" xfId="0" applyNumberFormat="1" applyFont="1" applyFill="1" applyBorder="1" applyAlignment="1">
      <alignment horizontal="center"/>
    </xf>
    <xf numFmtId="0" fontId="16" fillId="0" borderId="0" xfId="2" applyFont="1" applyAlignment="1">
      <alignment horizontal="center" vertical="center" wrapText="1"/>
    </xf>
    <xf numFmtId="164" fontId="6" fillId="0" borderId="4" xfId="0" applyNumberFormat="1" applyFont="1" applyBorder="1" applyAlignment="1">
      <alignment horizontal="center"/>
    </xf>
    <xf numFmtId="164" fontId="0" fillId="0" borderId="6" xfId="0" applyNumberFormat="1" applyBorder="1" applyAlignment="1">
      <alignment horizontal="center"/>
    </xf>
    <xf numFmtId="165" fontId="14" fillId="0" borderId="47" xfId="4" applyNumberFormat="1" applyFont="1" applyBorder="1"/>
    <xf numFmtId="0" fontId="0" fillId="0" borderId="0" xfId="0" pivotButton="1"/>
    <xf numFmtId="0" fontId="0" fillId="0" borderId="0" xfId="0" applyAlignment="1">
      <alignment horizontal="left"/>
    </xf>
    <xf numFmtId="0" fontId="1" fillId="12" borderId="0" xfId="6" applyFill="1"/>
    <xf numFmtId="0" fontId="19" fillId="12" borderId="17" xfId="6" applyFont="1" applyFill="1" applyBorder="1" applyAlignment="1">
      <alignment horizontal="center"/>
    </xf>
    <xf numFmtId="0" fontId="19" fillId="12" borderId="18" xfId="6" applyFont="1" applyFill="1" applyBorder="1" applyAlignment="1">
      <alignment horizontal="center"/>
    </xf>
    <xf numFmtId="0" fontId="17" fillId="0" borderId="1" xfId="2" applyFont="1" applyBorder="1" applyAlignment="1">
      <alignment horizontal="center"/>
    </xf>
    <xf numFmtId="0" fontId="17" fillId="0" borderId="3" xfId="2" applyFont="1" applyBorder="1" applyAlignment="1">
      <alignment horizontal="center"/>
    </xf>
    <xf numFmtId="0" fontId="6" fillId="4" borderId="30" xfId="0" applyFont="1" applyFill="1" applyBorder="1" applyAlignment="1">
      <alignment horizontal="center"/>
    </xf>
    <xf numFmtId="0" fontId="6" fillId="4" borderId="31" xfId="0" applyFont="1" applyFill="1" applyBorder="1" applyAlignment="1">
      <alignment horizontal="center"/>
    </xf>
    <xf numFmtId="0" fontId="17" fillId="0" borderId="2" xfId="2" applyFont="1" applyBorder="1" applyAlignment="1">
      <alignment horizontal="center"/>
    </xf>
    <xf numFmtId="0" fontId="15" fillId="0" borderId="1" xfId="2" applyFont="1" applyBorder="1" applyAlignment="1">
      <alignment horizontal="center" vertical="center"/>
    </xf>
    <xf numFmtId="0" fontId="15" fillId="0" borderId="2" xfId="2" applyFont="1" applyBorder="1" applyAlignment="1">
      <alignment horizontal="center" vertical="center"/>
    </xf>
    <xf numFmtId="0" fontId="15" fillId="0" borderId="16" xfId="2" applyFont="1" applyBorder="1" applyAlignment="1">
      <alignment horizontal="center" vertical="center"/>
    </xf>
    <xf numFmtId="0" fontId="17" fillId="0" borderId="13" xfId="2" applyFont="1" applyBorder="1" applyAlignment="1">
      <alignment horizontal="center"/>
    </xf>
    <xf numFmtId="0" fontId="4" fillId="2" borderId="17" xfId="0" applyFont="1" applyFill="1" applyBorder="1" applyAlignment="1">
      <alignment horizontal="left"/>
    </xf>
    <xf numFmtId="0" fontId="4" fillId="2" borderId="18" xfId="0" applyFont="1" applyFill="1" applyBorder="1" applyAlignment="1">
      <alignment horizontal="left"/>
    </xf>
    <xf numFmtId="0" fontId="17" fillId="0" borderId="16" xfId="2" applyFont="1" applyBorder="1" applyAlignment="1">
      <alignment horizontal="center"/>
    </xf>
    <xf numFmtId="0" fontId="19" fillId="12" borderId="19" xfId="6" applyFont="1" applyFill="1" applyBorder="1" applyAlignment="1">
      <alignment horizontal="center"/>
    </xf>
  </cellXfs>
  <cellStyles count="8">
    <cellStyle name="Comma" xfId="7" builtinId="3"/>
    <cellStyle name="Comma 2" xfId="5" xr:uid="{9AEFCA8F-27FC-4C18-AF16-410FF8F36D76}"/>
    <cellStyle name="Currency 2" xfId="3" xr:uid="{E0A459CF-710F-4AFB-96B3-326EEB33A179}"/>
    <cellStyle name="Normal" xfId="0" builtinId="0"/>
    <cellStyle name="Normal 2" xfId="2" xr:uid="{39536DC0-53F1-4D0D-9BC6-5F4F50ADAFFD}"/>
    <cellStyle name="Normal 3" xfId="6" xr:uid="{7F1E8D87-9CA6-42B1-919F-EB08A16440E4}"/>
    <cellStyle name="Percent" xfId="1" builtinId="5"/>
    <cellStyle name="Percent 2" xfId="4" xr:uid="{1839A2C7-123F-48B6-86C7-09505CBA6F08}"/>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a:t>NPV Comparison</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Project 1</c:v>
          </c:tx>
          <c:spPr>
            <a:solidFill>
              <a:schemeClr val="accent1"/>
            </a:solidFill>
            <a:ln>
              <a:noFill/>
            </a:ln>
            <a:effectLst/>
          </c:spPr>
          <c:invertIfNegative val="0"/>
          <c:dLbls>
            <c:numFmt formatCode="&quot;$&quot;#00.0,,\ &quot;M&quot;" sourceLinked="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 1 Financial Analysis'!$B$98</c:f>
              <c:numCache>
                <c:formatCode>"$"#,##0_);\("$"#,##0\)</c:formatCode>
                <c:ptCount val="1"/>
                <c:pt idx="0">
                  <c:v>48261715.223541968</c:v>
                </c:pt>
              </c:numCache>
            </c:numRef>
          </c:val>
          <c:extLst>
            <c:ext xmlns:c16="http://schemas.microsoft.com/office/drawing/2014/chart" uri="{C3380CC4-5D6E-409C-BE32-E72D297353CC}">
              <c16:uniqueId val="{00000000-D4F6-4E3A-BD9C-A74D40863C75}"/>
            </c:ext>
          </c:extLst>
        </c:ser>
        <c:ser>
          <c:idx val="1"/>
          <c:order val="1"/>
          <c:tx>
            <c:v>Project 2</c:v>
          </c:tx>
          <c:spPr>
            <a:solidFill>
              <a:schemeClr val="accent2"/>
            </a:solidFill>
            <a:ln>
              <a:noFill/>
            </a:ln>
            <a:effectLst/>
          </c:spPr>
          <c:invertIfNegative val="0"/>
          <c:dLbls>
            <c:numFmt formatCode="&quot;$&quot;#00.0,,\ &quot;M&quot;" sourceLinked="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 2 Financial Analysis'!$B$105</c:f>
              <c:numCache>
                <c:formatCode>"$"#,##0.00_);[Red]\("$"#,##0.00\)</c:formatCode>
                <c:ptCount val="1"/>
                <c:pt idx="0">
                  <c:v>187674336.37963554</c:v>
                </c:pt>
              </c:numCache>
            </c:numRef>
          </c:val>
          <c:extLst>
            <c:ext xmlns:c16="http://schemas.microsoft.com/office/drawing/2014/chart" uri="{C3380CC4-5D6E-409C-BE32-E72D297353CC}">
              <c16:uniqueId val="{00000001-D4F6-4E3A-BD9C-A74D40863C75}"/>
            </c:ext>
          </c:extLst>
        </c:ser>
        <c:dLbls>
          <c:dLblPos val="outEnd"/>
          <c:showLegendKey val="0"/>
          <c:showVal val="1"/>
          <c:showCatName val="0"/>
          <c:showSerName val="0"/>
          <c:showPercent val="0"/>
          <c:showBubbleSize val="0"/>
        </c:dLbls>
        <c:gapWidth val="182"/>
        <c:axId val="1200481664"/>
        <c:axId val="1200479264"/>
      </c:barChart>
      <c:catAx>
        <c:axId val="120048166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200479264"/>
        <c:crosses val="autoZero"/>
        <c:auto val="1"/>
        <c:lblAlgn val="ctr"/>
        <c:lblOffset val="100"/>
        <c:noMultiLvlLbl val="0"/>
      </c:catAx>
      <c:valAx>
        <c:axId val="1200479264"/>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FIGURE 6</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quot;$&quot;0,,\ &quot;M&quot;" sourceLinked="0"/>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20048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sz="1800"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a:t>Net Income Breakdown</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Project 1</c:v>
          </c:tx>
          <c:spPr>
            <a:solidFill>
              <a:schemeClr val="accent1"/>
            </a:solidFill>
            <a:ln>
              <a:noFill/>
            </a:ln>
            <a:effectLst/>
          </c:spPr>
          <c:invertIfNegative val="0"/>
          <c:cat>
            <c:numRef>
              <c:f>'Project 1 Financial Analysis'!$B$105:$O$105</c:f>
              <c:numCache>
                <c:formatCode>General</c:formatCode>
                <c:ptCount val="14"/>
                <c:pt idx="2">
                  <c:v>0</c:v>
                </c:pt>
                <c:pt idx="3">
                  <c:v>1</c:v>
                </c:pt>
                <c:pt idx="4">
                  <c:v>2</c:v>
                </c:pt>
                <c:pt idx="5">
                  <c:v>3</c:v>
                </c:pt>
                <c:pt idx="6">
                  <c:v>4</c:v>
                </c:pt>
                <c:pt idx="7">
                  <c:v>5</c:v>
                </c:pt>
                <c:pt idx="8">
                  <c:v>6</c:v>
                </c:pt>
                <c:pt idx="9">
                  <c:v>7</c:v>
                </c:pt>
                <c:pt idx="10">
                  <c:v>8</c:v>
                </c:pt>
                <c:pt idx="11">
                  <c:v>9</c:v>
                </c:pt>
                <c:pt idx="12">
                  <c:v>10</c:v>
                </c:pt>
                <c:pt idx="13">
                  <c:v>11</c:v>
                </c:pt>
              </c:numCache>
            </c:numRef>
          </c:cat>
          <c:val>
            <c:numRef>
              <c:f>'Project 1 Financial Analysis'!$B$115:$O$115</c:f>
              <c:numCache>
                <c:formatCode>"$"#,##0</c:formatCode>
                <c:ptCount val="14"/>
                <c:pt idx="3">
                  <c:v>-2390515.3125</c:v>
                </c:pt>
                <c:pt idx="4">
                  <c:v>-1548098.1695646702</c:v>
                </c:pt>
                <c:pt idx="5">
                  <c:v>711928.10705102934</c:v>
                </c:pt>
                <c:pt idx="6">
                  <c:v>1927782.6596463965</c:v>
                </c:pt>
                <c:pt idx="7">
                  <c:v>3551483.5762470262</c:v>
                </c:pt>
                <c:pt idx="8">
                  <c:v>3935878.9968880853</c:v>
                </c:pt>
                <c:pt idx="9">
                  <c:v>4336992.8817234505</c:v>
                </c:pt>
                <c:pt idx="10">
                  <c:v>4755599.0812616395</c:v>
                </c:pt>
                <c:pt idx="11">
                  <c:v>5192508.9570970228</c:v>
                </c:pt>
                <c:pt idx="12">
                  <c:v>5648573.2577598458</c:v>
                </c:pt>
                <c:pt idx="13">
                  <c:v>6124684.0902439337</c:v>
                </c:pt>
              </c:numCache>
            </c:numRef>
          </c:val>
          <c:extLst>
            <c:ext xmlns:c16="http://schemas.microsoft.com/office/drawing/2014/chart" uri="{C3380CC4-5D6E-409C-BE32-E72D297353CC}">
              <c16:uniqueId val="{00000000-178E-4DC0-9E98-0D6F515193E7}"/>
            </c:ext>
          </c:extLst>
        </c:ser>
        <c:ser>
          <c:idx val="1"/>
          <c:order val="1"/>
          <c:tx>
            <c:v>Project 2</c:v>
          </c:tx>
          <c:spPr>
            <a:solidFill>
              <a:schemeClr val="accent2"/>
            </a:solidFill>
            <a:ln>
              <a:noFill/>
            </a:ln>
            <a:effectLst/>
          </c:spPr>
          <c:invertIfNegative val="0"/>
          <c:cat>
            <c:numRef>
              <c:f>'Project 1 Financial Analysis'!$B$105:$O$105</c:f>
              <c:numCache>
                <c:formatCode>General</c:formatCode>
                <c:ptCount val="14"/>
                <c:pt idx="2">
                  <c:v>0</c:v>
                </c:pt>
                <c:pt idx="3">
                  <c:v>1</c:v>
                </c:pt>
                <c:pt idx="4">
                  <c:v>2</c:v>
                </c:pt>
                <c:pt idx="5">
                  <c:v>3</c:v>
                </c:pt>
                <c:pt idx="6">
                  <c:v>4</c:v>
                </c:pt>
                <c:pt idx="7">
                  <c:v>5</c:v>
                </c:pt>
                <c:pt idx="8">
                  <c:v>6</c:v>
                </c:pt>
                <c:pt idx="9">
                  <c:v>7</c:v>
                </c:pt>
                <c:pt idx="10">
                  <c:v>8</c:v>
                </c:pt>
                <c:pt idx="11">
                  <c:v>9</c:v>
                </c:pt>
                <c:pt idx="12">
                  <c:v>10</c:v>
                </c:pt>
                <c:pt idx="13">
                  <c:v>11</c:v>
                </c:pt>
              </c:numCache>
            </c:numRef>
          </c:cat>
          <c:val>
            <c:numRef>
              <c:f>'Project 2 Financial Analysis'!$B$122:$O$122</c:f>
              <c:numCache>
                <c:formatCode>"$"#,##0</c:formatCode>
                <c:ptCount val="14"/>
                <c:pt idx="3">
                  <c:v>-3564764.2123664366</c:v>
                </c:pt>
                <c:pt idx="4">
                  <c:v>-1217209.8171049394</c:v>
                </c:pt>
                <c:pt idx="5">
                  <c:v>797084.39509365696</c:v>
                </c:pt>
                <c:pt idx="6">
                  <c:v>3574417.8200322427</c:v>
                </c:pt>
                <c:pt idx="7">
                  <c:v>6828646.0344382906</c:v>
                </c:pt>
                <c:pt idx="8">
                  <c:v>10340005.538319252</c:v>
                </c:pt>
                <c:pt idx="9">
                  <c:v>11109631.740631884</c:v>
                </c:pt>
                <c:pt idx="10">
                  <c:v>11911701.210540917</c:v>
                </c:pt>
                <c:pt idx="11">
                  <c:v>12747654.074171208</c:v>
                </c:pt>
                <c:pt idx="12">
                  <c:v>13618997.38073549</c:v>
                </c:pt>
                <c:pt idx="13">
                  <c:v>14527308.329842433</c:v>
                </c:pt>
              </c:numCache>
            </c:numRef>
          </c:val>
          <c:extLst>
            <c:ext xmlns:c16="http://schemas.microsoft.com/office/drawing/2014/chart" uri="{C3380CC4-5D6E-409C-BE32-E72D297353CC}">
              <c16:uniqueId val="{00000001-178E-4DC0-9E98-0D6F515193E7}"/>
            </c:ext>
          </c:extLst>
        </c:ser>
        <c:dLbls>
          <c:showLegendKey val="0"/>
          <c:showVal val="0"/>
          <c:showCatName val="0"/>
          <c:showSerName val="0"/>
          <c:showPercent val="0"/>
          <c:showBubbleSize val="0"/>
        </c:dLbls>
        <c:gapWidth val="219"/>
        <c:overlap val="-27"/>
        <c:axId val="1303923488"/>
        <c:axId val="1303926848"/>
      </c:barChart>
      <c:catAx>
        <c:axId val="1303923488"/>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FIGURE 1</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303926848"/>
        <c:crosses val="autoZero"/>
        <c:auto val="1"/>
        <c:lblAlgn val="ctr"/>
        <c:lblOffset val="100"/>
        <c:noMultiLvlLbl val="0"/>
      </c:catAx>
      <c:valAx>
        <c:axId val="1303926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3039234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n-US" sz="2400"/>
              <a:t>Project 2 Operating Expenses Breakdown</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'Project 2 Financial Analysis'!$A$49</c:f>
              <c:strCache>
                <c:ptCount val="1"/>
                <c:pt idx="0">
                  <c:v>Real Estate Taxes</c:v>
                </c:pt>
              </c:strCache>
            </c:strRef>
          </c:tx>
          <c:spPr>
            <a:solidFill>
              <a:schemeClr val="accent1"/>
            </a:solidFill>
            <a:ln>
              <a:noFill/>
            </a:ln>
            <a:effectLst/>
          </c:spPr>
          <c:invertIfNegative val="0"/>
          <c:cat>
            <c:numRef>
              <c:f>'Project 2 Financial Analysis'!$D$33:$O$33</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2 Financial Analysis'!$D$49:$O$49</c:f>
              <c:numCache>
                <c:formatCode>"$"#,##0.00</c:formatCode>
                <c:ptCount val="12"/>
                <c:pt idx="0">
                  <c:v>0</c:v>
                </c:pt>
                <c:pt idx="1">
                  <c:v>0</c:v>
                </c:pt>
                <c:pt idx="2">
                  <c:v>-438554.6875</c:v>
                </c:pt>
                <c:pt idx="3">
                  <c:v>-1084107.1875</c:v>
                </c:pt>
                <c:pt idx="4">
                  <c:v>-1116630.403125</c:v>
                </c:pt>
                <c:pt idx="5">
                  <c:v>-1150129.3152187502</c:v>
                </c:pt>
                <c:pt idx="6">
                  <c:v>-1184633.1946753121</c:v>
                </c:pt>
                <c:pt idx="7">
                  <c:v>-1220172.1905155715</c:v>
                </c:pt>
                <c:pt idx="8">
                  <c:v>-1256777.3562310394</c:v>
                </c:pt>
                <c:pt idx="9">
                  <c:v>-1294480.6769179699</c:v>
                </c:pt>
                <c:pt idx="10">
                  <c:v>-1333315.0972255096</c:v>
                </c:pt>
                <c:pt idx="11">
                  <c:v>-1373314.5501422745</c:v>
                </c:pt>
              </c:numCache>
            </c:numRef>
          </c:val>
          <c:extLst>
            <c:ext xmlns:c16="http://schemas.microsoft.com/office/drawing/2014/chart" uri="{C3380CC4-5D6E-409C-BE32-E72D297353CC}">
              <c16:uniqueId val="{00000000-8AF9-46C0-AB9A-36F5F642553B}"/>
            </c:ext>
          </c:extLst>
        </c:ser>
        <c:ser>
          <c:idx val="1"/>
          <c:order val="1"/>
          <c:tx>
            <c:strRef>
              <c:f>'Project 2 Financial Analysis'!$A$50</c:f>
              <c:strCache>
                <c:ptCount val="1"/>
                <c:pt idx="0">
                  <c:v>Payroll &amp; Benefits</c:v>
                </c:pt>
              </c:strCache>
            </c:strRef>
          </c:tx>
          <c:spPr>
            <a:solidFill>
              <a:schemeClr val="accent2"/>
            </a:solidFill>
            <a:ln>
              <a:noFill/>
            </a:ln>
            <a:effectLst/>
          </c:spPr>
          <c:invertIfNegative val="0"/>
          <c:cat>
            <c:numRef>
              <c:f>'Project 2 Financial Analysis'!$D$33:$O$33</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2 Financial Analysis'!$D$50:$O$50</c:f>
              <c:numCache>
                <c:formatCode>"$"#,##0.00</c:formatCode>
                <c:ptCount val="12"/>
                <c:pt idx="0">
                  <c:v>0</c:v>
                </c:pt>
                <c:pt idx="1">
                  <c:v>0</c:v>
                </c:pt>
                <c:pt idx="2">
                  <c:v>-258954.33854166666</c:v>
                </c:pt>
                <c:pt idx="3">
                  <c:v>-640135.12487499998</c:v>
                </c:pt>
                <c:pt idx="4">
                  <c:v>-659339.1786212502</c:v>
                </c:pt>
                <c:pt idx="5">
                  <c:v>-679119.35397988756</c:v>
                </c:pt>
                <c:pt idx="6">
                  <c:v>-699492.93459928408</c:v>
                </c:pt>
                <c:pt idx="7">
                  <c:v>-720477.72263726266</c:v>
                </c:pt>
                <c:pt idx="8">
                  <c:v>-742092.05431638053</c:v>
                </c:pt>
                <c:pt idx="9">
                  <c:v>-764354.81594587187</c:v>
                </c:pt>
                <c:pt idx="10">
                  <c:v>-787285.46042424801</c:v>
                </c:pt>
                <c:pt idx="11">
                  <c:v>-810904.0242369757</c:v>
                </c:pt>
              </c:numCache>
            </c:numRef>
          </c:val>
          <c:extLst>
            <c:ext xmlns:c16="http://schemas.microsoft.com/office/drawing/2014/chart" uri="{C3380CC4-5D6E-409C-BE32-E72D297353CC}">
              <c16:uniqueId val="{00000001-8AF9-46C0-AB9A-36F5F642553B}"/>
            </c:ext>
          </c:extLst>
        </c:ser>
        <c:ser>
          <c:idx val="2"/>
          <c:order val="2"/>
          <c:tx>
            <c:strRef>
              <c:f>'Project 2 Financial Analysis'!$A$51</c:f>
              <c:strCache>
                <c:ptCount val="1"/>
                <c:pt idx="0">
                  <c:v>Insurance</c:v>
                </c:pt>
              </c:strCache>
            </c:strRef>
          </c:tx>
          <c:spPr>
            <a:solidFill>
              <a:schemeClr val="accent3"/>
            </a:solidFill>
            <a:ln>
              <a:noFill/>
            </a:ln>
            <a:effectLst/>
          </c:spPr>
          <c:invertIfNegative val="0"/>
          <c:cat>
            <c:numRef>
              <c:f>'Project 2 Financial Analysis'!$D$33:$O$33</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2 Financial Analysis'!$D$51:$O$51</c:f>
              <c:numCache>
                <c:formatCode>"$"#,##0.00</c:formatCode>
                <c:ptCount val="12"/>
                <c:pt idx="0">
                  <c:v>0</c:v>
                </c:pt>
                <c:pt idx="1">
                  <c:v>0</c:v>
                </c:pt>
                <c:pt idx="2">
                  <c:v>-43855.46875</c:v>
                </c:pt>
                <c:pt idx="3">
                  <c:v>-108410.71875000001</c:v>
                </c:pt>
                <c:pt idx="4">
                  <c:v>-111663.0403125</c:v>
                </c:pt>
                <c:pt idx="5">
                  <c:v>-115012.931521875</c:v>
                </c:pt>
                <c:pt idx="6">
                  <c:v>-118463.31946753124</c:v>
                </c:pt>
                <c:pt idx="7">
                  <c:v>-122017.21905155719</c:v>
                </c:pt>
                <c:pt idx="8">
                  <c:v>-125677.73562310387</c:v>
                </c:pt>
                <c:pt idx="9">
                  <c:v>-129448.06769179697</c:v>
                </c:pt>
                <c:pt idx="10">
                  <c:v>-133331.50972255095</c:v>
                </c:pt>
                <c:pt idx="11">
                  <c:v>-137331.45501422745</c:v>
                </c:pt>
              </c:numCache>
            </c:numRef>
          </c:val>
          <c:extLst>
            <c:ext xmlns:c16="http://schemas.microsoft.com/office/drawing/2014/chart" uri="{C3380CC4-5D6E-409C-BE32-E72D297353CC}">
              <c16:uniqueId val="{00000002-8AF9-46C0-AB9A-36F5F642553B}"/>
            </c:ext>
          </c:extLst>
        </c:ser>
        <c:ser>
          <c:idx val="3"/>
          <c:order val="3"/>
          <c:tx>
            <c:strRef>
              <c:f>'Project 2 Financial Analysis'!$A$52</c:f>
              <c:strCache>
                <c:ptCount val="1"/>
                <c:pt idx="0">
                  <c:v>Utilities</c:v>
                </c:pt>
              </c:strCache>
            </c:strRef>
          </c:tx>
          <c:spPr>
            <a:solidFill>
              <a:schemeClr val="accent4"/>
            </a:solidFill>
            <a:ln>
              <a:noFill/>
            </a:ln>
            <a:effectLst/>
          </c:spPr>
          <c:invertIfNegative val="0"/>
          <c:cat>
            <c:numRef>
              <c:f>'Project 2 Financial Analysis'!$D$33:$O$33</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2 Financial Analysis'!$D$52:$O$52</c:f>
              <c:numCache>
                <c:formatCode>"$"#,##0.00</c:formatCode>
                <c:ptCount val="12"/>
                <c:pt idx="0">
                  <c:v>0</c:v>
                </c:pt>
                <c:pt idx="1">
                  <c:v>0</c:v>
                </c:pt>
                <c:pt idx="2">
                  <c:v>-118585.18750000001</c:v>
                </c:pt>
                <c:pt idx="3">
                  <c:v>-293142.58350000001</c:v>
                </c:pt>
                <c:pt idx="4">
                  <c:v>-301936.86100500001</c:v>
                </c:pt>
                <c:pt idx="5">
                  <c:v>-310994.96683514997</c:v>
                </c:pt>
                <c:pt idx="6">
                  <c:v>-320324.81584020442</c:v>
                </c:pt>
                <c:pt idx="7">
                  <c:v>-329934.56031541072</c:v>
                </c:pt>
                <c:pt idx="8">
                  <c:v>-339832.5971248729</c:v>
                </c:pt>
                <c:pt idx="9">
                  <c:v>-350027.57503861911</c:v>
                </c:pt>
                <c:pt idx="10">
                  <c:v>-360528.40228977764</c:v>
                </c:pt>
                <c:pt idx="11">
                  <c:v>-371344.25435847091</c:v>
                </c:pt>
              </c:numCache>
            </c:numRef>
          </c:val>
          <c:extLst>
            <c:ext xmlns:c16="http://schemas.microsoft.com/office/drawing/2014/chart" uri="{C3380CC4-5D6E-409C-BE32-E72D297353CC}">
              <c16:uniqueId val="{00000003-8AF9-46C0-AB9A-36F5F642553B}"/>
            </c:ext>
          </c:extLst>
        </c:ser>
        <c:ser>
          <c:idx val="4"/>
          <c:order val="4"/>
          <c:tx>
            <c:strRef>
              <c:f>'Project 2 Financial Analysis'!$A$53</c:f>
              <c:strCache>
                <c:ptCount val="1"/>
                <c:pt idx="0">
                  <c:v>Repairs &amp; Maintenance,Con Serv, TO</c:v>
                </c:pt>
              </c:strCache>
            </c:strRef>
          </c:tx>
          <c:spPr>
            <a:solidFill>
              <a:schemeClr val="accent5"/>
            </a:solidFill>
            <a:ln>
              <a:noFill/>
            </a:ln>
            <a:effectLst/>
          </c:spPr>
          <c:invertIfNegative val="0"/>
          <c:cat>
            <c:numRef>
              <c:f>'Project 2 Financial Analysis'!$D$33:$O$33</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2 Financial Analysis'!$D$53:$O$53</c:f>
              <c:numCache>
                <c:formatCode>"$"#,##0.00</c:formatCode>
                <c:ptCount val="12"/>
                <c:pt idx="0">
                  <c:v>0</c:v>
                </c:pt>
                <c:pt idx="1">
                  <c:v>0</c:v>
                </c:pt>
                <c:pt idx="2">
                  <c:v>-179493.05729166666</c:v>
                </c:pt>
                <c:pt idx="3">
                  <c:v>-443706.83762499999</c:v>
                </c:pt>
                <c:pt idx="4">
                  <c:v>-457018.04275375005</c:v>
                </c:pt>
                <c:pt idx="5">
                  <c:v>-470728.58403636253</c:v>
                </c:pt>
                <c:pt idx="6">
                  <c:v>-484850.4415574533</c:v>
                </c:pt>
                <c:pt idx="7">
                  <c:v>-499395.9548041771</c:v>
                </c:pt>
                <c:pt idx="8">
                  <c:v>-514377.83344830235</c:v>
                </c:pt>
                <c:pt idx="9">
                  <c:v>-529809.16845175123</c:v>
                </c:pt>
                <c:pt idx="10">
                  <c:v>-545703.44350530393</c:v>
                </c:pt>
                <c:pt idx="11">
                  <c:v>-562074.54681046295</c:v>
                </c:pt>
              </c:numCache>
            </c:numRef>
          </c:val>
          <c:extLst>
            <c:ext xmlns:c16="http://schemas.microsoft.com/office/drawing/2014/chart" uri="{C3380CC4-5D6E-409C-BE32-E72D297353CC}">
              <c16:uniqueId val="{00000004-8AF9-46C0-AB9A-36F5F642553B}"/>
            </c:ext>
          </c:extLst>
        </c:ser>
        <c:ser>
          <c:idx val="5"/>
          <c:order val="5"/>
          <c:tx>
            <c:strRef>
              <c:f>'Project 2 Financial Analysis'!$A$54</c:f>
              <c:strCache>
                <c:ptCount val="1"/>
                <c:pt idx="0">
                  <c:v>Administrative &amp; Marketing</c:v>
                </c:pt>
              </c:strCache>
            </c:strRef>
          </c:tx>
          <c:spPr>
            <a:solidFill>
              <a:schemeClr val="accent6"/>
            </a:solidFill>
            <a:ln>
              <a:noFill/>
            </a:ln>
            <a:effectLst/>
          </c:spPr>
          <c:invertIfNegative val="0"/>
          <c:cat>
            <c:numRef>
              <c:f>'Project 2 Financial Analysis'!$D$33:$O$33</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2 Financial Analysis'!$D$54:$O$54</c:f>
              <c:numCache>
                <c:formatCode>"$"#,##0.00</c:formatCode>
                <c:ptCount val="12"/>
                <c:pt idx="0">
                  <c:v>0</c:v>
                </c:pt>
                <c:pt idx="1">
                  <c:v>0</c:v>
                </c:pt>
                <c:pt idx="2">
                  <c:v>-93850.703125</c:v>
                </c:pt>
                <c:pt idx="3">
                  <c:v>-231998.93812499999</c:v>
                </c:pt>
                <c:pt idx="4">
                  <c:v>-238958.90626875003</c:v>
                </c:pt>
                <c:pt idx="5">
                  <c:v>-246127.67345681248</c:v>
                </c:pt>
                <c:pt idx="6">
                  <c:v>-253511.50366051678</c:v>
                </c:pt>
                <c:pt idx="7">
                  <c:v>-261116.84877033244</c:v>
                </c:pt>
                <c:pt idx="8">
                  <c:v>-268950.35423344234</c:v>
                </c:pt>
                <c:pt idx="9">
                  <c:v>-277018.86486044561</c:v>
                </c:pt>
                <c:pt idx="10">
                  <c:v>-285329.43080625893</c:v>
                </c:pt>
                <c:pt idx="11">
                  <c:v>-293889.31373044668</c:v>
                </c:pt>
              </c:numCache>
            </c:numRef>
          </c:val>
          <c:extLst>
            <c:ext xmlns:c16="http://schemas.microsoft.com/office/drawing/2014/chart" uri="{C3380CC4-5D6E-409C-BE32-E72D297353CC}">
              <c16:uniqueId val="{00000005-8AF9-46C0-AB9A-36F5F642553B}"/>
            </c:ext>
          </c:extLst>
        </c:ser>
        <c:ser>
          <c:idx val="6"/>
          <c:order val="6"/>
          <c:tx>
            <c:strRef>
              <c:f>'Project 2 Financial Analysis'!$A$55</c:f>
              <c:strCache>
                <c:ptCount val="1"/>
                <c:pt idx="0">
                  <c:v>Management Fee</c:v>
                </c:pt>
              </c:strCache>
            </c:strRef>
          </c:tx>
          <c:spPr>
            <a:solidFill>
              <a:schemeClr val="accent1">
                <a:lumMod val="60000"/>
              </a:schemeClr>
            </a:solidFill>
            <a:ln>
              <a:noFill/>
            </a:ln>
            <a:effectLst/>
          </c:spPr>
          <c:invertIfNegative val="0"/>
          <c:cat>
            <c:numRef>
              <c:f>'Project 2 Financial Analysis'!$D$33:$O$33</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2 Financial Analysis'!$D$55:$O$55</c:f>
              <c:numCache>
                <c:formatCode>"$"#,##0.00</c:formatCode>
                <c:ptCount val="12"/>
                <c:pt idx="0">
                  <c:v>0</c:v>
                </c:pt>
                <c:pt idx="1">
                  <c:v>0</c:v>
                </c:pt>
                <c:pt idx="2">
                  <c:v>-82156.046431250012</c:v>
                </c:pt>
                <c:pt idx="3">
                  <c:v>-203089.74677804991</c:v>
                </c:pt>
                <c:pt idx="4">
                  <c:v>-209182.43918139153</c:v>
                </c:pt>
                <c:pt idx="5">
                  <c:v>-215457.91235683323</c:v>
                </c:pt>
                <c:pt idx="6">
                  <c:v>-221921.64972753817</c:v>
                </c:pt>
                <c:pt idx="7">
                  <c:v>-228579.29921936445</c:v>
                </c:pt>
                <c:pt idx="8">
                  <c:v>-235436.67819594531</c:v>
                </c:pt>
                <c:pt idx="9">
                  <c:v>-242499.77854182362</c:v>
                </c:pt>
                <c:pt idx="10">
                  <c:v>-249774.77189807847</c:v>
                </c:pt>
                <c:pt idx="11">
                  <c:v>-257268.01505502069</c:v>
                </c:pt>
              </c:numCache>
            </c:numRef>
          </c:val>
          <c:extLst>
            <c:ext xmlns:c16="http://schemas.microsoft.com/office/drawing/2014/chart" uri="{C3380CC4-5D6E-409C-BE32-E72D297353CC}">
              <c16:uniqueId val="{00000006-8AF9-46C0-AB9A-36F5F642553B}"/>
            </c:ext>
          </c:extLst>
        </c:ser>
        <c:dLbls>
          <c:showLegendKey val="0"/>
          <c:showVal val="0"/>
          <c:showCatName val="0"/>
          <c:showSerName val="0"/>
          <c:showPercent val="0"/>
          <c:showBubbleSize val="0"/>
        </c:dLbls>
        <c:gapWidth val="79"/>
        <c:overlap val="100"/>
        <c:axId val="392594895"/>
        <c:axId val="392596335"/>
      </c:barChart>
      <c:catAx>
        <c:axId val="392594895"/>
        <c:scaling>
          <c:orientation val="minMax"/>
        </c:scaling>
        <c:delete val="0"/>
        <c:axPos val="b"/>
        <c:title>
          <c:tx>
            <c:rich>
              <a:bodyPr rot="0" spcFirstLastPara="1" vertOverflow="ellipsis" vert="horz" wrap="square" anchor="ctr" anchorCtr="1"/>
              <a:lstStyle/>
              <a:p>
                <a:pPr>
                  <a:defRPr sz="2000" b="1" i="0" u="none" strike="noStrike" kern="1200" cap="all" baseline="0">
                    <a:solidFill>
                      <a:schemeClr val="tx1">
                        <a:lumMod val="65000"/>
                        <a:lumOff val="35000"/>
                      </a:schemeClr>
                    </a:solidFill>
                    <a:latin typeface="+mn-lt"/>
                    <a:ea typeface="+mn-ea"/>
                    <a:cs typeface="+mn-cs"/>
                  </a:defRPr>
                </a:pPr>
                <a:r>
                  <a:rPr lang="en-US" sz="2000" b="1"/>
                  <a:t>FIGURE 9</a:t>
                </a:r>
              </a:p>
            </c:rich>
          </c:tx>
          <c:overlay val="0"/>
          <c:spPr>
            <a:noFill/>
            <a:ln>
              <a:noFill/>
            </a:ln>
            <a:effectLst/>
          </c:spPr>
          <c:txPr>
            <a:bodyPr rot="0" spcFirstLastPara="1" vertOverflow="ellipsis" vert="horz" wrap="square" anchor="ctr" anchorCtr="1"/>
            <a:lstStyle/>
            <a:p>
              <a:pPr>
                <a:defRPr sz="20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n-US"/>
          </a:p>
        </c:txPr>
        <c:crossAx val="392596335"/>
        <c:crosses val="max"/>
        <c:auto val="1"/>
        <c:lblAlgn val="ctr"/>
        <c:lblOffset val="100"/>
        <c:noMultiLvlLbl val="0"/>
      </c:catAx>
      <c:valAx>
        <c:axId val="392596335"/>
        <c:scaling>
          <c:orientation val="maxMin"/>
        </c:scaling>
        <c:delete val="0"/>
        <c:axPos val="l"/>
        <c:majorGridlines>
          <c:spPr>
            <a:ln w="9525" cap="flat" cmpd="sng" algn="ctr">
              <a:solidFill>
                <a:schemeClr val="tx1">
                  <a:lumMod val="15000"/>
                  <a:lumOff val="85000"/>
                </a:schemeClr>
              </a:solidFill>
              <a:round/>
            </a:ln>
            <a:effectLst/>
          </c:spPr>
        </c:majorGridlines>
        <c:numFmt formatCode="&quot;$&quot;0.0,,\ &quot;M&quot;"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92594895"/>
        <c:crosses val="autoZero"/>
        <c:crossBetween val="between"/>
      </c:valAx>
      <c:spPr>
        <a:noFill/>
        <a:ln>
          <a:noFill/>
        </a:ln>
        <a:effectLst/>
      </c:spPr>
    </c:plotArea>
    <c:legend>
      <c:legendPos val="t"/>
      <c:layout>
        <c:manualLayout>
          <c:xMode val="edge"/>
          <c:yMode val="edge"/>
          <c:x val="8.5587287238630377E-2"/>
          <c:y val="4.8556105208422864E-2"/>
          <c:w val="0.82882542552273919"/>
          <c:h val="9.8160939029098448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r>
              <a:rPr lang="en-US" sz="2400"/>
              <a:t>Project 1 Operating Expenses Breakdown</a:t>
            </a:r>
          </a:p>
        </c:rich>
      </c:tx>
      <c:overlay val="0"/>
      <c:spPr>
        <a:noFill/>
        <a:ln>
          <a:noFill/>
        </a:ln>
        <a:effectLst/>
      </c:spPr>
      <c:txPr>
        <a:bodyPr rot="0" spcFirstLastPara="1" vertOverflow="ellipsis" vert="horz" wrap="square" anchor="ctr" anchorCtr="1"/>
        <a:lstStyle/>
        <a:p>
          <a:pPr>
            <a:defRPr sz="2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'Project 1 Financial Analysis'!$A$42</c:f>
              <c:strCache>
                <c:ptCount val="1"/>
                <c:pt idx="0">
                  <c:v>Real Estate Taxes</c:v>
                </c:pt>
              </c:strCache>
            </c:strRef>
          </c:tx>
          <c:spPr>
            <a:solidFill>
              <a:schemeClr val="accent1"/>
            </a:solidFill>
            <a:ln>
              <a:noFill/>
            </a:ln>
            <a:effectLst/>
          </c:spPr>
          <c:invertIfNegative val="0"/>
          <c:cat>
            <c:numRef>
              <c:f>'Project 1 Financial Analysis'!$D$27:$O$27</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1 Financial Analysis'!$D$42:$O$42</c:f>
              <c:numCache>
                <c:formatCode>"$"#,##0</c:formatCode>
                <c:ptCount val="12"/>
                <c:pt idx="0">
                  <c:v>0</c:v>
                </c:pt>
                <c:pt idx="1">
                  <c:v>0</c:v>
                </c:pt>
                <c:pt idx="2">
                  <c:v>-350843.75</c:v>
                </c:pt>
                <c:pt idx="3">
                  <c:v>-867285.75</c:v>
                </c:pt>
                <c:pt idx="4">
                  <c:v>-893304.32249999989</c:v>
                </c:pt>
                <c:pt idx="5">
                  <c:v>-920103.4521750001</c:v>
                </c:pt>
                <c:pt idx="6">
                  <c:v>-947706.55574024969</c:v>
                </c:pt>
                <c:pt idx="7">
                  <c:v>-976137.75241245714</c:v>
                </c:pt>
                <c:pt idx="8">
                  <c:v>-1005421.8849848314</c:v>
                </c:pt>
                <c:pt idx="9">
                  <c:v>-1035584.541534376</c:v>
                </c:pt>
                <c:pt idx="10">
                  <c:v>-1066652.0777804076</c:v>
                </c:pt>
                <c:pt idx="11">
                  <c:v>-1098651.6401138196</c:v>
                </c:pt>
              </c:numCache>
            </c:numRef>
          </c:val>
          <c:extLst>
            <c:ext xmlns:c16="http://schemas.microsoft.com/office/drawing/2014/chart" uri="{C3380CC4-5D6E-409C-BE32-E72D297353CC}">
              <c16:uniqueId val="{00000000-E481-4343-A39B-D06FAF454EE9}"/>
            </c:ext>
          </c:extLst>
        </c:ser>
        <c:ser>
          <c:idx val="1"/>
          <c:order val="1"/>
          <c:tx>
            <c:strRef>
              <c:f>'Project 1 Financial Analysis'!$A$43</c:f>
              <c:strCache>
                <c:ptCount val="1"/>
                <c:pt idx="0">
                  <c:v>Payroll &amp; Benefits</c:v>
                </c:pt>
              </c:strCache>
            </c:strRef>
          </c:tx>
          <c:spPr>
            <a:solidFill>
              <a:schemeClr val="accent2"/>
            </a:solidFill>
            <a:ln>
              <a:noFill/>
            </a:ln>
            <a:effectLst/>
          </c:spPr>
          <c:invertIfNegative val="0"/>
          <c:cat>
            <c:numRef>
              <c:f>'Project 1 Financial Analysis'!$D$27:$O$27</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1 Financial Analysis'!$D$43:$O$43</c:f>
              <c:numCache>
                <c:formatCode>"$"#,##0</c:formatCode>
                <c:ptCount val="12"/>
                <c:pt idx="0">
                  <c:v>0</c:v>
                </c:pt>
                <c:pt idx="1">
                  <c:v>0</c:v>
                </c:pt>
                <c:pt idx="2">
                  <c:v>-207163.47083333333</c:v>
                </c:pt>
                <c:pt idx="3">
                  <c:v>-512108.09990000003</c:v>
                </c:pt>
                <c:pt idx="4">
                  <c:v>-527471.34289700014</c:v>
                </c:pt>
                <c:pt idx="5">
                  <c:v>-543295.48318391002</c:v>
                </c:pt>
                <c:pt idx="6">
                  <c:v>-559594.34767942724</c:v>
                </c:pt>
                <c:pt idx="7">
                  <c:v>-576382.17810981011</c:v>
                </c:pt>
                <c:pt idx="8">
                  <c:v>-593673.64345310442</c:v>
                </c:pt>
                <c:pt idx="9">
                  <c:v>-611483.85275669745</c:v>
                </c:pt>
                <c:pt idx="10">
                  <c:v>-629828.36833939841</c:v>
                </c:pt>
                <c:pt idx="11">
                  <c:v>-648723.21938958054</c:v>
                </c:pt>
              </c:numCache>
            </c:numRef>
          </c:val>
          <c:extLst>
            <c:ext xmlns:c16="http://schemas.microsoft.com/office/drawing/2014/chart" uri="{C3380CC4-5D6E-409C-BE32-E72D297353CC}">
              <c16:uniqueId val="{00000001-E481-4343-A39B-D06FAF454EE9}"/>
            </c:ext>
          </c:extLst>
        </c:ser>
        <c:ser>
          <c:idx val="2"/>
          <c:order val="2"/>
          <c:tx>
            <c:strRef>
              <c:f>'Project 1 Financial Analysis'!$A$44</c:f>
              <c:strCache>
                <c:ptCount val="1"/>
                <c:pt idx="0">
                  <c:v>Insurance</c:v>
                </c:pt>
              </c:strCache>
            </c:strRef>
          </c:tx>
          <c:spPr>
            <a:solidFill>
              <a:schemeClr val="accent3"/>
            </a:solidFill>
            <a:ln>
              <a:noFill/>
            </a:ln>
            <a:effectLst/>
          </c:spPr>
          <c:invertIfNegative val="0"/>
          <c:cat>
            <c:numRef>
              <c:f>'Project 1 Financial Analysis'!$D$27:$O$27</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1 Financial Analysis'!$D$44:$O$44</c:f>
              <c:numCache>
                <c:formatCode>"$"#,##0</c:formatCode>
                <c:ptCount val="12"/>
                <c:pt idx="0">
                  <c:v>0</c:v>
                </c:pt>
                <c:pt idx="1">
                  <c:v>0</c:v>
                </c:pt>
                <c:pt idx="2">
                  <c:v>-35084.375</c:v>
                </c:pt>
                <c:pt idx="3">
                  <c:v>-86728.575000000012</c:v>
                </c:pt>
                <c:pt idx="4">
                  <c:v>-89330.432249999998</c:v>
                </c:pt>
                <c:pt idx="5">
                  <c:v>-92010.345217499998</c:v>
                </c:pt>
                <c:pt idx="6">
                  <c:v>-94770.65557402499</c:v>
                </c:pt>
                <c:pt idx="7">
                  <c:v>-97613.775241245748</c:v>
                </c:pt>
                <c:pt idx="8">
                  <c:v>-100542.1884984831</c:v>
                </c:pt>
                <c:pt idx="9">
                  <c:v>-103558.45415343757</c:v>
                </c:pt>
                <c:pt idx="10">
                  <c:v>-106665.20777804077</c:v>
                </c:pt>
                <c:pt idx="11">
                  <c:v>-109865.16401138196</c:v>
                </c:pt>
              </c:numCache>
            </c:numRef>
          </c:val>
          <c:extLst>
            <c:ext xmlns:c16="http://schemas.microsoft.com/office/drawing/2014/chart" uri="{C3380CC4-5D6E-409C-BE32-E72D297353CC}">
              <c16:uniqueId val="{00000002-E481-4343-A39B-D06FAF454EE9}"/>
            </c:ext>
          </c:extLst>
        </c:ser>
        <c:ser>
          <c:idx val="3"/>
          <c:order val="3"/>
          <c:tx>
            <c:strRef>
              <c:f>'Project 1 Financial Analysis'!$A$45</c:f>
              <c:strCache>
                <c:ptCount val="1"/>
                <c:pt idx="0">
                  <c:v>Utilities</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4-E481-4343-A39B-D06FAF454EE9}"/>
              </c:ext>
            </c:extLst>
          </c:dPt>
          <c:cat>
            <c:numRef>
              <c:f>'Project 1 Financial Analysis'!$D$27:$O$27</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1 Financial Analysis'!$D$45:$O$45</c:f>
              <c:numCache>
                <c:formatCode>"$"#,##0</c:formatCode>
                <c:ptCount val="12"/>
                <c:pt idx="0">
                  <c:v>0</c:v>
                </c:pt>
                <c:pt idx="1">
                  <c:v>0</c:v>
                </c:pt>
                <c:pt idx="2">
                  <c:v>-94868.150000000009</c:v>
                </c:pt>
                <c:pt idx="3">
                  <c:v>-234514.0668</c:v>
                </c:pt>
                <c:pt idx="4">
                  <c:v>-241549.48880399999</c:v>
                </c:pt>
                <c:pt idx="5">
                  <c:v>-248795.97346811998</c:v>
                </c:pt>
                <c:pt idx="6">
                  <c:v>-256259.85267216354</c:v>
                </c:pt>
                <c:pt idx="7">
                  <c:v>-263947.64825232857</c:v>
                </c:pt>
                <c:pt idx="8">
                  <c:v>-271866.07769989833</c:v>
                </c:pt>
                <c:pt idx="9">
                  <c:v>-280022.06003089529</c:v>
                </c:pt>
                <c:pt idx="10">
                  <c:v>-288422.72183182213</c:v>
                </c:pt>
                <c:pt idx="11">
                  <c:v>-297075.40348677675</c:v>
                </c:pt>
              </c:numCache>
            </c:numRef>
          </c:val>
          <c:extLst>
            <c:ext xmlns:c16="http://schemas.microsoft.com/office/drawing/2014/chart" uri="{C3380CC4-5D6E-409C-BE32-E72D297353CC}">
              <c16:uniqueId val="{00000005-E481-4343-A39B-D06FAF454EE9}"/>
            </c:ext>
          </c:extLst>
        </c:ser>
        <c:ser>
          <c:idx val="4"/>
          <c:order val="4"/>
          <c:tx>
            <c:strRef>
              <c:f>'Project 1 Financial Analysis'!$A$46</c:f>
              <c:strCache>
                <c:ptCount val="1"/>
                <c:pt idx="0">
                  <c:v>Repairs &amp; Maintenance,Con Serv, TO</c:v>
                </c:pt>
              </c:strCache>
            </c:strRef>
          </c:tx>
          <c:spPr>
            <a:solidFill>
              <a:schemeClr val="accent5"/>
            </a:solidFill>
            <a:ln>
              <a:noFill/>
            </a:ln>
            <a:effectLst/>
          </c:spPr>
          <c:invertIfNegative val="0"/>
          <c:cat>
            <c:numRef>
              <c:f>'Project 1 Financial Analysis'!$D$27:$O$27</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1 Financial Analysis'!$D$46:$O$46</c:f>
              <c:numCache>
                <c:formatCode>"$"#,##0</c:formatCode>
                <c:ptCount val="12"/>
                <c:pt idx="0">
                  <c:v>0</c:v>
                </c:pt>
                <c:pt idx="1">
                  <c:v>0</c:v>
                </c:pt>
                <c:pt idx="2">
                  <c:v>-143594.44583333333</c:v>
                </c:pt>
                <c:pt idx="3">
                  <c:v>-354965.47009999998</c:v>
                </c:pt>
                <c:pt idx="4">
                  <c:v>-365614.43420300004</c:v>
                </c:pt>
                <c:pt idx="5">
                  <c:v>-376582.86722909001</c:v>
                </c:pt>
                <c:pt idx="6">
                  <c:v>-387880.35324596264</c:v>
                </c:pt>
                <c:pt idx="7">
                  <c:v>-399516.76384334167</c:v>
                </c:pt>
                <c:pt idx="8">
                  <c:v>-411502.26675864187</c:v>
                </c:pt>
                <c:pt idx="9">
                  <c:v>-423847.334761401</c:v>
                </c:pt>
                <c:pt idx="10">
                  <c:v>-436562.7548042431</c:v>
                </c:pt>
                <c:pt idx="11">
                  <c:v>-449659.6374483704</c:v>
                </c:pt>
              </c:numCache>
            </c:numRef>
          </c:val>
          <c:extLst>
            <c:ext xmlns:c16="http://schemas.microsoft.com/office/drawing/2014/chart" uri="{C3380CC4-5D6E-409C-BE32-E72D297353CC}">
              <c16:uniqueId val="{00000006-E481-4343-A39B-D06FAF454EE9}"/>
            </c:ext>
          </c:extLst>
        </c:ser>
        <c:ser>
          <c:idx val="5"/>
          <c:order val="5"/>
          <c:tx>
            <c:strRef>
              <c:f>'Project 1 Financial Analysis'!$A$47</c:f>
              <c:strCache>
                <c:ptCount val="1"/>
                <c:pt idx="0">
                  <c:v>Administrative &amp; Marketing</c:v>
                </c:pt>
              </c:strCache>
            </c:strRef>
          </c:tx>
          <c:spPr>
            <a:solidFill>
              <a:schemeClr val="accent6"/>
            </a:solidFill>
            <a:ln>
              <a:noFill/>
            </a:ln>
            <a:effectLst/>
          </c:spPr>
          <c:invertIfNegative val="0"/>
          <c:cat>
            <c:numRef>
              <c:f>'Project 1 Financial Analysis'!$D$27:$O$27</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1 Financial Analysis'!$D$47:$O$47</c:f>
              <c:numCache>
                <c:formatCode>"$"#,##0</c:formatCode>
                <c:ptCount val="12"/>
                <c:pt idx="0">
                  <c:v>0</c:v>
                </c:pt>
                <c:pt idx="1">
                  <c:v>0</c:v>
                </c:pt>
                <c:pt idx="2">
                  <c:v>-75080.5625</c:v>
                </c:pt>
                <c:pt idx="3">
                  <c:v>-185599.15049999999</c:v>
                </c:pt>
                <c:pt idx="4">
                  <c:v>-191167.12501500003</c:v>
                </c:pt>
                <c:pt idx="5">
                  <c:v>-196902.13876544998</c:v>
                </c:pt>
                <c:pt idx="6">
                  <c:v>-202809.20292841343</c:v>
                </c:pt>
                <c:pt idx="7">
                  <c:v>-208893.47901626595</c:v>
                </c:pt>
                <c:pt idx="8">
                  <c:v>-215160.28338675387</c:v>
                </c:pt>
                <c:pt idx="9">
                  <c:v>-221615.09188835649</c:v>
                </c:pt>
                <c:pt idx="10">
                  <c:v>-228263.54464500712</c:v>
                </c:pt>
                <c:pt idx="11">
                  <c:v>-235111.45098435736</c:v>
                </c:pt>
              </c:numCache>
            </c:numRef>
          </c:val>
          <c:extLst>
            <c:ext xmlns:c16="http://schemas.microsoft.com/office/drawing/2014/chart" uri="{C3380CC4-5D6E-409C-BE32-E72D297353CC}">
              <c16:uniqueId val="{00000007-E481-4343-A39B-D06FAF454EE9}"/>
            </c:ext>
          </c:extLst>
        </c:ser>
        <c:ser>
          <c:idx val="6"/>
          <c:order val="6"/>
          <c:tx>
            <c:strRef>
              <c:f>'Project 1 Financial Analysis'!$A$48</c:f>
              <c:strCache>
                <c:ptCount val="1"/>
                <c:pt idx="0">
                  <c:v>Management Fee</c:v>
                </c:pt>
              </c:strCache>
            </c:strRef>
          </c:tx>
          <c:spPr>
            <a:solidFill>
              <a:schemeClr val="accent1">
                <a:lumMod val="60000"/>
              </a:schemeClr>
            </a:solidFill>
            <a:ln>
              <a:noFill/>
            </a:ln>
            <a:effectLst/>
          </c:spPr>
          <c:invertIfNegative val="0"/>
          <c:cat>
            <c:numRef>
              <c:f>'Project 1 Financial Analysis'!$D$27:$O$27</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'Project 1 Financial Analysis'!$D$48:$O$48</c:f>
              <c:numCache>
                <c:formatCode>"$"#,##0</c:formatCode>
                <c:ptCount val="12"/>
                <c:pt idx="0">
                  <c:v>0</c:v>
                </c:pt>
                <c:pt idx="1">
                  <c:v>0</c:v>
                </c:pt>
                <c:pt idx="2">
                  <c:v>-65724.837145000012</c:v>
                </c:pt>
                <c:pt idx="3">
                  <c:v>-162471.79742243994</c:v>
                </c:pt>
                <c:pt idx="4">
                  <c:v>-167345.95134511322</c:v>
                </c:pt>
                <c:pt idx="5">
                  <c:v>-172366.32988546658</c:v>
                </c:pt>
                <c:pt idx="6">
                  <c:v>-177537.31978203054</c:v>
                </c:pt>
                <c:pt idx="7">
                  <c:v>-182863.43937549155</c:v>
                </c:pt>
                <c:pt idx="8">
                  <c:v>-188349.34255675625</c:v>
                </c:pt>
                <c:pt idx="9">
                  <c:v>-193999.82283345889</c:v>
                </c:pt>
                <c:pt idx="10">
                  <c:v>-199819.81751846278</c:v>
                </c:pt>
                <c:pt idx="11">
                  <c:v>-205814.41204401656</c:v>
                </c:pt>
              </c:numCache>
            </c:numRef>
          </c:val>
          <c:extLst>
            <c:ext xmlns:c16="http://schemas.microsoft.com/office/drawing/2014/chart" uri="{C3380CC4-5D6E-409C-BE32-E72D297353CC}">
              <c16:uniqueId val="{00000008-E481-4343-A39B-D06FAF454EE9}"/>
            </c:ext>
          </c:extLst>
        </c:ser>
        <c:dLbls>
          <c:showLegendKey val="0"/>
          <c:showVal val="0"/>
          <c:showCatName val="0"/>
          <c:showSerName val="0"/>
          <c:showPercent val="0"/>
          <c:showBubbleSize val="0"/>
        </c:dLbls>
        <c:gapWidth val="79"/>
        <c:overlap val="100"/>
        <c:axId val="397800911"/>
        <c:axId val="397801871"/>
      </c:barChart>
      <c:catAx>
        <c:axId val="397800911"/>
        <c:scaling>
          <c:orientation val="minMax"/>
        </c:scaling>
        <c:delete val="0"/>
        <c:axPos val="t"/>
        <c:title>
          <c:tx>
            <c:rich>
              <a:bodyPr rot="0" spcFirstLastPara="1" vertOverflow="ellipsis" vert="horz" wrap="square" anchor="ctr" anchorCtr="1"/>
              <a:lstStyle/>
              <a:p>
                <a:pPr>
                  <a:defRPr sz="2000" b="1" i="0" u="none" strike="noStrike" kern="1200" cap="all" baseline="0">
                    <a:solidFill>
                      <a:schemeClr val="tx1">
                        <a:lumMod val="65000"/>
                        <a:lumOff val="35000"/>
                      </a:schemeClr>
                    </a:solidFill>
                    <a:latin typeface="+mn-lt"/>
                    <a:ea typeface="+mn-ea"/>
                    <a:cs typeface="+mn-cs"/>
                  </a:defRPr>
                </a:pPr>
                <a:r>
                  <a:rPr lang="en-US" sz="2000" b="1"/>
                  <a:t>FIGURE 8</a:t>
                </a:r>
              </a:p>
            </c:rich>
          </c:tx>
          <c:layout>
            <c:manualLayout>
              <c:xMode val="edge"/>
              <c:yMode val="edge"/>
              <c:x val="0.45639550989854927"/>
              <c:y val="0.96973764342416946"/>
            </c:manualLayout>
          </c:layout>
          <c:overlay val="0"/>
          <c:spPr>
            <a:noFill/>
            <a:ln>
              <a:noFill/>
            </a:ln>
            <a:effectLst/>
          </c:spPr>
          <c:txPr>
            <a:bodyPr rot="0" spcFirstLastPara="1" vertOverflow="ellipsis" vert="horz" wrap="square" anchor="ctr" anchorCtr="1"/>
            <a:lstStyle/>
            <a:p>
              <a:pPr>
                <a:defRPr sz="20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n-US"/>
          </a:p>
        </c:txPr>
        <c:crossAx val="397801871"/>
        <c:crosses val="autoZero"/>
        <c:auto val="1"/>
        <c:lblAlgn val="ctr"/>
        <c:lblOffset val="100"/>
        <c:noMultiLvlLbl val="0"/>
      </c:catAx>
      <c:valAx>
        <c:axId val="397801871"/>
        <c:scaling>
          <c:orientation val="maxMin"/>
        </c:scaling>
        <c:delete val="0"/>
        <c:axPos val="l"/>
        <c:majorGridlines>
          <c:spPr>
            <a:ln w="9525" cap="flat" cmpd="sng" algn="ctr">
              <a:solidFill>
                <a:schemeClr val="tx1">
                  <a:lumMod val="15000"/>
                  <a:lumOff val="85000"/>
                </a:schemeClr>
              </a:solidFill>
              <a:round/>
            </a:ln>
            <a:effectLst/>
          </c:spPr>
        </c:majorGridlines>
        <c:numFmt formatCode="&quot;$&quot;0.0,,\ &quot;M&quot;"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978009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a:t>IRR Comparison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Project 1</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 1 Financial Analysis'!$A$99</c:f>
              <c:strCache>
                <c:ptCount val="1"/>
                <c:pt idx="0">
                  <c:v>IRR</c:v>
                </c:pt>
              </c:strCache>
            </c:strRef>
          </c:cat>
          <c:val>
            <c:numRef>
              <c:f>'Project 1 Financial Analysis'!$B$99</c:f>
              <c:numCache>
                <c:formatCode>0.00%</c:formatCode>
                <c:ptCount val="1"/>
                <c:pt idx="0">
                  <c:v>0.11654588822705647</c:v>
                </c:pt>
              </c:numCache>
            </c:numRef>
          </c:val>
          <c:extLst>
            <c:ext xmlns:c16="http://schemas.microsoft.com/office/drawing/2014/chart" uri="{C3380CC4-5D6E-409C-BE32-E72D297353CC}">
              <c16:uniqueId val="{00000000-E2AC-4341-8B82-37F15FCD7CAE}"/>
            </c:ext>
          </c:extLst>
        </c:ser>
        <c:ser>
          <c:idx val="1"/>
          <c:order val="1"/>
          <c:tx>
            <c:v>Project 2</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 2 Financial Analysis'!$A$106</c:f>
              <c:strCache>
                <c:ptCount val="1"/>
                <c:pt idx="0">
                  <c:v>IRR</c:v>
                </c:pt>
              </c:strCache>
            </c:strRef>
          </c:cat>
          <c:val>
            <c:numRef>
              <c:f>'Project 2 Financial Analysis'!$B$106</c:f>
              <c:numCache>
                <c:formatCode>0.00%</c:formatCode>
                <c:ptCount val="1"/>
                <c:pt idx="0">
                  <c:v>0.19380995528802214</c:v>
                </c:pt>
              </c:numCache>
            </c:numRef>
          </c:val>
          <c:extLst>
            <c:ext xmlns:c16="http://schemas.microsoft.com/office/drawing/2014/chart" uri="{C3380CC4-5D6E-409C-BE32-E72D297353CC}">
              <c16:uniqueId val="{00000001-E2AC-4341-8B82-37F15FCD7CAE}"/>
            </c:ext>
          </c:extLst>
        </c:ser>
        <c:dLbls>
          <c:dLblPos val="outEnd"/>
          <c:showLegendKey val="0"/>
          <c:showVal val="1"/>
          <c:showCatName val="0"/>
          <c:showSerName val="0"/>
          <c:showPercent val="0"/>
          <c:showBubbleSize val="0"/>
        </c:dLbls>
        <c:gapWidth val="219"/>
        <c:overlap val="-27"/>
        <c:axId val="524912639"/>
        <c:axId val="524913119"/>
      </c:barChart>
      <c:catAx>
        <c:axId val="524912639"/>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FIGURE 7</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24913119"/>
        <c:crosses val="autoZero"/>
        <c:auto val="1"/>
        <c:lblAlgn val="ctr"/>
        <c:lblOffset val="100"/>
        <c:noMultiLvlLbl val="0"/>
      </c:catAx>
      <c:valAx>
        <c:axId val="5249131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2491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sz="1800" b="1"/>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Financial Modeling Case.xlsx]Project 1 Unit Mix Pivot!PivotTable1</c:name>
    <c:fmtId val="2"/>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a:t>Project 1 Unit Mix</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1 Unit Mix Pivot'!$B$3</c:f>
              <c:strCache>
                <c:ptCount val="1"/>
                <c:pt idx="0">
                  <c:v>Sum of Annual Rent</c:v>
                </c:pt>
              </c:strCache>
            </c:strRef>
          </c:tx>
          <c:spPr>
            <a:solidFill>
              <a:schemeClr val="accent1"/>
            </a:solidFill>
            <a:ln>
              <a:noFill/>
            </a:ln>
            <a:effectLst/>
          </c:spPr>
          <c:invertIfNegative val="0"/>
          <c:cat>
            <c:strRef>
              <c:f>'Project 1 Unit Mix Pivot'!$A$4:$A$9</c:f>
              <c:strCache>
                <c:ptCount val="5"/>
                <c:pt idx="0">
                  <c:v>2 Bed / 2 Bath (B1)</c:v>
                </c:pt>
                <c:pt idx="1">
                  <c:v>1 Bed / 1 Bath (A1)</c:v>
                </c:pt>
                <c:pt idx="2">
                  <c:v>1 Bed / 1 Bath (A2)</c:v>
                </c:pt>
                <c:pt idx="3">
                  <c:v>2 Bed / 2 Bath (B2) Den</c:v>
                </c:pt>
                <c:pt idx="4">
                  <c:v>3 Bed / 2 Bath (B2)</c:v>
                </c:pt>
              </c:strCache>
            </c:strRef>
          </c:cat>
          <c:val>
            <c:numRef>
              <c:f>'Project 1 Unit Mix Pivot'!$B$4:$B$9</c:f>
              <c:numCache>
                <c:formatCode>"$"#,##0</c:formatCode>
                <c:ptCount val="5"/>
                <c:pt idx="0">
                  <c:v>2791020.96</c:v>
                </c:pt>
                <c:pt idx="1">
                  <c:v>2407357.92</c:v>
                </c:pt>
                <c:pt idx="2">
                  <c:v>1289176.5599999998</c:v>
                </c:pt>
                <c:pt idx="3">
                  <c:v>609292.79999999993</c:v>
                </c:pt>
                <c:pt idx="4">
                  <c:v>352028.16000000003</c:v>
                </c:pt>
              </c:numCache>
            </c:numRef>
          </c:val>
          <c:extLst>
            <c:ext xmlns:c16="http://schemas.microsoft.com/office/drawing/2014/chart" uri="{C3380CC4-5D6E-409C-BE32-E72D297353CC}">
              <c16:uniqueId val="{00000000-9DCD-40CC-A134-BFED5ED0F6C5}"/>
            </c:ext>
          </c:extLst>
        </c:ser>
        <c:dLbls>
          <c:showLegendKey val="0"/>
          <c:showVal val="0"/>
          <c:showCatName val="0"/>
          <c:showSerName val="0"/>
          <c:showPercent val="0"/>
          <c:showBubbleSize val="0"/>
        </c:dLbls>
        <c:gapWidth val="219"/>
        <c:overlap val="-27"/>
        <c:axId val="649166176"/>
        <c:axId val="484724800"/>
      </c:barChart>
      <c:lineChart>
        <c:grouping val="standard"/>
        <c:varyColors val="0"/>
        <c:ser>
          <c:idx val="1"/>
          <c:order val="1"/>
          <c:tx>
            <c:strRef>
              <c:f>'Project 1 Unit Mix Pivot'!$C$3</c:f>
              <c:strCache>
                <c:ptCount val="1"/>
                <c:pt idx="0">
                  <c:v>Sum of Rent/SF</c:v>
                </c:pt>
              </c:strCache>
            </c:strRef>
          </c:tx>
          <c:spPr>
            <a:ln w="28575" cap="rnd">
              <a:solidFill>
                <a:schemeClr val="accent2"/>
              </a:solidFill>
              <a:round/>
            </a:ln>
            <a:effectLst/>
          </c:spPr>
          <c:marker>
            <c:symbol val="none"/>
          </c:marker>
          <c:cat>
            <c:strRef>
              <c:f>'Project 1 Unit Mix Pivot'!$A$4:$A$9</c:f>
              <c:strCache>
                <c:ptCount val="5"/>
                <c:pt idx="0">
                  <c:v>2 Bed / 2 Bath (B1)</c:v>
                </c:pt>
                <c:pt idx="1">
                  <c:v>1 Bed / 1 Bath (A1)</c:v>
                </c:pt>
                <c:pt idx="2">
                  <c:v>1 Bed / 1 Bath (A2)</c:v>
                </c:pt>
                <c:pt idx="3">
                  <c:v>2 Bed / 2 Bath (B2) Den</c:v>
                </c:pt>
                <c:pt idx="4">
                  <c:v>3 Bed / 2 Bath (B2)</c:v>
                </c:pt>
              </c:strCache>
            </c:strRef>
          </c:cat>
          <c:val>
            <c:numRef>
              <c:f>'Project 1 Unit Mix Pivot'!$C$4:$C$9</c:f>
              <c:numCache>
                <c:formatCode>"$"#,##0.00</c:formatCode>
                <c:ptCount val="5"/>
                <c:pt idx="0">
                  <c:v>21.84</c:v>
                </c:pt>
                <c:pt idx="1">
                  <c:v>27.48</c:v>
                </c:pt>
                <c:pt idx="2">
                  <c:v>23.279999999999998</c:v>
                </c:pt>
                <c:pt idx="3">
                  <c:v>20.639999999999997</c:v>
                </c:pt>
                <c:pt idx="4">
                  <c:v>21.12</c:v>
                </c:pt>
              </c:numCache>
            </c:numRef>
          </c:val>
          <c:smooth val="0"/>
          <c:extLst>
            <c:ext xmlns:c16="http://schemas.microsoft.com/office/drawing/2014/chart" uri="{C3380CC4-5D6E-409C-BE32-E72D297353CC}">
              <c16:uniqueId val="{00000001-9DCD-40CC-A134-BFED5ED0F6C5}"/>
            </c:ext>
          </c:extLst>
        </c:ser>
        <c:dLbls>
          <c:showLegendKey val="0"/>
          <c:showVal val="0"/>
          <c:showCatName val="0"/>
          <c:showSerName val="0"/>
          <c:showPercent val="0"/>
          <c:showBubbleSize val="0"/>
        </c:dLbls>
        <c:marker val="1"/>
        <c:smooth val="0"/>
        <c:axId val="484708960"/>
        <c:axId val="484705600"/>
      </c:lineChart>
      <c:catAx>
        <c:axId val="4847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84705600"/>
        <c:crosses val="autoZero"/>
        <c:auto val="1"/>
        <c:lblAlgn val="ctr"/>
        <c:lblOffset val="100"/>
        <c:noMultiLvlLbl val="0"/>
      </c:catAx>
      <c:valAx>
        <c:axId val="48470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84708960"/>
        <c:crosses val="autoZero"/>
        <c:crossBetween val="between"/>
      </c:valAx>
      <c:valAx>
        <c:axId val="484724800"/>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49166176"/>
        <c:crosses val="max"/>
        <c:crossBetween val="between"/>
      </c:valAx>
      <c:catAx>
        <c:axId val="649166176"/>
        <c:scaling>
          <c:orientation val="minMax"/>
        </c:scaling>
        <c:delete val="1"/>
        <c:axPos val="b"/>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FIGURE 2</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4847248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Financial Modeling Case.xlsx]Project 1 Unit Mix Pivot!PivotTable1</c:name>
    <c:fmtId val="4"/>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a:t>Project</a:t>
            </a:r>
            <a:r>
              <a:rPr lang="en-US" sz="2800" b="1" baseline="0"/>
              <a:t> 2 Unit Mix</a:t>
            </a:r>
            <a:endParaRPr lang="en-US" sz="2800" b="1"/>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1 Unit Mix Pivot'!$B$3</c:f>
              <c:strCache>
                <c:ptCount val="1"/>
                <c:pt idx="0">
                  <c:v>Sum of Annual Rent</c:v>
                </c:pt>
              </c:strCache>
            </c:strRef>
          </c:tx>
          <c:spPr>
            <a:solidFill>
              <a:schemeClr val="accent1"/>
            </a:solidFill>
            <a:ln>
              <a:noFill/>
            </a:ln>
            <a:effectLst/>
          </c:spPr>
          <c:invertIfNegative val="0"/>
          <c:cat>
            <c:strRef>
              <c:f>'Project 1 Unit Mix Pivot'!$A$4:$A$9</c:f>
              <c:strCache>
                <c:ptCount val="5"/>
                <c:pt idx="0">
                  <c:v>2 Bed / 2 Bath (B1)</c:v>
                </c:pt>
                <c:pt idx="1">
                  <c:v>1 Bed / 1 Bath (A1)</c:v>
                </c:pt>
                <c:pt idx="2">
                  <c:v>1 Bed / 1 Bath (A2)</c:v>
                </c:pt>
                <c:pt idx="3">
                  <c:v>2 Bed / 2 Bath (B2) Den</c:v>
                </c:pt>
                <c:pt idx="4">
                  <c:v>3 Bed / 2 Bath (B2)</c:v>
                </c:pt>
              </c:strCache>
            </c:strRef>
          </c:cat>
          <c:val>
            <c:numRef>
              <c:f>'Project 1 Unit Mix Pivot'!$B$4:$B$9</c:f>
              <c:numCache>
                <c:formatCode>"$"#,##0</c:formatCode>
                <c:ptCount val="5"/>
                <c:pt idx="0">
                  <c:v>2791020.96</c:v>
                </c:pt>
                <c:pt idx="1">
                  <c:v>2407357.92</c:v>
                </c:pt>
                <c:pt idx="2">
                  <c:v>1289176.5599999998</c:v>
                </c:pt>
                <c:pt idx="3">
                  <c:v>609292.79999999993</c:v>
                </c:pt>
                <c:pt idx="4">
                  <c:v>352028.16000000003</c:v>
                </c:pt>
              </c:numCache>
            </c:numRef>
          </c:val>
          <c:extLst>
            <c:ext xmlns:c16="http://schemas.microsoft.com/office/drawing/2014/chart" uri="{C3380CC4-5D6E-409C-BE32-E72D297353CC}">
              <c16:uniqueId val="{00000000-C0ED-4342-8E10-58E64F6DC528}"/>
            </c:ext>
          </c:extLst>
        </c:ser>
        <c:dLbls>
          <c:showLegendKey val="0"/>
          <c:showVal val="0"/>
          <c:showCatName val="0"/>
          <c:showSerName val="0"/>
          <c:showPercent val="0"/>
          <c:showBubbleSize val="0"/>
        </c:dLbls>
        <c:gapWidth val="219"/>
        <c:overlap val="-27"/>
        <c:axId val="649166176"/>
        <c:axId val="484724800"/>
      </c:barChart>
      <c:lineChart>
        <c:grouping val="standard"/>
        <c:varyColors val="0"/>
        <c:ser>
          <c:idx val="1"/>
          <c:order val="1"/>
          <c:tx>
            <c:strRef>
              <c:f>'Project 1 Unit Mix Pivot'!$C$3</c:f>
              <c:strCache>
                <c:ptCount val="1"/>
                <c:pt idx="0">
                  <c:v>Sum of Rent/SF</c:v>
                </c:pt>
              </c:strCache>
            </c:strRef>
          </c:tx>
          <c:spPr>
            <a:ln w="28575" cap="rnd">
              <a:solidFill>
                <a:schemeClr val="accent2"/>
              </a:solidFill>
              <a:round/>
            </a:ln>
            <a:effectLst/>
          </c:spPr>
          <c:marker>
            <c:symbol val="none"/>
          </c:marker>
          <c:cat>
            <c:strRef>
              <c:f>'Project 1 Unit Mix Pivot'!$A$4:$A$9</c:f>
              <c:strCache>
                <c:ptCount val="5"/>
                <c:pt idx="0">
                  <c:v>2 Bed / 2 Bath (B1)</c:v>
                </c:pt>
                <c:pt idx="1">
                  <c:v>1 Bed / 1 Bath (A1)</c:v>
                </c:pt>
                <c:pt idx="2">
                  <c:v>1 Bed / 1 Bath (A2)</c:v>
                </c:pt>
                <c:pt idx="3">
                  <c:v>2 Bed / 2 Bath (B2) Den</c:v>
                </c:pt>
                <c:pt idx="4">
                  <c:v>3 Bed / 2 Bath (B2)</c:v>
                </c:pt>
              </c:strCache>
            </c:strRef>
          </c:cat>
          <c:val>
            <c:numRef>
              <c:f>'Project 1 Unit Mix Pivot'!$C$4:$C$9</c:f>
              <c:numCache>
                <c:formatCode>"$"#,##0.00</c:formatCode>
                <c:ptCount val="5"/>
                <c:pt idx="0">
                  <c:v>21.84</c:v>
                </c:pt>
                <c:pt idx="1">
                  <c:v>27.48</c:v>
                </c:pt>
                <c:pt idx="2">
                  <c:v>23.279999999999998</c:v>
                </c:pt>
                <c:pt idx="3">
                  <c:v>20.639999999999997</c:v>
                </c:pt>
                <c:pt idx="4">
                  <c:v>21.12</c:v>
                </c:pt>
              </c:numCache>
            </c:numRef>
          </c:val>
          <c:smooth val="0"/>
          <c:extLst>
            <c:ext xmlns:c16="http://schemas.microsoft.com/office/drawing/2014/chart" uri="{C3380CC4-5D6E-409C-BE32-E72D297353CC}">
              <c16:uniqueId val="{00000001-C0ED-4342-8E10-58E64F6DC528}"/>
            </c:ext>
          </c:extLst>
        </c:ser>
        <c:dLbls>
          <c:showLegendKey val="0"/>
          <c:showVal val="0"/>
          <c:showCatName val="0"/>
          <c:showSerName val="0"/>
          <c:showPercent val="0"/>
          <c:showBubbleSize val="0"/>
        </c:dLbls>
        <c:marker val="1"/>
        <c:smooth val="0"/>
        <c:axId val="484708960"/>
        <c:axId val="484705600"/>
      </c:lineChart>
      <c:catAx>
        <c:axId val="4847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84705600"/>
        <c:crosses val="autoZero"/>
        <c:auto val="1"/>
        <c:lblAlgn val="ctr"/>
        <c:lblOffset val="100"/>
        <c:noMultiLvlLbl val="0"/>
      </c:catAx>
      <c:valAx>
        <c:axId val="48470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84708960"/>
        <c:crosses val="autoZero"/>
        <c:crossBetween val="between"/>
      </c:valAx>
      <c:valAx>
        <c:axId val="484724800"/>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49166176"/>
        <c:crosses val="max"/>
        <c:crossBetween val="between"/>
      </c:valAx>
      <c:catAx>
        <c:axId val="649166176"/>
        <c:scaling>
          <c:orientation val="minMax"/>
        </c:scaling>
        <c:delete val="1"/>
        <c:axPos val="b"/>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FIGURE 3</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4847248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title pos="t" align="ctr" overlay="0">
      <cx:tx>
        <cx:txData>
          <cx:v>Project 2 Net Profit Margin</cx:v>
        </cx:txData>
      </cx:tx>
      <cx:txPr>
        <a:bodyPr spcFirstLastPara="1" vertOverflow="ellipsis" horzOverflow="overflow" wrap="square" lIns="0" tIns="0" rIns="0" bIns="0" anchor="ctr" anchorCtr="1"/>
        <a:lstStyle/>
        <a:p>
          <a:pPr algn="ctr" rtl="0">
            <a:defRPr sz="2800" b="1"/>
          </a:pPr>
          <a:r>
            <a:rPr lang="en-US" sz="2800" b="1" i="0" u="none" strike="noStrike" baseline="0">
              <a:solidFill>
                <a:sysClr val="windowText" lastClr="000000">
                  <a:lumMod val="65000"/>
                  <a:lumOff val="35000"/>
                </a:sysClr>
              </a:solidFill>
              <a:latin typeface="Calibri" panose="020F0502020204030204"/>
            </a:rPr>
            <a:t>Project 2 Net Profit Margin</a:t>
          </a:r>
        </a:p>
      </cx:txPr>
    </cx:title>
    <cx:plotArea>
      <cx:plotAreaRegion>
        <cx:series layoutId="waterfall" uniqueId="{32B4CF03-3994-4294-8A79-D9699AA96F6E}">
          <cx:tx>
            <cx:txData>
              <cx:f>_xlchart.v1.0</cx:f>
              <cx:v>Net Profit Margin</cx:v>
            </cx:txData>
          </cx:tx>
          <cx:dataLabels pos="outEnd">
            <cx:numFmt formatCode="0.0%" sourceLinked="0"/>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visibility seriesName="0" categoryName="0" value="1"/>
            <cx:separator>, </cx:separator>
          </cx:dataLabels>
          <cx:dataId val="0"/>
          <cx:layoutPr>
            <cx:subtotals/>
          </cx:layoutPr>
        </cx:series>
      </cx:plotAreaRegion>
      <cx:axis id="0">
        <cx:catScaling gapWidth="0.5"/>
        <cx:title>
          <cx:tx>
            <cx:txData>
              <cx:v>FIGURE 11</cx:v>
            </cx:txData>
          </cx:tx>
          <cx:txPr>
            <a:bodyPr spcFirstLastPara="1" vertOverflow="ellipsis" horzOverflow="overflow" wrap="square" lIns="0" tIns="0" rIns="0" bIns="0" anchor="ctr" anchorCtr="1"/>
            <a:lstStyle/>
            <a:p>
              <a:pPr algn="ctr" rtl="0">
                <a:defRPr sz="2000" b="1"/>
              </a:pPr>
              <a:r>
                <a:rPr lang="en-US" sz="2000" b="1" i="0" u="none" strike="noStrike" baseline="0">
                  <a:solidFill>
                    <a:srgbClr val="000000">
                      <a:lumMod val="65000"/>
                      <a:lumOff val="35000"/>
                    </a:srgbClr>
                  </a:solidFill>
                  <a:latin typeface="Gill Sans MT" panose="020B0502020104020203"/>
                </a:rPr>
                <a:t>FIGURE 11</a:t>
              </a:r>
            </a:p>
          </cx:txPr>
        </cx:title>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axis>
      <cx:axis id="1" hidden="1">
        <cx:valScaling/>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axis>
    </cx:plotArea>
  </cx:chart>
  <cx:spPr>
    <a:solidFill>
      <a:schemeClr val="accent3">
        <a:lumMod val="40000"/>
        <a:lumOff val="6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_xlchart.v1.6</cx:f>
      </cx:strDim>
      <cx:numDim type="val">
        <cx:f dir="row">_xlchart.v1.7</cx:f>
      </cx:numDim>
    </cx:data>
  </cx:chartData>
  <cx:chart>
    <cx:title pos="t" align="ctr" overlay="0">
      <cx:tx>
        <cx:txData>
          <cx:v>Project 1 Net Profit Margin</cx:v>
        </cx:txData>
      </cx:tx>
      <cx:txPr>
        <a:bodyPr spcFirstLastPara="1" vertOverflow="ellipsis" horzOverflow="overflow" wrap="square" lIns="0" tIns="0" rIns="0" bIns="0" anchor="ctr" anchorCtr="1"/>
        <a:lstStyle/>
        <a:p>
          <a:pPr algn="ctr" rtl="0">
            <a:defRPr sz="2800" b="1"/>
          </a:pPr>
          <a:r>
            <a:rPr lang="en-US" sz="2800" b="1" i="0" u="none" strike="noStrike" baseline="0">
              <a:solidFill>
                <a:sysClr val="windowText" lastClr="000000">
                  <a:lumMod val="65000"/>
                  <a:lumOff val="35000"/>
                </a:sysClr>
              </a:solidFill>
              <a:latin typeface="Calibri" panose="020F0502020204030204"/>
            </a:rPr>
            <a:t>Project 1 Net Profit Margin</a:t>
          </a:r>
        </a:p>
      </cx:txPr>
    </cx:title>
    <cx:plotArea>
      <cx:plotAreaRegion>
        <cx:series layoutId="waterfall" uniqueId="{803851DD-A729-4ED5-97E3-9008329D7918}">
          <cx:tx>
            <cx:txData>
              <cx:f>_xlchart.v1.5</cx:f>
              <cx:v>Net Profit Margin  </cx:v>
            </cx:txData>
          </cx:tx>
          <cx:dataLabels pos="outEnd">
            <cx:numFmt formatCode="0.0%" sourceLinked="0"/>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visibility seriesName="0" categoryName="0" value="1"/>
            <cx:separator>, </cx:separator>
          </cx:dataLabels>
          <cx:dataId val="0"/>
          <cx:layoutPr>
            <cx:visibility connectorLines="1"/>
            <cx:subtotals/>
          </cx:layoutPr>
        </cx:series>
      </cx:plotAreaRegion>
      <cx:axis id="0">
        <cx:catScaling gapWidth="0.5"/>
        <cx:title>
          <cx:tx>
            <cx:txData>
              <cx:v>FIGURE 10</cx:v>
            </cx:txData>
          </cx:tx>
          <cx:txPr>
            <a:bodyPr spcFirstLastPara="1" vertOverflow="ellipsis" horzOverflow="overflow" wrap="square" lIns="0" tIns="0" rIns="0" bIns="0" anchor="ctr" anchorCtr="1"/>
            <a:lstStyle/>
            <a:p>
              <a:pPr algn="ctr" rtl="0">
                <a:defRPr sz="2000" b="1"/>
              </a:pPr>
              <a:r>
                <a:rPr lang="en-US" sz="2000" b="1" i="0" u="none" strike="noStrike" baseline="0">
                  <a:solidFill>
                    <a:srgbClr val="000000">
                      <a:lumMod val="65000"/>
                      <a:lumOff val="35000"/>
                    </a:srgbClr>
                  </a:solidFill>
                  <a:latin typeface="Gill Sans MT" panose="020B0502020104020203"/>
                </a:rPr>
                <a:t>FIGURE 10</a:t>
              </a:r>
            </a:p>
          </cx:txPr>
        </cx:title>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axis>
      <cx:axis id="1" hidden="1">
        <cx:valScaling/>
        <cx:tickLabels/>
        <cx:numFmt formatCode="#,##0.00" sourceLinked="0"/>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axis>
    </cx:plotArea>
  </cx:chart>
  <cx:spPr>
    <a:solidFill>
      <a:schemeClr val="accent3">
        <a:lumMod val="40000"/>
        <a:lumOff val="6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_xlchart.v2.9</cx:f>
      </cx:numDim>
    </cx:data>
  </cx:chartData>
  <cx:chart>
    <cx:title pos="t" align="ctr" overlay="0">
      <cx:tx>
        <cx:txData>
          <cx:v>Project 1 Loan Amortization</cx:v>
        </cx:txData>
      </cx:tx>
      <cx:txPr>
        <a:bodyPr spcFirstLastPara="1" vertOverflow="ellipsis" horzOverflow="overflow" wrap="square" lIns="0" tIns="0" rIns="0" bIns="0" anchor="ctr" anchorCtr="1"/>
        <a:lstStyle/>
        <a:p>
          <a:pPr algn="ctr" rtl="0">
            <a:defRPr sz="2800" b="1"/>
          </a:pPr>
          <a:r>
            <a:rPr lang="en-US" sz="2800" b="1" i="0" u="none" strike="noStrike" baseline="0">
              <a:solidFill>
                <a:sysClr val="windowText" lastClr="000000">
                  <a:lumMod val="65000"/>
                  <a:lumOff val="35000"/>
                </a:sysClr>
              </a:solidFill>
              <a:latin typeface="Calibri" panose="020F0502020204030204"/>
            </a:rPr>
            <a:t>Project 1 Loan Amortization</a:t>
          </a:r>
        </a:p>
      </cx:txPr>
    </cx:title>
    <cx:plotArea>
      <cx:plotAreaRegion>
        <cx:series layoutId="funnel" uniqueId="{D9E8DA68-6251-41D1-A177-D89100352443}" formatIdx="1">
          <cx:tx>
            <cx:txData>
              <cx:f>_xlchart.v2.8</cx:f>
              <cx:v>Year-End Principal</cx:v>
            </cx:txData>
          </cx:tx>
          <cx:dataLabels>
            <cx:numFmt formatCode="$0.00,, &quot;M&quot;" sourceLinked="0"/>
            <cx:txPr>
              <a:bodyPr spcFirstLastPara="1" vertOverflow="ellipsis" horzOverflow="overflow" wrap="square" lIns="0" tIns="0" rIns="0" bIns="0" anchor="ctr" anchorCtr="1"/>
              <a:lstStyle/>
              <a:p>
                <a:pPr algn="ctr" rtl="0">
                  <a:defRPr sz="2000" b="1"/>
                </a:pPr>
                <a:endParaRPr lang="en-US" sz="2000" b="1" i="0" u="none" strike="noStrike" baseline="0">
                  <a:solidFill>
                    <a:srgbClr val="000000">
                      <a:lumMod val="65000"/>
                      <a:lumOff val="35000"/>
                    </a:srgbClr>
                  </a:solidFill>
                  <a:latin typeface="Corbel" panose="020B0503020204020204"/>
                </a:endParaRPr>
              </a:p>
            </cx:txPr>
            <cx:visibility seriesName="0" categoryName="0" value="1"/>
            <cx:separator>, </cx:separator>
          </cx:dataLabels>
          <cx:dataId val="0"/>
        </cx:series>
      </cx:plotAreaRegion>
      <cx:axis id="0">
        <cx:catScaling/>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axis>
    </cx:plotArea>
  </cx:chart>
  <cx:spPr>
    <a:solidFill>
      <a:schemeClr val="accent3">
        <a:lumMod val="40000"/>
        <a:lumOff val="60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_xlchart.v2.4</cx:f>
      </cx:numDim>
    </cx:data>
  </cx:chartData>
  <cx:chart>
    <cx:title pos="t" align="ctr" overlay="0">
      <cx:tx>
        <cx:txData>
          <cx:v>Project 2 Loan Amortization</cx:v>
        </cx:txData>
      </cx:tx>
      <cx:txPr>
        <a:bodyPr spcFirstLastPara="1" vertOverflow="ellipsis" horzOverflow="overflow" wrap="square" lIns="0" tIns="0" rIns="0" bIns="0" anchor="ctr" anchorCtr="1"/>
        <a:lstStyle/>
        <a:p>
          <a:pPr algn="ctr" rtl="0">
            <a:defRPr sz="2800" b="1"/>
          </a:pPr>
          <a:r>
            <a:rPr lang="en-US" sz="2800" b="1" i="0" u="none" strike="noStrike" baseline="0">
              <a:solidFill>
                <a:sysClr val="windowText" lastClr="000000">
                  <a:lumMod val="65000"/>
                  <a:lumOff val="35000"/>
                </a:sysClr>
              </a:solidFill>
              <a:latin typeface="Calibri" panose="020F0502020204030204"/>
            </a:rPr>
            <a:t>Project 2 Loan Amortization</a:t>
          </a:r>
        </a:p>
      </cx:txPr>
    </cx:title>
    <cx:plotArea>
      <cx:plotAreaRegion>
        <cx:series layoutId="funnel" uniqueId="{293E247A-D164-47E4-ADAC-D43BF6143A83}" formatIdx="1">
          <cx:tx>
            <cx:txData>
              <cx:f>_xlchart.v2.3</cx:f>
              <cx:v>Year-End Principal</cx:v>
            </cx:txData>
          </cx:tx>
          <cx:dataLabels>
            <cx:numFmt formatCode="$0.00,, &quot;M&quot;" sourceLinked="0"/>
            <cx:txPr>
              <a:bodyPr spcFirstLastPara="1" vertOverflow="ellipsis" horzOverflow="overflow" wrap="square" lIns="0" tIns="0" rIns="0" bIns="0" anchor="ctr" anchorCtr="1"/>
              <a:lstStyle/>
              <a:p>
                <a:pPr algn="ctr" rtl="0">
                  <a:defRPr sz="2000" b="1"/>
                </a:pPr>
                <a:endParaRPr lang="en-US" sz="2000" b="1" i="0" u="none" strike="noStrike" baseline="0">
                  <a:solidFill>
                    <a:srgbClr val="000000">
                      <a:lumMod val="65000"/>
                      <a:lumOff val="35000"/>
                    </a:srgbClr>
                  </a:solidFill>
                  <a:latin typeface="Corbel" panose="020B0503020204020204"/>
                </a:endParaRPr>
              </a:p>
            </cx:txPr>
            <cx:visibility seriesName="0" categoryName="0" value="1"/>
            <cx:separator>, </cx:separator>
          </cx:dataLabels>
          <cx:dataId val="0"/>
        </cx:series>
      </cx:plotAreaRegion>
      <cx:axis id="0">
        <cx:catScaling/>
        <cx:tickLabels/>
        <cx:txPr>
          <a:bodyPr vertOverflow="overflow" horzOverflow="overflow" wrap="square" lIns="0" tIns="0" rIns="0" bIns="0"/>
          <a:lstStyle/>
          <a:p>
            <a:pPr algn="ctr" rtl="0">
              <a:defRPr sz="18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800"/>
          </a:p>
        </cx:txPr>
      </cx:axis>
    </cx:plotArea>
  </cx:chart>
  <cx:spPr>
    <a:solidFill>
      <a:schemeClr val="accent3">
        <a:lumMod val="40000"/>
        <a:lumOff val="6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4.xml"/><Relationship Id="rId11" Type="http://schemas.openxmlformats.org/officeDocument/2006/relationships/chart" Target="../charts/chart7.xml"/><Relationship Id="rId5" Type="http://schemas.microsoft.com/office/2014/relationships/chartEx" Target="../charts/chartEx3.xml"/><Relationship Id="rId10" Type="http://schemas.openxmlformats.org/officeDocument/2006/relationships/chart" Target="../charts/chart6.xml"/><Relationship Id="rId4" Type="http://schemas.microsoft.com/office/2014/relationships/chartEx" Target="../charts/chartEx2.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1502</xdr:colOff>
      <xdr:row>2</xdr:row>
      <xdr:rowOff>1152</xdr:rowOff>
    </xdr:from>
    <xdr:to>
      <xdr:col>15</xdr:col>
      <xdr:colOff>73083</xdr:colOff>
      <xdr:row>107</xdr:row>
      <xdr:rowOff>142875</xdr:rowOff>
    </xdr:to>
    <xdr:sp macro="" textlink="">
      <xdr:nvSpPr>
        <xdr:cNvPr id="2" name="TextBox 1">
          <a:extLst>
            <a:ext uri="{FF2B5EF4-FFF2-40B4-BE49-F238E27FC236}">
              <a16:creationId xmlns:a16="http://schemas.microsoft.com/office/drawing/2014/main" id="{EF9A7BD2-9B50-4667-B92A-C50007D571F2}"/>
            </a:ext>
          </a:extLst>
        </xdr:cNvPr>
        <xdr:cNvSpPr txBox="1"/>
      </xdr:nvSpPr>
      <xdr:spPr>
        <a:xfrm>
          <a:off x="731752" y="382152"/>
          <a:ext cx="10295081" cy="204140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Executive</a:t>
          </a:r>
          <a:r>
            <a:rPr lang="en-US" sz="1800" b="1" baseline="0">
              <a:latin typeface="Times New Roman" panose="02020603050405020304" pitchFamily="18" charset="0"/>
              <a:cs typeface="Times New Roman" panose="02020603050405020304" pitchFamily="18" charset="0"/>
            </a:rPr>
            <a:t> Summary</a:t>
          </a:r>
        </a:p>
        <a:p>
          <a:r>
            <a:rPr lang="en-US" sz="1800" b="1" baseline="0">
              <a:latin typeface="Times New Roman" panose="02020603050405020304" pitchFamily="18" charset="0"/>
              <a:cs typeface="Times New Roman" panose="02020603050405020304" pitchFamily="18" charset="0"/>
            </a:rPr>
            <a:t>Subject: Real Estate Financing </a:t>
          </a:r>
        </a:p>
        <a:p>
          <a:endParaRPr lang="en-US" sz="1200" baseline="0">
            <a:latin typeface="Times New Roman" panose="02020603050405020304" pitchFamily="18" charset="0"/>
            <a:cs typeface="Times New Roman" panose="02020603050405020304" pitchFamily="18" charset="0"/>
          </a:endParaRPr>
        </a:p>
        <a:p>
          <a:r>
            <a:rPr lang="en-US" sz="1600" b="1" baseline="0">
              <a:latin typeface="Times New Roman" panose="02020603050405020304" pitchFamily="18" charset="0"/>
              <a:cs typeface="Times New Roman" panose="02020603050405020304" pitchFamily="18" charset="0"/>
            </a:rPr>
            <a:t>INTRODUCTION:</a:t>
          </a:r>
        </a:p>
        <a:p>
          <a:pPr rtl="0"/>
          <a:r>
            <a:rPr lang="en-US" sz="1400" b="0" i="0" u="none" strike="noStrike">
              <a:solidFill>
                <a:schemeClr val="dk1"/>
              </a:solidFill>
              <a:effectLst/>
              <a:latin typeface="+mn-lt"/>
              <a:ea typeface="+mn-ea"/>
              <a:cs typeface="+mn-cs"/>
            </a:rPr>
            <a:t>This report compares two real estate projects to determine which one is the better investment. Since these projects are mutually exclusive, only one can be chosen, the goal is to use the following financial analysis to examine the financial performance of each project and recommend the stronger option to move forward with.</a:t>
          </a:r>
          <a:endParaRPr lang="en-US" sz="1400" b="0">
            <a:effectLst/>
          </a:endParaRPr>
        </a:p>
        <a:p>
          <a:pPr rtl="0"/>
          <a:r>
            <a:rPr lang="en-US" sz="1400" b="0" i="0" u="none" strike="noStrike">
              <a:solidFill>
                <a:schemeClr val="dk1"/>
              </a:solidFill>
              <a:effectLst/>
              <a:latin typeface="+mn-lt"/>
              <a:ea typeface="+mn-ea"/>
              <a:cs typeface="+mn-cs"/>
            </a:rPr>
            <a:t>The financial analysis for each project has been completed and can be reviewed on the other sheets within this workbook. Each one includes a detailed breakdown of the project's cash flow forecast, discounted cash flow (DCF) analysis, and risk assessment. The key financial metrics being compared between both projects include net present value (NPV), internal rate of return (IRR), cash flow projections, and debt yield. A sensitivity analysis will also be conducted to see how different factors, such as operating costs and market conditions, could impact each project.</a:t>
          </a:r>
          <a:endParaRPr lang="en-US" sz="1400" b="0">
            <a:effectLst/>
          </a:endParaRPr>
        </a:p>
        <a:p>
          <a:pPr rtl="0"/>
          <a:r>
            <a:rPr lang="en-US" sz="1400" b="0" i="0" u="none" strike="noStrike">
              <a:solidFill>
                <a:schemeClr val="dk1"/>
              </a:solidFill>
              <a:effectLst/>
              <a:latin typeface="+mn-lt"/>
              <a:ea typeface="+mn-ea"/>
              <a:cs typeface="+mn-cs"/>
            </a:rPr>
            <a:t>The findings will be summarized in a clear and straightforward way, with a dashboard to visually present the data. This will make it easy to compare both projects side by side. Based on financial performance and risk factors, a final recommendation will be made on which project is the better investment for the company in the long run.</a:t>
          </a:r>
          <a:endParaRPr lang="en-US" sz="1400" b="0">
            <a:effectLst/>
          </a:endParaRPr>
        </a:p>
        <a:p>
          <a:endParaRPr lang="en-US" sz="1200" baseline="0">
            <a:latin typeface="Times New Roman" panose="02020603050405020304" pitchFamily="18" charset="0"/>
            <a:cs typeface="Times New Roman" panose="02020603050405020304" pitchFamily="18" charset="0"/>
          </a:endParaRPr>
        </a:p>
        <a:p>
          <a:r>
            <a:rPr lang="en-US" sz="1600" b="1" baseline="0">
              <a:latin typeface="Times New Roman" panose="02020603050405020304" pitchFamily="18" charset="0"/>
              <a:cs typeface="Times New Roman" panose="02020603050405020304" pitchFamily="18" charset="0"/>
            </a:rPr>
            <a:t>FINANCIAL ANALYSIS:</a:t>
          </a:r>
          <a:endParaRPr lang="en-US" sz="1200" baseline="0">
            <a:latin typeface="Times New Roman" panose="02020603050405020304" pitchFamily="18" charset="0"/>
            <a:cs typeface="Times New Roman" panose="02020603050405020304" pitchFamily="18" charset="0"/>
          </a:endParaRPr>
        </a:p>
        <a:p>
          <a:pPr rtl="0"/>
          <a:r>
            <a:rPr lang="en-US" sz="1400" b="0" i="0" u="none" strike="noStrike">
              <a:solidFill>
                <a:schemeClr val="dk1"/>
              </a:solidFill>
              <a:effectLst/>
              <a:latin typeface="+mn-lt"/>
              <a:ea typeface="+mn-ea"/>
              <a:cs typeface="+mn-cs"/>
            </a:rPr>
            <a:t>Project 1 is a real estate development project consisting of 334 residential units. The financial analysis evaluates property performance, revenue streams, operating expenses, and financing structure to determine its profitability and feasibility. The project demonstrates strong financial metrics, including a net present value (NPV) of $48,261,715 (Figure 6), an internal rate of return (IRR) of 11.65% (Figure 7), and a total net proceeds of $125,105,202. With a planned exit cap rate of 5.25%, the project is expected to generate significant returns over its lifecycle.</a:t>
          </a:r>
          <a:endParaRPr lang="en-US" sz="1400" b="0">
            <a:effectLst/>
          </a:endParaRPr>
        </a:p>
        <a:p>
          <a:pPr rtl="0"/>
          <a:r>
            <a:rPr lang="en-US" sz="1400" b="0" i="0" u="none" strike="noStrike">
              <a:solidFill>
                <a:schemeClr val="dk1"/>
              </a:solidFill>
              <a:effectLst/>
              <a:latin typeface="+mn-lt"/>
              <a:ea typeface="+mn-ea"/>
              <a:cs typeface="+mn-cs"/>
            </a:rPr>
            <a:t>The primary source of revenue for the project is rental income, supplemented by parking fees and tenant storage fees. Over the project’s lifespan, total rental revenue is projected at $80,333,170, with additional parking and storage income contributing $4,016,658 and $1,606,663, respectively. After accounting for a 2% vacancy loss across residential units, parking, and storage, the project still reached an effective gross revenue of $84,124,896. Cash flow increases steadily throughout the project, with the first major positive cash flow of $2,990,637 occurring in year three, reaching $4,671,737 by year five, and stabilizing at approximately $7,500,000 annually in later years. The total discounted cash flow over the project life is estimated at $89,709,066.</a:t>
          </a:r>
          <a:endParaRPr lang="en-US" sz="1400" b="0">
            <a:effectLst/>
          </a:endParaRPr>
        </a:p>
        <a:p>
          <a:pPr rtl="0"/>
          <a:r>
            <a:rPr lang="en-US" sz="1400" b="0" i="0" u="none" strike="noStrike">
              <a:solidFill>
                <a:schemeClr val="dk1"/>
              </a:solidFill>
              <a:effectLst/>
              <a:latin typeface="+mn-lt"/>
              <a:ea typeface="+mn-ea"/>
              <a:cs typeface="+mn-cs"/>
            </a:rPr>
            <a:t>Operating expenses include real estate taxes, payroll, insurance, utilities, maintenance, administrative costs, and management fees, totaling $25,391,528. Despite these expenses, the project maintains a strong operating profit margin of 72% after stabilization, with net operating income (EBIT) reaching $58,733,368. This steady income growth is driven by rental increases and controlled operating costs, making the project financially viable.</a:t>
          </a:r>
          <a:endParaRPr lang="en-US" sz="1400" b="0">
            <a:effectLst/>
          </a:endParaRPr>
        </a:p>
        <a:p>
          <a:pPr rtl="0"/>
          <a:r>
            <a:rPr lang="en-US" sz="1400" b="0" i="0" u="none" strike="noStrike">
              <a:solidFill>
                <a:schemeClr val="dk1"/>
              </a:solidFill>
              <a:effectLst/>
              <a:latin typeface="+mn-lt"/>
              <a:ea typeface="+mn-ea"/>
              <a:cs typeface="+mn-cs"/>
            </a:rPr>
            <a:t>The total development cost for Project 1 is $82,988,026, including land acquisition, construction, and soft costs such as legal fees, permits, and marketing. As shown in Figure 4, financing for the project is debt-heavy, with a loan amount of $57,637,500 covering 65% of total costs. The loan is repaid over a ten-year period at an interest rate of 5.25%, with total interest payments amounting to $17,914,611. The project’s reliance on debt financing introduces some risk, particularly if interest rates fluctuate, but the steady cash flow and profitability projections mitigate these concerns.</a:t>
          </a:r>
          <a:endParaRPr lang="en-US" sz="1400" b="0">
            <a:effectLst/>
          </a:endParaRPr>
        </a:p>
        <a:p>
          <a:pPr rtl="0"/>
          <a:r>
            <a:rPr lang="en-US" sz="1400" b="0" i="0" u="none" strike="noStrike">
              <a:solidFill>
                <a:schemeClr val="dk1"/>
              </a:solidFill>
              <a:effectLst/>
              <a:latin typeface="+mn-lt"/>
              <a:ea typeface="+mn-ea"/>
              <a:cs typeface="+mn-cs"/>
            </a:rPr>
            <a:t>Key risks associated with the project include potential variations in vacancy rates, operating cost fluctuations, and interest rate changes. A sensitivity analysis indicates that even with moderate shifts in these factors, the project maintains an NPV above $40 million and a double-digit IRR, reinforcing its resilience. The assumed 3% annual rental growth is another factor influencing long-term profitability, and any deviation from this projection could impact the project’s financial outcomes.</a:t>
          </a:r>
          <a:endParaRPr lang="en-US" sz="1400" b="0">
            <a:effectLst/>
          </a:endParaRPr>
        </a:p>
        <a:p>
          <a:pPr rtl="0"/>
          <a:r>
            <a:rPr lang="en-US" sz="1400" b="0" i="0" u="none" strike="noStrike">
              <a:solidFill>
                <a:schemeClr val="dk1"/>
              </a:solidFill>
              <a:effectLst/>
              <a:latin typeface="+mn-lt"/>
              <a:ea typeface="+mn-ea"/>
              <a:cs typeface="+mn-cs"/>
            </a:rPr>
            <a:t>At the end of the 11-year hold period, Project 1 is expected to be sold, generating gross sale proceeds of $146,852,784. After deducting sales costs, the net proceeds amount to $125,105,202. The IRR of 11.65% (Figure 7) and an NPV of $48.26 (Figure 6) million indicate a strong return on investment, making this project a financially viable and attractive opportunity. While the project is solid in terms of financial performance and risk exposure, the final investment decision will depend on a comparative analysis of Project 2 to determine which development offers the most strategic and profitable investment opportunity.</a:t>
          </a:r>
          <a:endParaRPr lang="en-US" sz="1400" b="0">
            <a:effectLst/>
          </a:endParaRPr>
        </a:p>
        <a:p>
          <a:pPr rtl="0"/>
          <a:r>
            <a:rPr lang="en-US" sz="1400" b="0" i="0" u="none" strike="noStrike">
              <a:solidFill>
                <a:schemeClr val="dk1"/>
              </a:solidFill>
              <a:effectLst/>
              <a:latin typeface="+mn-lt"/>
              <a:ea typeface="+mn-ea"/>
              <a:cs typeface="+mn-cs"/>
            </a:rPr>
            <a:t>Project 2 presents a larger-scale real estate development with 560 residential units, a diverse mix of apartment types, and an anticipated higher revenue stream. The financial analysis highlights strong key performance indicators, with a net present value (NPV) of $187,674,336 (Figure 6), an internal rate of return (IRR) of 19.38% (Figure 7), and total net proceeds of $374,578,772. Compared to Project 1, this development requires a higher initial investment but offers significantly greater returns and cash flow stability.</a:t>
          </a:r>
          <a:endParaRPr lang="en-US" sz="1400" b="0">
            <a:effectLst/>
          </a:endParaRPr>
        </a:p>
        <a:p>
          <a:pPr rtl="0"/>
          <a:r>
            <a:rPr lang="en-US" sz="1400" b="0" i="0" u="none" strike="noStrike">
              <a:solidFill>
                <a:schemeClr val="dk1"/>
              </a:solidFill>
              <a:effectLst/>
              <a:latin typeface="+mn-lt"/>
              <a:ea typeface="+mn-ea"/>
              <a:cs typeface="+mn-cs"/>
            </a:rPr>
            <a:t>The project’s revenue model includes apartment rental income as the primary driver, supported by ancillary sources such as parking, tenant storage, and pet fees. Over its lifecycle, total rental revenue is projected to reach $155,570,610, with parking, storage, and pet fees contributing an additional $6,222,824, $2,333,559, and $1,555,706, respectively. With a 3% residential vacancy loss and additional minor vacancy factors for parking and storage, effective gross revenue is estimated at $160,572,205. As shown in Figure 1, the project achieves its first significant positive cash flow of $4,220,503 in year three, which rises sharply to $11,572,207 by year five and ultimately stabilizes around $18,338,998 annually. The total discounted cash flow over the project’s life cycle is projected to be $213,388,224, more than doubling the projected returns of Project 1.</a:t>
          </a:r>
          <a:endParaRPr lang="en-US" sz="1400" b="0">
            <a:effectLst/>
          </a:endParaRPr>
        </a:p>
        <a:p>
          <a:pPr rtl="0"/>
          <a:r>
            <a:rPr lang="en-US" sz="1400" b="0" i="0" u="none" strike="noStrike">
              <a:solidFill>
                <a:schemeClr val="dk1"/>
              </a:solidFill>
              <a:effectLst/>
              <a:latin typeface="+mn-lt"/>
              <a:ea typeface="+mn-ea"/>
              <a:cs typeface="+mn-cs"/>
            </a:rPr>
            <a:t>Operating expenses are a critical consideration. The breakdown in Figure 8 - real estate taxes, payroll, insurance, utilities, maintenance, and marketing - accumulate to $25,391,528. However, the project maintains an impressive operating profit margin of 83% upon stabilization, significantly higher than Project 1's 72%. This margin highlights the efficiency and scalability of the project, allowing for higher profitability despite its larger scope. Net operating income (EBIT) reached $18,388,998 in the final year, reflecting strong income stability and growth.</a:t>
          </a:r>
          <a:endParaRPr lang="en-US" sz="1400" b="0">
            <a:effectLst/>
          </a:endParaRPr>
        </a:p>
        <a:p>
          <a:pPr rtl="0"/>
          <a:r>
            <a:rPr lang="en-US" sz="1400" b="0" i="0" u="none" strike="noStrike">
              <a:solidFill>
                <a:schemeClr val="dk1"/>
              </a:solidFill>
              <a:effectLst/>
              <a:latin typeface="+mn-lt"/>
              <a:ea typeface="+mn-ea"/>
              <a:cs typeface="+mn-cs"/>
            </a:rPr>
            <a:t>The total development cost for Project 2 is $110,054,553, encompassing land acquisition, construction, and soft costs. This investment is financed primarily through debt, with a construction loan of $85,949,710, repaid over ten years at an interest rate of 5.25%. The total interest payments amount to $26,714,476, which is higher than Project 1’s financing costs but offset by a significantly higher revenue stream. While the larger debt burden introduces financial risk, the robust cash flow projections and profitability mitigate these concerns.</a:t>
          </a:r>
          <a:endParaRPr lang="en-US" sz="1400" b="0">
            <a:effectLst/>
          </a:endParaRPr>
        </a:p>
        <a:p>
          <a:pPr rtl="0"/>
          <a:r>
            <a:rPr lang="en-US" sz="1400" b="0" i="0" u="none" strike="noStrike">
              <a:solidFill>
                <a:schemeClr val="dk1"/>
              </a:solidFill>
              <a:effectLst/>
              <a:latin typeface="+mn-lt"/>
              <a:ea typeface="+mn-ea"/>
              <a:cs typeface="+mn-cs"/>
            </a:rPr>
            <a:t>Project 2's risk profile is favorable, with its higher unit count and diversified unit mix reducing market exposure. The market rent growth assumption of 3.25% annually plays a significant role in financial projections, and deviations from this estimate could impact the project's financial performance. However, sensitivity analysis suggests that even with moderate changes in operating costs or rental growth rates, the project maintains a high NPV and IRR, reinforcing its financial resilience.</a:t>
          </a:r>
          <a:endParaRPr lang="en-US" sz="1400" b="0">
            <a:effectLst/>
          </a:endParaRPr>
        </a:p>
        <a:p>
          <a:pPr rtl="0"/>
          <a:r>
            <a:rPr lang="en-US" sz="1400" b="0" i="0" u="none" strike="noStrike">
              <a:solidFill>
                <a:schemeClr val="dk1"/>
              </a:solidFill>
              <a:effectLst/>
              <a:latin typeface="+mn-lt"/>
              <a:ea typeface="+mn-ea"/>
              <a:cs typeface="+mn-cs"/>
            </a:rPr>
            <a:t>The project's sale at the end of the 11-year period is expected to generate gross proceeds of $349,314,245. After deducting sales costs, the net proceeds total $374,578,772. As shown through Figure 6 and 7, comparing both project's NPV and IRR's, Project 2's IRR of 19.38% and an NPV of $187.67 million clearly shows superior financial performance compared to Project 1.</a:t>
          </a:r>
          <a:endParaRPr lang="en-US" sz="1400" b="0">
            <a:effectLst/>
          </a:endParaRPr>
        </a:p>
        <a:p>
          <a:pPr rtl="0"/>
          <a:r>
            <a:rPr lang="en-US" sz="1400" b="0" i="0" u="none" strike="noStrike">
              <a:solidFill>
                <a:schemeClr val="dk1"/>
              </a:solidFill>
              <a:effectLst/>
              <a:latin typeface="+mn-lt"/>
              <a:ea typeface="+mn-ea"/>
              <a:cs typeface="+mn-cs"/>
            </a:rPr>
            <a:t>As Figure 1 shows, Project 2 starts off a bit slower in net income but its explosive growth in net income to over $14 million more than doubles over the slower growth of Project 1's ending net income of $6 million. The significantly higher return on investment, larger cash flow generation, and stronger risk-adjusted returns exemplify the fact that Project 2 financially outperforms that of Project 1.</a:t>
          </a:r>
          <a:br>
            <a:rPr lang="en-US" sz="1400"/>
          </a:br>
          <a:endParaRPr lang="en-US" sz="1200" baseline="0">
            <a:latin typeface="Times New Roman" panose="02020603050405020304" pitchFamily="18" charset="0"/>
            <a:cs typeface="Times New Roman" panose="02020603050405020304" pitchFamily="18" charset="0"/>
          </a:endParaRPr>
        </a:p>
        <a:p>
          <a:r>
            <a:rPr lang="en-US" sz="1600" b="1" baseline="0">
              <a:latin typeface="Times New Roman" panose="02020603050405020304" pitchFamily="18" charset="0"/>
              <a:cs typeface="Times New Roman" panose="02020603050405020304" pitchFamily="18" charset="0"/>
            </a:rPr>
            <a:t>RECOMMENDATIONS:</a:t>
          </a:r>
        </a:p>
        <a:p>
          <a:pPr rtl="0"/>
          <a:r>
            <a:rPr lang="en-US" sz="1400" b="0" i="0" u="none" strike="noStrike">
              <a:solidFill>
                <a:schemeClr val="dk1"/>
              </a:solidFill>
              <a:effectLst/>
              <a:latin typeface="+mn-lt"/>
              <a:ea typeface="+mn-ea"/>
              <a:cs typeface="+mn-cs"/>
            </a:rPr>
            <a:t>Given the financial metrics of both projects, the company should definitively investing in Project 2. Project 2 offers a significantly higher net present value (NPV) of $187.67 million and an internal rate of return (IRR) of 19.38%, compared to Project 1’s NPV of $48.26 million and IRR of 11.65%. Despite the higher initial investment and financing costs, Project 2 provides superior long-term cash flow stability, a stronger operating profit margin of 83%, and greater risk-adjusted returns. The company should proceed with securing the necessary financing for Project 2 while leveraging its diversified unit mix and larger scale to minimize vacancy risks and enhance revenue streams, all shown in Figure 10 and 11. Additionally, strategic measures should be taken to manage operating expenses efficiently, ensuring that the project maintains its projected profitability.</a:t>
          </a:r>
          <a:endParaRPr lang="en-US" sz="1400" b="0">
            <a:effectLst/>
          </a:endParaRPr>
        </a:p>
        <a:p>
          <a:pPr rtl="0"/>
          <a:r>
            <a:rPr lang="en-US" sz="1400" b="0" i="0" u="none" strike="noStrike">
              <a:solidFill>
                <a:schemeClr val="dk1"/>
              </a:solidFill>
              <a:effectLst/>
              <a:latin typeface="+mn-lt"/>
              <a:ea typeface="+mn-ea"/>
              <a:cs typeface="+mn-cs"/>
            </a:rPr>
            <a:t>To mitigate potential financial risks, the company should closely monitor key factors such as interest rate fluctuations, market rent growth, and operational costs. A contingency plan should be in place in case rental growth deviates from the expected 3.25% annual increase. Additionally, proactive marketing strategies should be implemented to maintain low vacancy rates and maximize tenant retention. Given Project 2’s strong performance metrics and resilience to moderate market shifts, the company should move forward with this development while conducting periodic financial assessments to ensure it remains on track with projected returns. If necessary, adjustments to financing structures, rental pricing, or cost controls should be made to sustain long-term profitability and maximize investment returns.</a:t>
          </a:r>
          <a:endParaRPr lang="en-US" sz="1400" b="0">
            <a:effectLst/>
          </a:endParaRPr>
        </a:p>
        <a:p>
          <a:br>
            <a:rPr lang="en-US" sz="1600"/>
          </a:br>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16</xdr:col>
      <xdr:colOff>197639</xdr:colOff>
      <xdr:row>63</xdr:row>
      <xdr:rowOff>26676</xdr:rowOff>
    </xdr:from>
    <xdr:to>
      <xdr:col>31</xdr:col>
      <xdr:colOff>205279</xdr:colOff>
      <xdr:row>93</xdr:row>
      <xdr:rowOff>110127</xdr:rowOff>
    </xdr:to>
    <xdr:graphicFrame macro="">
      <xdr:nvGraphicFramePr>
        <xdr:cNvPr id="3" name="Chart 2">
          <a:extLst>
            <a:ext uri="{FF2B5EF4-FFF2-40B4-BE49-F238E27FC236}">
              <a16:creationId xmlns:a16="http://schemas.microsoft.com/office/drawing/2014/main" id="{1462FA21-A1C0-475F-A3A5-FF9610A1D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158134</xdr:colOff>
      <xdr:row>3</xdr:row>
      <xdr:rowOff>8516</xdr:rowOff>
    </xdr:from>
    <xdr:to>
      <xdr:col>27</xdr:col>
      <xdr:colOff>275067</xdr:colOff>
      <xdr:row>29</xdr:row>
      <xdr:rowOff>158750</xdr:rowOff>
    </xdr:to>
    <xdr:graphicFrame macro="">
      <xdr:nvGraphicFramePr>
        <xdr:cNvPr id="4" name="Chart 3">
          <a:extLst>
            <a:ext uri="{FF2B5EF4-FFF2-40B4-BE49-F238E27FC236}">
              <a16:creationId xmlns:a16="http://schemas.microsoft.com/office/drawing/2014/main" id="{B3220BC4-FFF3-4008-BE4B-D617D9A21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712246</xdr:colOff>
      <xdr:row>63</xdr:row>
      <xdr:rowOff>33026</xdr:rowOff>
    </xdr:from>
    <xdr:to>
      <xdr:col>64</xdr:col>
      <xdr:colOff>546697</xdr:colOff>
      <xdr:row>139</xdr:row>
      <xdr:rowOff>124385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7789231-058C-4B2B-9980-1AB52A7033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497036" y="11921496"/>
              <a:ext cx="10783121" cy="140842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49</xdr:col>
      <xdr:colOff>712246</xdr:colOff>
      <xdr:row>3</xdr:row>
      <xdr:rowOff>3435</xdr:rowOff>
    </xdr:from>
    <xdr:to>
      <xdr:col>64</xdr:col>
      <xdr:colOff>564104</xdr:colOff>
      <xdr:row>62</xdr:row>
      <xdr:rowOff>74705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FA14EB7-DC04-4D02-869E-A862E5C646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6497036" y="841635"/>
              <a:ext cx="10804338" cy="109361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265929</xdr:colOff>
      <xdr:row>30</xdr:row>
      <xdr:rowOff>49231</xdr:rowOff>
    </xdr:from>
    <xdr:to>
      <xdr:col>31</xdr:col>
      <xdr:colOff>232061</xdr:colOff>
      <xdr:row>62</xdr:row>
      <xdr:rowOff>109344</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D50541C6-73F3-4C8B-89FB-6A86A07BF8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949929" y="5858211"/>
              <a:ext cx="10919882" cy="59554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481392</xdr:colOff>
      <xdr:row>30</xdr:row>
      <xdr:rowOff>49231</xdr:rowOff>
    </xdr:from>
    <xdr:to>
      <xdr:col>49</xdr:col>
      <xdr:colOff>447526</xdr:colOff>
      <xdr:row>62</xdr:row>
      <xdr:rowOff>109344</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E895AB6-AA57-4CAF-89C8-19F84BDDDC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121682" y="5858211"/>
              <a:ext cx="13109364" cy="59554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396874</xdr:colOff>
      <xdr:row>94</xdr:row>
      <xdr:rowOff>50446</xdr:rowOff>
    </xdr:from>
    <xdr:to>
      <xdr:col>49</xdr:col>
      <xdr:colOff>571499</xdr:colOff>
      <xdr:row>139</xdr:row>
      <xdr:rowOff>166688</xdr:rowOff>
    </xdr:to>
    <xdr:graphicFrame macro="">
      <xdr:nvGraphicFramePr>
        <xdr:cNvPr id="9" name="Chart 8">
          <a:extLst>
            <a:ext uri="{FF2B5EF4-FFF2-40B4-BE49-F238E27FC236}">
              <a16:creationId xmlns:a16="http://schemas.microsoft.com/office/drawing/2014/main" id="{315A4508-F909-4668-98CE-33BF452F8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161303</xdr:colOff>
      <xdr:row>94</xdr:row>
      <xdr:rowOff>50446</xdr:rowOff>
    </xdr:from>
    <xdr:to>
      <xdr:col>31</xdr:col>
      <xdr:colOff>190500</xdr:colOff>
      <xdr:row>140</xdr:row>
      <xdr:rowOff>0</xdr:rowOff>
    </xdr:to>
    <xdr:graphicFrame macro="">
      <xdr:nvGraphicFramePr>
        <xdr:cNvPr id="10" name="Chart 9">
          <a:extLst>
            <a:ext uri="{FF2B5EF4-FFF2-40B4-BE49-F238E27FC236}">
              <a16:creationId xmlns:a16="http://schemas.microsoft.com/office/drawing/2014/main" id="{D091A670-645C-4C08-9024-E31D891F8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441268</xdr:colOff>
      <xdr:row>63</xdr:row>
      <xdr:rowOff>26676</xdr:rowOff>
    </xdr:from>
    <xdr:to>
      <xdr:col>49</xdr:col>
      <xdr:colOff>503578</xdr:colOff>
      <xdr:row>93</xdr:row>
      <xdr:rowOff>74813</xdr:rowOff>
    </xdr:to>
    <xdr:graphicFrame macro="">
      <xdr:nvGraphicFramePr>
        <xdr:cNvPr id="11" name="Chart 10">
          <a:extLst>
            <a:ext uri="{FF2B5EF4-FFF2-40B4-BE49-F238E27FC236}">
              <a16:creationId xmlns:a16="http://schemas.microsoft.com/office/drawing/2014/main" id="{6726DFA5-D56D-4670-B7CB-D220BC0F4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425748</xdr:colOff>
      <xdr:row>3</xdr:row>
      <xdr:rowOff>9786</xdr:rowOff>
    </xdr:from>
    <xdr:to>
      <xdr:col>38</xdr:col>
      <xdr:colOff>225388</xdr:colOff>
      <xdr:row>29</xdr:row>
      <xdr:rowOff>144107</xdr:rowOff>
    </xdr:to>
    <xdr:graphicFrame macro="">
      <xdr:nvGraphicFramePr>
        <xdr:cNvPr id="12" name="Chart 11">
          <a:extLst>
            <a:ext uri="{FF2B5EF4-FFF2-40B4-BE49-F238E27FC236}">
              <a16:creationId xmlns:a16="http://schemas.microsoft.com/office/drawing/2014/main" id="{5F0E794D-B765-4673-8AE9-636B370E3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345964</xdr:colOff>
      <xdr:row>3</xdr:row>
      <xdr:rowOff>9786</xdr:rowOff>
    </xdr:from>
    <xdr:to>
      <xdr:col>49</xdr:col>
      <xdr:colOff>450776</xdr:colOff>
      <xdr:row>29</xdr:row>
      <xdr:rowOff>125057</xdr:rowOff>
    </xdr:to>
    <xdr:graphicFrame macro="">
      <xdr:nvGraphicFramePr>
        <xdr:cNvPr id="13" name="Chart 12">
          <a:extLst>
            <a:ext uri="{FF2B5EF4-FFF2-40B4-BE49-F238E27FC236}">
              <a16:creationId xmlns:a16="http://schemas.microsoft.com/office/drawing/2014/main" id="{45893669-8AFD-46D2-B66C-CDBABAACA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100433</xdr:colOff>
      <xdr:row>59</xdr:row>
      <xdr:rowOff>83271</xdr:rowOff>
    </xdr:from>
    <xdr:to>
      <xdr:col>25</xdr:col>
      <xdr:colOff>598136</xdr:colOff>
      <xdr:row>62</xdr:row>
      <xdr:rowOff>-1</xdr:rowOff>
    </xdr:to>
    <xdr:sp macro="" textlink="">
      <xdr:nvSpPr>
        <xdr:cNvPr id="14" name="TextBox 13">
          <a:extLst>
            <a:ext uri="{FF2B5EF4-FFF2-40B4-BE49-F238E27FC236}">
              <a16:creationId xmlns:a16="http://schemas.microsoft.com/office/drawing/2014/main" id="{C3273314-1569-B532-42A2-04DAA21D4C1D}"/>
            </a:ext>
          </a:extLst>
        </xdr:cNvPr>
        <xdr:cNvSpPr txBox="1"/>
      </xdr:nvSpPr>
      <xdr:spPr>
        <a:xfrm>
          <a:off x="16335838" y="13555568"/>
          <a:ext cx="2711622" cy="58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2">
                  <a:lumMod val="50000"/>
                </a:schemeClr>
              </a:solidFill>
            </a:rPr>
            <a:t>FIGURE 4</a:t>
          </a:r>
        </a:p>
      </xdr:txBody>
    </xdr:sp>
    <xdr:clientData/>
  </xdr:twoCellAnchor>
  <xdr:twoCellAnchor>
    <xdr:from>
      <xdr:col>39</xdr:col>
      <xdr:colOff>4215</xdr:colOff>
      <xdr:row>59</xdr:row>
      <xdr:rowOff>182547</xdr:rowOff>
    </xdr:from>
    <xdr:to>
      <xdr:col>42</xdr:col>
      <xdr:colOff>504458</xdr:colOff>
      <xdr:row>62</xdr:row>
      <xdr:rowOff>101815</xdr:rowOff>
    </xdr:to>
    <xdr:sp macro="" textlink="">
      <xdr:nvSpPr>
        <xdr:cNvPr id="15" name="TextBox 14">
          <a:extLst>
            <a:ext uri="{FF2B5EF4-FFF2-40B4-BE49-F238E27FC236}">
              <a16:creationId xmlns:a16="http://schemas.microsoft.com/office/drawing/2014/main" id="{9109A0EF-0B18-4B52-8FA6-2B527536379E}"/>
            </a:ext>
          </a:extLst>
        </xdr:cNvPr>
        <xdr:cNvSpPr txBox="1"/>
      </xdr:nvSpPr>
      <xdr:spPr>
        <a:xfrm>
          <a:off x="28785161" y="13654844"/>
          <a:ext cx="2714162" cy="588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2">
                  <a:lumMod val="50000"/>
                </a:schemeClr>
              </a:solidFill>
            </a:rPr>
            <a:t>FIGURE 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476249</xdr:colOff>
      <xdr:row>0</xdr:row>
      <xdr:rowOff>171449</xdr:rowOff>
    </xdr:from>
    <xdr:to>
      <xdr:col>12</xdr:col>
      <xdr:colOff>371230</xdr:colOff>
      <xdr:row>57</xdr:row>
      <xdr:rowOff>19538</xdr:rowOff>
    </xdr:to>
    <xdr:sp macro="" textlink="">
      <xdr:nvSpPr>
        <xdr:cNvPr id="2" name="TextBox 1">
          <a:extLst>
            <a:ext uri="{FF2B5EF4-FFF2-40B4-BE49-F238E27FC236}">
              <a16:creationId xmlns:a16="http://schemas.microsoft.com/office/drawing/2014/main" id="{1079978D-E29D-43F7-BEE8-10AC28145AFF}"/>
            </a:ext>
          </a:extLst>
        </xdr:cNvPr>
        <xdr:cNvSpPr txBox="1"/>
      </xdr:nvSpPr>
      <xdr:spPr>
        <a:xfrm>
          <a:off x="476249" y="171449"/>
          <a:ext cx="7280519" cy="104281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Copyright Michael Nugent ©</a:t>
          </a:r>
          <a:r>
            <a:rPr lang="en-US" sz="1200" baseline="0">
              <a:solidFill>
                <a:schemeClr val="dk1"/>
              </a:solidFill>
              <a:effectLst/>
              <a:latin typeface="+mn-lt"/>
              <a:ea typeface="+mn-ea"/>
              <a:cs typeface="+mn-cs"/>
            </a:rPr>
            <a:t> </a:t>
          </a:r>
          <a:endParaRPr lang="en-US" sz="1200" b="1">
            <a:solidFill>
              <a:schemeClr val="dk1"/>
            </a:solidFill>
            <a:latin typeface="+mn-lt"/>
            <a:ea typeface="+mn-ea"/>
            <a:cs typeface="+mn-cs"/>
          </a:endParaRPr>
        </a:p>
        <a:p>
          <a:r>
            <a:rPr lang="en-US" b="1"/>
            <a:t>MEMO</a:t>
          </a:r>
          <a:endParaRPr lang="en-US"/>
        </a:p>
        <a:p>
          <a:r>
            <a:rPr lang="en-US" b="1"/>
            <a:t>To:</a:t>
          </a:r>
          <a:r>
            <a:rPr lang="en-US"/>
            <a:t> Financial Analyst Employee</a:t>
          </a:r>
          <a:br>
            <a:rPr lang="en-US"/>
          </a:br>
          <a:r>
            <a:rPr lang="en-US" b="1"/>
            <a:t>From:</a:t>
          </a:r>
          <a:r>
            <a:rPr lang="en-US"/>
            <a:t> CFO</a:t>
          </a:r>
          <a:br>
            <a:rPr lang="en-US"/>
          </a:br>
          <a:r>
            <a:rPr lang="en-US" b="1"/>
            <a:t>Subject:</a:t>
          </a:r>
          <a:r>
            <a:rPr lang="en-US"/>
            <a:t> Mutual Exclusive Real Estate Projects</a:t>
          </a:r>
        </a:p>
        <a:p>
          <a:r>
            <a:rPr lang="en-US"/>
            <a:t>I have completed the </a:t>
          </a:r>
          <a:r>
            <a:rPr lang="en-US" b="1"/>
            <a:t>Project 1 Financial Analysis</a:t>
          </a:r>
          <a:r>
            <a:rPr lang="en-US"/>
            <a:t>. Please proceed with completing the </a:t>
          </a:r>
          <a:r>
            <a:rPr lang="en-US" b="1"/>
            <a:t>Project 2 Financial Analysis</a:t>
          </a:r>
          <a:r>
            <a:rPr lang="en-US"/>
            <a:t> and drafting an </a:t>
          </a:r>
          <a:r>
            <a:rPr lang="en-US" b="1"/>
            <a:t>Executive Summary</a:t>
          </a:r>
          <a:r>
            <a:rPr lang="en-US"/>
            <a:t> and </a:t>
          </a:r>
          <a:r>
            <a:rPr lang="en-US" b="1"/>
            <a:t>Dashboard</a:t>
          </a:r>
          <a:r>
            <a:rPr lang="en-US"/>
            <a:t> that analyzes both projects. Since these are </a:t>
          </a:r>
          <a:r>
            <a:rPr lang="en-US" b="1"/>
            <a:t>mutually exclusive</a:t>
          </a:r>
          <a:r>
            <a:rPr lang="en-US"/>
            <a:t> projects, we can only invest in one. Please include a </a:t>
          </a:r>
          <a:r>
            <a:rPr lang="en-US" b="1"/>
            <a:t>recommendation</a:t>
          </a:r>
          <a:r>
            <a:rPr lang="en-US"/>
            <a:t> on which project we should invest in based on your analysis.</a:t>
          </a:r>
        </a:p>
        <a:p>
          <a:r>
            <a:rPr lang="en-US" b="1"/>
            <a:t>Key Instructions:</a:t>
          </a:r>
        </a:p>
        <a:p>
          <a:r>
            <a:rPr lang="en-US" b="1"/>
            <a:t>Data Preparation &amp; Formatting:</a:t>
          </a:r>
          <a:endParaRPr lang="en-US"/>
        </a:p>
        <a:p>
          <a:pPr lvl="1"/>
          <a:r>
            <a:rPr lang="en-US" b="1"/>
            <a:t>Clean up</a:t>
          </a:r>
          <a:r>
            <a:rPr lang="en-US"/>
            <a:t> the data in all worksheets to ensure accuracy and consistency.</a:t>
          </a:r>
        </a:p>
        <a:p>
          <a:pPr lvl="1"/>
          <a:r>
            <a:rPr lang="en-US" b="1"/>
            <a:t>Freeze the top row</a:t>
          </a:r>
          <a:r>
            <a:rPr lang="en-US"/>
            <a:t> on all worksheets for easy reference.</a:t>
          </a:r>
        </a:p>
        <a:p>
          <a:pPr lvl="1"/>
          <a:r>
            <a:rPr lang="en-US" b="1"/>
            <a:t>Format the data</a:t>
          </a:r>
          <a:r>
            <a:rPr lang="en-US"/>
            <a:t> in a clear and professional manner, using appropriate font sizes, column widths, and number formats.</a:t>
          </a:r>
        </a:p>
        <a:p>
          <a:pPr lvl="1"/>
          <a:r>
            <a:rPr lang="en-US" b="1"/>
            <a:t>Set print ranges</a:t>
          </a:r>
          <a:r>
            <a:rPr lang="en-US"/>
            <a:t> for each worksheet, ensuring they are appropriately sized for printing.</a:t>
          </a:r>
        </a:p>
        <a:p>
          <a:pPr lvl="1"/>
          <a:r>
            <a:rPr lang="en-US" b="1"/>
            <a:t>Set headers and footers</a:t>
          </a:r>
          <a:r>
            <a:rPr lang="en-US"/>
            <a:t> on each worksheet for a polished final presentation (include relevant page numbers, document title, and date).</a:t>
          </a:r>
        </a:p>
        <a:p>
          <a:pPr lvl="1"/>
          <a:r>
            <a:rPr lang="en-US" b="1"/>
            <a:t>Run a spell check</a:t>
          </a:r>
          <a:r>
            <a:rPr lang="en-US"/>
            <a:t> to ensure there are no errors in the data, labels, or text.</a:t>
          </a:r>
        </a:p>
        <a:p>
          <a:r>
            <a:rPr lang="en-US" b="1"/>
            <a:t>Currency Formatting:</a:t>
          </a:r>
          <a:endParaRPr lang="en-US"/>
        </a:p>
        <a:p>
          <a:pPr lvl="1"/>
          <a:r>
            <a:rPr lang="en-US"/>
            <a:t>All dollar values should be formatted in the </a:t>
          </a:r>
          <a:r>
            <a:rPr lang="en-US" b="1"/>
            <a:t>currency format</a:t>
          </a:r>
          <a:r>
            <a:rPr lang="en-US"/>
            <a:t> for consistency and clarity.</a:t>
          </a:r>
        </a:p>
        <a:p>
          <a:r>
            <a:rPr lang="en-US" b="1"/>
            <a:t>Forward NOI Calculation:</a:t>
          </a:r>
          <a:endParaRPr lang="en-US"/>
        </a:p>
        <a:p>
          <a:pPr lvl="1"/>
          <a:r>
            <a:rPr lang="en-US"/>
            <a:t>Refer to the following link for guidance on </a:t>
          </a:r>
          <a:r>
            <a:rPr lang="en-US" b="1"/>
            <a:t>Forward NOI</a:t>
          </a:r>
          <a:r>
            <a:rPr lang="en-US"/>
            <a:t> (Net Operating Income): </a:t>
          </a:r>
          <a:r>
            <a:rPr lang="en-US">
              <a:hlinkClick xmlns:r="http://schemas.openxmlformats.org/officeDocument/2006/relationships" r:id=""/>
            </a:rPr>
            <a:t>Wall Street Prep - Forward NOI</a:t>
          </a:r>
          <a:endParaRPr lang="en-US"/>
        </a:p>
        <a:p>
          <a:pPr lvl="1"/>
          <a:r>
            <a:rPr lang="en-US"/>
            <a:t>Apply the principles from this resource to help in calculating and forecasting the </a:t>
          </a:r>
          <a:r>
            <a:rPr lang="en-US" b="1"/>
            <a:t>Net Operating Income</a:t>
          </a:r>
          <a:r>
            <a:rPr lang="en-US"/>
            <a:t> for </a:t>
          </a:r>
          <a:r>
            <a:rPr lang="en-US" b="1"/>
            <a:t>Project 2</a:t>
          </a:r>
          <a:r>
            <a:rPr lang="en-US"/>
            <a:t>.</a:t>
          </a:r>
        </a:p>
        <a:p>
          <a:r>
            <a:rPr lang="en-US" b="1"/>
            <a:t>Project 2 Financial Analysis:</a:t>
          </a:r>
        </a:p>
        <a:p>
          <a:r>
            <a:rPr lang="en-US" b="1"/>
            <a:t>Cash Flow Forecast:</a:t>
          </a:r>
          <a:endParaRPr lang="en-US"/>
        </a:p>
        <a:p>
          <a:pPr lvl="1"/>
          <a:r>
            <a:rPr lang="en-US"/>
            <a:t>Create a detailed </a:t>
          </a:r>
          <a:r>
            <a:rPr lang="en-US" b="1"/>
            <a:t>cash flow forecast</a:t>
          </a:r>
          <a:r>
            <a:rPr lang="en-US"/>
            <a:t> for </a:t>
          </a:r>
          <a:r>
            <a:rPr lang="en-US" b="1"/>
            <a:t>Project 2</a:t>
          </a:r>
          <a:r>
            <a:rPr lang="en-US"/>
            <a:t> over its projected life cycle (typically 5-10 years).</a:t>
          </a:r>
        </a:p>
        <a:p>
          <a:pPr lvl="1"/>
          <a:r>
            <a:rPr lang="en-US"/>
            <a:t>Include all relevant revenue streams, expenses, and taxes.</a:t>
          </a:r>
        </a:p>
        <a:p>
          <a:r>
            <a:rPr lang="en-US" b="1"/>
            <a:t>Discounted Cash Flow (DCF) Analysis:</a:t>
          </a:r>
          <a:endParaRPr lang="en-US"/>
        </a:p>
        <a:p>
          <a:pPr lvl="1"/>
          <a:r>
            <a:rPr lang="en-US"/>
            <a:t>Perform a </a:t>
          </a:r>
          <a:r>
            <a:rPr lang="en-US" b="1"/>
            <a:t>DCF analysis</a:t>
          </a:r>
          <a:r>
            <a:rPr lang="en-US"/>
            <a:t> for </a:t>
          </a:r>
          <a:r>
            <a:rPr lang="en-US" b="1"/>
            <a:t>Project 2</a:t>
          </a:r>
          <a:r>
            <a:rPr lang="en-US"/>
            <a:t> using the appropriate discount rate.</a:t>
          </a:r>
        </a:p>
        <a:p>
          <a:pPr lvl="1"/>
          <a:r>
            <a:rPr lang="en-US"/>
            <a:t>Use the </a:t>
          </a:r>
          <a:r>
            <a:rPr lang="en-US" b="1"/>
            <a:t>net present value (NPV)</a:t>
          </a:r>
          <a:r>
            <a:rPr lang="en-US"/>
            <a:t> method to evaluate the profitability of the project.</a:t>
          </a:r>
        </a:p>
        <a:p>
          <a:pPr lvl="1"/>
          <a:r>
            <a:rPr lang="en-US"/>
            <a:t>Ensure to calculate the </a:t>
          </a:r>
          <a:r>
            <a:rPr lang="en-US" b="1"/>
            <a:t>IRR (Internal Rate of Return)</a:t>
          </a:r>
          <a:r>
            <a:rPr lang="en-US"/>
            <a:t> for </a:t>
          </a:r>
          <a:r>
            <a:rPr lang="en-US" b="1"/>
            <a:t>Project 2</a:t>
          </a:r>
          <a:r>
            <a:rPr lang="en-US"/>
            <a:t> as well.</a:t>
          </a:r>
        </a:p>
        <a:p>
          <a:r>
            <a:rPr lang="en-US" b="1"/>
            <a:t>Risk and Sensitivity Analysis:</a:t>
          </a:r>
          <a:endParaRPr lang="en-US"/>
        </a:p>
        <a:p>
          <a:pPr lvl="1"/>
          <a:r>
            <a:rPr lang="en-US"/>
            <a:t>Conduct a </a:t>
          </a:r>
          <a:r>
            <a:rPr lang="en-US" b="1"/>
            <a:t>sensitivity analysis</a:t>
          </a:r>
          <a:r>
            <a:rPr lang="en-US"/>
            <a:t> to examine how changes in key assumptions (e.g., interest rates, operating costs, and revenue) affect the project's financial outcomes.</a:t>
          </a:r>
        </a:p>
        <a:p>
          <a:pPr lvl="1"/>
          <a:r>
            <a:rPr lang="en-US"/>
            <a:t>Perform a </a:t>
          </a:r>
          <a:r>
            <a:rPr lang="en-US" b="1"/>
            <a:t>risk analysis</a:t>
          </a:r>
          <a:r>
            <a:rPr lang="en-US"/>
            <a:t> to identify potential risks (market conditions, regulatory changes, etc.) that may impact the project.</a:t>
          </a:r>
        </a:p>
        <a:p>
          <a:r>
            <a:rPr lang="en-US" b="1"/>
            <a:t>Executive Summary &amp; Dashboard:</a:t>
          </a:r>
        </a:p>
        <a:p>
          <a:r>
            <a:rPr lang="en-US" b="1"/>
            <a:t>Executive Summary:</a:t>
          </a:r>
          <a:endParaRPr lang="en-US"/>
        </a:p>
        <a:p>
          <a:pPr lvl="1"/>
          <a:r>
            <a:rPr lang="en-US"/>
            <a:t>Summarize the key findings from both </a:t>
          </a:r>
          <a:r>
            <a:rPr lang="en-US" b="1"/>
            <a:t>Project 1</a:t>
          </a:r>
          <a:r>
            <a:rPr lang="en-US"/>
            <a:t> and </a:t>
          </a:r>
          <a:r>
            <a:rPr lang="en-US" b="1"/>
            <a:t>Project 2</a:t>
          </a:r>
          <a:r>
            <a:rPr lang="en-US"/>
            <a:t> financial analyses.</a:t>
          </a:r>
        </a:p>
        <a:p>
          <a:pPr lvl="1"/>
          <a:r>
            <a:rPr lang="en-US"/>
            <a:t>Compare the </a:t>
          </a:r>
          <a:r>
            <a:rPr lang="en-US" b="1"/>
            <a:t>NPV</a:t>
          </a:r>
          <a:r>
            <a:rPr lang="en-US"/>
            <a:t>, </a:t>
          </a:r>
          <a:r>
            <a:rPr lang="en-US" b="1"/>
            <a:t>IRR</a:t>
          </a:r>
          <a:r>
            <a:rPr lang="en-US"/>
            <a:t>, </a:t>
          </a:r>
          <a:r>
            <a:rPr lang="en-US" b="1"/>
            <a:t>cash flow</a:t>
          </a:r>
          <a:r>
            <a:rPr lang="en-US"/>
            <a:t>, and other relevant financial metrics between the two projects.</a:t>
          </a:r>
        </a:p>
        <a:p>
          <a:pPr lvl="1"/>
          <a:r>
            <a:rPr lang="en-US"/>
            <a:t>Clearly recommend which project should be pursued based on financial performance, risk analysis, and strategic alignment with our company’s goals.</a:t>
          </a:r>
        </a:p>
        <a:p>
          <a:r>
            <a:rPr lang="en-US" b="1"/>
            <a:t>Dashboard:</a:t>
          </a:r>
          <a:endParaRPr lang="en-US"/>
        </a:p>
        <a:p>
          <a:pPr lvl="1"/>
          <a:r>
            <a:rPr lang="en-US"/>
            <a:t>Create a </a:t>
          </a:r>
          <a:r>
            <a:rPr lang="en-US" b="1"/>
            <a:t>dashboard</a:t>
          </a:r>
          <a:r>
            <a:rPr lang="en-US"/>
            <a:t> to visually present the following data: </a:t>
          </a:r>
        </a:p>
        <a:p>
          <a:pPr lvl="2"/>
          <a:r>
            <a:rPr lang="en-US" b="1"/>
            <a:t>Key Financial Metrics</a:t>
          </a:r>
          <a:r>
            <a:rPr lang="en-US"/>
            <a:t> for both projects (e.g., NPV, IRR, cash flow, etc.).</a:t>
          </a:r>
        </a:p>
        <a:p>
          <a:pPr lvl="2"/>
          <a:r>
            <a:rPr lang="en-US" b="1"/>
            <a:t>Risk factors</a:t>
          </a:r>
          <a:r>
            <a:rPr lang="en-US"/>
            <a:t> for each project, including potential sensitivities to key assumptions.</a:t>
          </a:r>
        </a:p>
        <a:p>
          <a:pPr lvl="2"/>
          <a:r>
            <a:rPr lang="en-US" b="1"/>
            <a:t>Comparison charts</a:t>
          </a:r>
          <a:r>
            <a:rPr lang="en-US"/>
            <a:t> (bar charts, line graphs, etc.) to highlight the differences between </a:t>
          </a:r>
          <a:r>
            <a:rPr lang="en-US" b="1"/>
            <a:t>Project 1</a:t>
          </a:r>
          <a:r>
            <a:rPr lang="en-US"/>
            <a:t> and </a:t>
          </a:r>
          <a:r>
            <a:rPr lang="en-US" b="1"/>
            <a:t>Project 2</a:t>
          </a:r>
          <a:r>
            <a:rPr lang="en-US"/>
            <a:t>.</a:t>
          </a:r>
        </a:p>
        <a:p>
          <a:pPr lvl="2"/>
          <a:r>
            <a:rPr lang="en-US" b="1"/>
            <a:t>Recommendation</a:t>
          </a:r>
          <a:r>
            <a:rPr lang="en-US"/>
            <a:t> section with a clear visual comparison that emphasizes the stronger investment option.</a:t>
          </a:r>
        </a:p>
        <a:p>
          <a:endParaRPr lang="en-US"/>
        </a:p>
        <a:p>
          <a:r>
            <a:rPr lang="en-US"/>
            <a:t>Once you have completed the analysis, please ensure all data, charts, and summary information are well-organized and ready for presentation to the leadership team.</a:t>
          </a:r>
        </a:p>
        <a:p>
          <a:endParaRPr lang="en-US"/>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19176/Downloads/Real%20Estate%20Financial%20Modeling%20Case%20V7%20(MJ%20Sanacore)%20(2)%20(version%202).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19176/Downloads/Real%20Estate%20Financial%20Modeling%20Case%20V7%20(MJ%20Sanacore)%20(2)%20(version%202).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rrence Ho" refreshedDate="45725.63469363426" createdVersion="8" refreshedVersion="8" minRefreshableVersion="3" recordCount="5" xr:uid="{AB68DCED-4647-4C43-9BDB-B5652B85F617}">
  <cacheSource type="worksheet">
    <worksheetSource ref="A1:C6" sheet="Sheet1" r:id="rId2"/>
  </cacheSource>
  <cacheFields count="3">
    <cacheField name="Unit Type" numFmtId="0">
      <sharedItems count="5">
        <s v="1 Bed / 1 Bath (A1)"/>
        <s v="1 Bed / 1 Bath (A2)"/>
        <s v="2 Bed / 2 Bath (B1)"/>
        <s v="2 Bed / 2 Bath (B2) Den"/>
        <s v="3 Bed / 2 Bath (B2)"/>
      </sharedItems>
    </cacheField>
    <cacheField name="Rent/SF" numFmtId="165">
      <sharedItems containsSemiMixedTypes="0" containsString="0" containsNumber="1" minValue="20.639999999999997" maxValue="27.48"/>
    </cacheField>
    <cacheField name="Annual Rent" numFmtId="164">
      <sharedItems containsSemiMixedTypes="0" containsString="0" containsNumber="1" minValue="352028.16000000003" maxValue="2791020.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rrence Ho" refreshedDate="45725.635807060185" createdVersion="8" refreshedVersion="8" minRefreshableVersion="3" recordCount="7" xr:uid="{F9A0D9C6-B91D-4225-BE84-2BD1EC045023}">
  <cacheSource type="worksheet">
    <worksheetSource ref="A1:C8" sheet="Sheet3" r:id="rId2"/>
  </cacheSource>
  <cacheFields count="3">
    <cacheField name="Unit Type" numFmtId="0">
      <sharedItems count="7">
        <s v="Studio"/>
        <s v="1 Bed / 1 Bath (A1)"/>
        <s v="1 Bed / 1 Bath (A2)"/>
        <s v="2 Bed / 2 Bath (B1)"/>
        <s v="2 Bed / 2 Bath (B2) Den"/>
        <s v="3 Bed / 2 Bath (B2)"/>
        <s v="4 Bed / 2 Bath (B2)"/>
      </sharedItems>
    </cacheField>
    <cacheField name="Rent/SF" numFmtId="165">
      <sharedItems containsSemiMixedTypes="0" containsString="0" containsNumber="1" minValue="20.571428571428573" maxValue="42"/>
    </cacheField>
    <cacheField name="Annual Rent" numFmtId="164">
      <sharedItems containsSemiMixedTypes="0" containsString="0" containsNumber="1" containsInteger="1" minValue="900000" maxValue="378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7.48"/>
    <n v="2407357.92"/>
  </r>
  <r>
    <x v="1"/>
    <n v="23.279999999999998"/>
    <n v="1289176.5599999998"/>
  </r>
  <r>
    <x v="2"/>
    <n v="21.84"/>
    <n v="2791020.96"/>
  </r>
  <r>
    <x v="3"/>
    <n v="20.639999999999997"/>
    <n v="609292.79999999993"/>
  </r>
  <r>
    <x v="4"/>
    <n v="21.12"/>
    <n v="352028.16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2"/>
    <n v="2100000"/>
  </r>
  <r>
    <x v="1"/>
    <n v="36"/>
    <n v="3780000"/>
  </r>
  <r>
    <x v="2"/>
    <n v="33"/>
    <n v="1320000"/>
  </r>
  <r>
    <x v="3"/>
    <n v="24"/>
    <n v="3600000"/>
  </r>
  <r>
    <x v="4"/>
    <n v="21.428571428571427"/>
    <n v="2250000"/>
  </r>
  <r>
    <x v="5"/>
    <n v="22.4"/>
    <n v="1176000"/>
  </r>
  <r>
    <x v="6"/>
    <n v="20.571428571428573"/>
    <n v="9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2B281-E0B6-488D-A18E-A52DBFAECD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9" firstHeaderRow="0" firstDataRow="1" firstDataCol="1"/>
  <pivotFields count="3">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dataField="1" numFmtId="165" showAll="0"/>
    <pivotField dataField="1" numFmtId="164" showAll="0"/>
  </pivotFields>
  <rowFields count="1">
    <field x="0"/>
  </rowFields>
  <rowItems count="6">
    <i>
      <x v="2"/>
    </i>
    <i>
      <x/>
    </i>
    <i>
      <x v="1"/>
    </i>
    <i>
      <x v="3"/>
    </i>
    <i>
      <x v="4"/>
    </i>
    <i t="grand">
      <x/>
    </i>
  </rowItems>
  <colFields count="1">
    <field x="-2"/>
  </colFields>
  <colItems count="2">
    <i>
      <x/>
    </i>
    <i i="1">
      <x v="1"/>
    </i>
  </colItems>
  <dataFields count="2">
    <dataField name="Sum of Annual Rent" fld="2" baseField="0" baseItem="0" numFmtId="164"/>
    <dataField name="Sum of Rent/SF" fld="1" baseField="0" baseItem="0" numFmtId="165"/>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BC0D30-573C-43E1-BC7C-1AC7B1F872A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1" firstHeaderRow="0" firstDataRow="1" firstDataCol="1"/>
  <pivotFields count="3">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dataField="1" numFmtId="165" showAll="0"/>
    <pivotField dataField="1" numFmtId="164" showAll="0"/>
  </pivotFields>
  <rowFields count="1">
    <field x="0"/>
  </rowFields>
  <rowItems count="8">
    <i>
      <x/>
    </i>
    <i>
      <x v="2"/>
    </i>
    <i>
      <x v="3"/>
    </i>
    <i>
      <x v="6"/>
    </i>
    <i>
      <x v="1"/>
    </i>
    <i>
      <x v="4"/>
    </i>
    <i>
      <x v="5"/>
    </i>
    <i t="grand">
      <x/>
    </i>
  </rowItems>
  <colFields count="1">
    <field x="-2"/>
  </colFields>
  <colItems count="2">
    <i>
      <x/>
    </i>
    <i i="1">
      <x v="1"/>
    </i>
  </colItems>
  <dataFields count="2">
    <dataField name="Sum of Annual Rent" fld="2" baseField="0" baseItem="0" numFmtId="164"/>
    <dataField name="Sum of Rent/SF" fld="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EFC31-D41D-4F94-ADF4-04C18000D0F0}">
  <sheetPr>
    <pageSetUpPr fitToPage="1"/>
  </sheetPr>
  <dimension ref="Q2:BM141"/>
  <sheetViews>
    <sheetView tabSelected="1" zoomScale="40" zoomScaleNormal="40" workbookViewId="0">
      <selection activeCell="BV17" sqref="BV17"/>
    </sheetView>
  </sheetViews>
  <sheetFormatPr defaultColWidth="9.59765625" defaultRowHeight="14.4" x14ac:dyDescent="0.3"/>
  <cols>
    <col min="1" max="16384" width="9.59765625" style="89"/>
  </cols>
  <sheetData>
    <row r="2" spans="17:65" ht="15" thickBot="1" x14ac:dyDescent="0.35"/>
    <row r="3" spans="17:65" ht="36.6" x14ac:dyDescent="0.7">
      <c r="Q3" s="343" t="s">
        <v>185</v>
      </c>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4"/>
      <c r="AQ3" s="344"/>
      <c r="AR3" s="344"/>
      <c r="AS3" s="344"/>
      <c r="AT3" s="344"/>
      <c r="AU3" s="344"/>
      <c r="AV3" s="344"/>
      <c r="AW3" s="344"/>
      <c r="AX3" s="344"/>
      <c r="AY3" s="344"/>
      <c r="AZ3" s="344"/>
      <c r="BA3" s="344"/>
      <c r="BB3" s="344"/>
      <c r="BC3" s="344"/>
      <c r="BD3" s="344"/>
      <c r="BE3" s="344"/>
      <c r="BF3" s="344"/>
      <c r="BG3" s="344"/>
      <c r="BH3" s="344"/>
      <c r="BI3" s="344"/>
      <c r="BJ3" s="344"/>
      <c r="BK3" s="344"/>
      <c r="BL3" s="344"/>
      <c r="BM3" s="357"/>
    </row>
    <row r="4" spans="17:65" x14ac:dyDescent="0.3">
      <c r="Q4" s="90"/>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91"/>
    </row>
    <row r="5" spans="17:65" x14ac:dyDescent="0.3">
      <c r="Q5" s="90"/>
      <c r="R5" s="342"/>
      <c r="S5" s="342"/>
      <c r="T5" s="342"/>
      <c r="U5" s="342"/>
      <c r="V5" s="342"/>
      <c r="W5" s="342"/>
      <c r="X5" s="342"/>
      <c r="Y5" s="342"/>
      <c r="Z5" s="342"/>
      <c r="AA5" s="342"/>
      <c r="AB5" s="342"/>
      <c r="AC5" s="342"/>
      <c r="AD5" s="342"/>
      <c r="AE5" s="342"/>
      <c r="AF5" s="342"/>
      <c r="AG5" s="342"/>
      <c r="AH5" s="342"/>
      <c r="AI5" s="342"/>
      <c r="AJ5" s="342"/>
      <c r="AK5" s="342"/>
      <c r="AL5" s="342"/>
      <c r="AM5" s="342"/>
      <c r="AN5" s="342"/>
      <c r="AO5" s="342"/>
      <c r="AP5" s="342"/>
      <c r="AQ5" s="342"/>
      <c r="AR5" s="342"/>
      <c r="AS5" s="342"/>
      <c r="AT5" s="342"/>
      <c r="AU5" s="342"/>
      <c r="AV5" s="342"/>
      <c r="AW5" s="342"/>
      <c r="AX5" s="342"/>
      <c r="AY5" s="342"/>
      <c r="AZ5" s="342"/>
      <c r="BA5" s="342"/>
      <c r="BB5" s="342"/>
      <c r="BC5" s="342"/>
      <c r="BD5" s="342"/>
      <c r="BE5" s="342"/>
      <c r="BF5" s="342"/>
      <c r="BG5" s="342"/>
      <c r="BH5" s="342"/>
      <c r="BI5" s="342"/>
      <c r="BJ5" s="342"/>
      <c r="BK5" s="342"/>
      <c r="BL5" s="342"/>
      <c r="BM5" s="91"/>
    </row>
    <row r="6" spans="17:65" x14ac:dyDescent="0.3">
      <c r="Q6" s="90"/>
      <c r="R6" s="342"/>
      <c r="S6" s="342"/>
      <c r="T6" s="342"/>
      <c r="U6" s="342"/>
      <c r="V6" s="342"/>
      <c r="W6" s="342"/>
      <c r="X6" s="342"/>
      <c r="Y6" s="342"/>
      <c r="Z6" s="342"/>
      <c r="AA6" s="342"/>
      <c r="AB6" s="342"/>
      <c r="AC6" s="342"/>
      <c r="AD6" s="342"/>
      <c r="AE6" s="342"/>
      <c r="AF6" s="342"/>
      <c r="AG6" s="342"/>
      <c r="AH6" s="342"/>
      <c r="AI6" s="342"/>
      <c r="AJ6" s="342"/>
      <c r="AK6" s="342"/>
      <c r="AL6" s="342"/>
      <c r="AM6" s="342"/>
      <c r="AN6" s="342"/>
      <c r="AO6" s="342"/>
      <c r="AP6" s="342"/>
      <c r="AQ6" s="342"/>
      <c r="AR6" s="342"/>
      <c r="AS6" s="342"/>
      <c r="AT6" s="342"/>
      <c r="AU6" s="342"/>
      <c r="AV6" s="342"/>
      <c r="AW6" s="342"/>
      <c r="AX6" s="342"/>
      <c r="AY6" s="342"/>
      <c r="AZ6" s="342"/>
      <c r="BA6" s="342"/>
      <c r="BB6" s="342"/>
      <c r="BC6" s="342"/>
      <c r="BD6" s="342"/>
      <c r="BE6" s="342"/>
      <c r="BF6" s="342"/>
      <c r="BG6" s="342"/>
      <c r="BH6" s="342"/>
      <c r="BI6" s="342"/>
      <c r="BJ6" s="342"/>
      <c r="BK6" s="342"/>
      <c r="BL6" s="342"/>
      <c r="BM6" s="91"/>
    </row>
    <row r="7" spans="17:65" x14ac:dyDescent="0.3">
      <c r="Q7" s="90"/>
      <c r="R7" s="342"/>
      <c r="S7" s="342"/>
      <c r="T7" s="342"/>
      <c r="U7" s="342"/>
      <c r="V7" s="342"/>
      <c r="W7" s="342"/>
      <c r="X7" s="342"/>
      <c r="Y7" s="342"/>
      <c r="Z7" s="342"/>
      <c r="AA7" s="342"/>
      <c r="AB7" s="342"/>
      <c r="AC7" s="342"/>
      <c r="AD7" s="342"/>
      <c r="AE7" s="342"/>
      <c r="AF7" s="342"/>
      <c r="AG7" s="342"/>
      <c r="AH7" s="342"/>
      <c r="AI7" s="342"/>
      <c r="AJ7" s="342"/>
      <c r="AK7" s="342"/>
      <c r="AL7" s="342"/>
      <c r="AM7" s="342"/>
      <c r="AN7" s="342"/>
      <c r="AO7" s="342"/>
      <c r="AP7" s="342"/>
      <c r="AQ7" s="342"/>
      <c r="AR7" s="342"/>
      <c r="AS7" s="342"/>
      <c r="AT7" s="342"/>
      <c r="AU7" s="342"/>
      <c r="AV7" s="342"/>
      <c r="AW7" s="342"/>
      <c r="AX7" s="342"/>
      <c r="AY7" s="342"/>
      <c r="AZ7" s="342"/>
      <c r="BA7" s="342"/>
      <c r="BB7" s="342"/>
      <c r="BC7" s="342"/>
      <c r="BD7" s="342"/>
      <c r="BE7" s="342"/>
      <c r="BF7" s="342"/>
      <c r="BG7" s="342"/>
      <c r="BH7" s="342"/>
      <c r="BI7" s="342"/>
      <c r="BJ7" s="342"/>
      <c r="BK7" s="342"/>
      <c r="BL7" s="342"/>
      <c r="BM7" s="91"/>
    </row>
    <row r="8" spans="17:65" x14ac:dyDescent="0.3">
      <c r="Q8" s="90"/>
      <c r="R8" s="342"/>
      <c r="S8" s="342"/>
      <c r="T8" s="342"/>
      <c r="U8" s="342"/>
      <c r="V8" s="342"/>
      <c r="W8" s="342"/>
      <c r="X8" s="342"/>
      <c r="Y8" s="342"/>
      <c r="Z8" s="342"/>
      <c r="AA8" s="342"/>
      <c r="AB8" s="342"/>
      <c r="AC8" s="342"/>
      <c r="AD8" s="342"/>
      <c r="AE8" s="342"/>
      <c r="AF8" s="342"/>
      <c r="AG8" s="342"/>
      <c r="AH8" s="342"/>
      <c r="AI8" s="342"/>
      <c r="AJ8" s="342"/>
      <c r="AK8" s="342"/>
      <c r="AL8" s="342"/>
      <c r="AM8" s="342"/>
      <c r="AN8" s="342"/>
      <c r="AO8" s="342"/>
      <c r="AP8" s="342"/>
      <c r="AQ8" s="342"/>
      <c r="AR8" s="342"/>
      <c r="AS8" s="342"/>
      <c r="AT8" s="342"/>
      <c r="AU8" s="342"/>
      <c r="AV8" s="342"/>
      <c r="AW8" s="342"/>
      <c r="AX8" s="342"/>
      <c r="AY8" s="342"/>
      <c r="AZ8" s="342"/>
      <c r="BA8" s="342"/>
      <c r="BB8" s="342"/>
      <c r="BC8" s="342"/>
      <c r="BD8" s="342"/>
      <c r="BE8" s="342"/>
      <c r="BF8" s="342"/>
      <c r="BG8" s="342"/>
      <c r="BH8" s="342"/>
      <c r="BI8" s="342"/>
      <c r="BJ8" s="342"/>
      <c r="BK8" s="342"/>
      <c r="BL8" s="342"/>
      <c r="BM8" s="91"/>
    </row>
    <row r="9" spans="17:65" x14ac:dyDescent="0.3">
      <c r="Q9" s="90"/>
      <c r="R9" s="342"/>
      <c r="S9" s="342"/>
      <c r="T9" s="342"/>
      <c r="U9" s="342"/>
      <c r="V9" s="342"/>
      <c r="W9" s="342"/>
      <c r="X9" s="342"/>
      <c r="Y9" s="342"/>
      <c r="Z9" s="342"/>
      <c r="AA9" s="342"/>
      <c r="AB9" s="342"/>
      <c r="AC9" s="342"/>
      <c r="AD9" s="342"/>
      <c r="AE9" s="342"/>
      <c r="AF9" s="342"/>
      <c r="AG9" s="342"/>
      <c r="AH9" s="342"/>
      <c r="AI9" s="342"/>
      <c r="AJ9" s="342"/>
      <c r="AK9" s="342"/>
      <c r="AL9" s="342"/>
      <c r="AM9" s="342"/>
      <c r="AN9" s="342"/>
      <c r="AO9" s="342"/>
      <c r="AP9" s="342"/>
      <c r="AQ9" s="342"/>
      <c r="AR9" s="342"/>
      <c r="AS9" s="342"/>
      <c r="AT9" s="342"/>
      <c r="AU9" s="342"/>
      <c r="AV9" s="342"/>
      <c r="AW9" s="342"/>
      <c r="AX9" s="342"/>
      <c r="AY9" s="342"/>
      <c r="AZ9" s="342"/>
      <c r="BA9" s="342"/>
      <c r="BB9" s="342"/>
      <c r="BC9" s="342"/>
      <c r="BD9" s="342"/>
      <c r="BE9" s="342"/>
      <c r="BF9" s="342"/>
      <c r="BG9" s="342"/>
      <c r="BH9" s="342"/>
      <c r="BI9" s="342"/>
      <c r="BJ9" s="342"/>
      <c r="BK9" s="342"/>
      <c r="BL9" s="342"/>
      <c r="BM9" s="91"/>
    </row>
    <row r="10" spans="17:65" x14ac:dyDescent="0.3">
      <c r="Q10" s="90"/>
      <c r="R10" s="342"/>
      <c r="S10" s="342"/>
      <c r="T10" s="342"/>
      <c r="U10" s="342"/>
      <c r="V10" s="342"/>
      <c r="W10" s="342"/>
      <c r="X10" s="342"/>
      <c r="Y10" s="342"/>
      <c r="Z10" s="342"/>
      <c r="AA10" s="342"/>
      <c r="AB10" s="342"/>
      <c r="AC10" s="342"/>
      <c r="AD10" s="342"/>
      <c r="AE10" s="342"/>
      <c r="AF10" s="342"/>
      <c r="AG10" s="342"/>
      <c r="AH10" s="342"/>
      <c r="AI10" s="342"/>
      <c r="AJ10" s="342"/>
      <c r="AK10" s="342"/>
      <c r="AL10" s="342"/>
      <c r="AM10" s="342"/>
      <c r="AN10" s="342"/>
      <c r="AO10" s="342"/>
      <c r="AP10" s="342"/>
      <c r="AQ10" s="342"/>
      <c r="AR10" s="342"/>
      <c r="AS10" s="342"/>
      <c r="AT10" s="342"/>
      <c r="AU10" s="342"/>
      <c r="AV10" s="342"/>
      <c r="AW10" s="342"/>
      <c r="AX10" s="342"/>
      <c r="AY10" s="342"/>
      <c r="AZ10" s="342"/>
      <c r="BA10" s="342"/>
      <c r="BB10" s="342"/>
      <c r="BC10" s="342"/>
      <c r="BD10" s="342"/>
      <c r="BE10" s="342"/>
      <c r="BF10" s="342"/>
      <c r="BG10" s="342"/>
      <c r="BH10" s="342"/>
      <c r="BI10" s="342"/>
      <c r="BJ10" s="342"/>
      <c r="BK10" s="342"/>
      <c r="BL10" s="342"/>
      <c r="BM10" s="91"/>
    </row>
    <row r="11" spans="17:65" x14ac:dyDescent="0.3">
      <c r="Q11" s="90"/>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91"/>
    </row>
    <row r="12" spans="17:65" x14ac:dyDescent="0.3">
      <c r="Q12" s="90"/>
      <c r="R12" s="342"/>
      <c r="S12" s="342"/>
      <c r="T12" s="342"/>
      <c r="U12" s="342"/>
      <c r="V12" s="342"/>
      <c r="W12" s="342"/>
      <c r="X12" s="342"/>
      <c r="Y12" s="342"/>
      <c r="Z12" s="342"/>
      <c r="AA12" s="342"/>
      <c r="AB12" s="342"/>
      <c r="AC12" s="342"/>
      <c r="AD12" s="342"/>
      <c r="AE12" s="342"/>
      <c r="AF12" s="342"/>
      <c r="AG12" s="342"/>
      <c r="AH12" s="342"/>
      <c r="AI12" s="342"/>
      <c r="AJ12" s="342"/>
      <c r="AK12" s="342"/>
      <c r="AL12" s="342"/>
      <c r="AM12" s="342"/>
      <c r="AN12" s="342"/>
      <c r="AO12" s="342"/>
      <c r="AP12" s="342"/>
      <c r="AQ12" s="342"/>
      <c r="AR12" s="342"/>
      <c r="AS12" s="342"/>
      <c r="AT12" s="342"/>
      <c r="AU12" s="342"/>
      <c r="AV12" s="342"/>
      <c r="AW12" s="342"/>
      <c r="AX12" s="342"/>
      <c r="AY12" s="342"/>
      <c r="AZ12" s="342"/>
      <c r="BA12" s="342"/>
      <c r="BB12" s="342"/>
      <c r="BC12" s="342"/>
      <c r="BD12" s="342"/>
      <c r="BE12" s="342"/>
      <c r="BF12" s="342"/>
      <c r="BG12" s="342"/>
      <c r="BH12" s="342"/>
      <c r="BI12" s="342"/>
      <c r="BJ12" s="342"/>
      <c r="BK12" s="342"/>
      <c r="BL12" s="342"/>
      <c r="BM12" s="91"/>
    </row>
    <row r="13" spans="17:65" x14ac:dyDescent="0.3">
      <c r="Q13" s="90"/>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342"/>
      <c r="AZ13" s="342"/>
      <c r="BA13" s="342"/>
      <c r="BB13" s="342"/>
      <c r="BC13" s="342"/>
      <c r="BD13" s="342"/>
      <c r="BE13" s="342"/>
      <c r="BF13" s="342"/>
      <c r="BG13" s="342"/>
      <c r="BH13" s="342"/>
      <c r="BI13" s="342"/>
      <c r="BJ13" s="342"/>
      <c r="BK13" s="342"/>
      <c r="BL13" s="342"/>
      <c r="BM13" s="91"/>
    </row>
    <row r="14" spans="17:65" x14ac:dyDescent="0.3">
      <c r="Q14" s="90"/>
      <c r="R14" s="342"/>
      <c r="S14" s="342"/>
      <c r="T14" s="342"/>
      <c r="U14" s="342"/>
      <c r="V14" s="342"/>
      <c r="W14" s="342"/>
      <c r="X14" s="342"/>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2"/>
      <c r="AW14" s="342"/>
      <c r="AX14" s="342"/>
      <c r="AY14" s="342"/>
      <c r="AZ14" s="342"/>
      <c r="BA14" s="342"/>
      <c r="BB14" s="342"/>
      <c r="BC14" s="342"/>
      <c r="BD14" s="342"/>
      <c r="BE14" s="342"/>
      <c r="BF14" s="342"/>
      <c r="BG14" s="342"/>
      <c r="BH14" s="342"/>
      <c r="BI14" s="342"/>
      <c r="BJ14" s="342"/>
      <c r="BK14" s="342"/>
      <c r="BL14" s="342"/>
      <c r="BM14" s="91"/>
    </row>
    <row r="15" spans="17:65" x14ac:dyDescent="0.3">
      <c r="Q15" s="90"/>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2"/>
      <c r="AW15" s="342"/>
      <c r="AX15" s="342"/>
      <c r="AY15" s="342"/>
      <c r="AZ15" s="342"/>
      <c r="BA15" s="342"/>
      <c r="BB15" s="342"/>
      <c r="BC15" s="342"/>
      <c r="BD15" s="342"/>
      <c r="BE15" s="342"/>
      <c r="BF15" s="342"/>
      <c r="BG15" s="342"/>
      <c r="BH15" s="342"/>
      <c r="BI15" s="342"/>
      <c r="BJ15" s="342"/>
      <c r="BK15" s="342"/>
      <c r="BL15" s="342"/>
      <c r="BM15" s="91"/>
    </row>
    <row r="16" spans="17:65" x14ac:dyDescent="0.3">
      <c r="Q16" s="90"/>
      <c r="R16" s="342"/>
      <c r="S16" s="342"/>
      <c r="T16" s="342"/>
      <c r="U16" s="342"/>
      <c r="V16" s="342"/>
      <c r="W16" s="342"/>
      <c r="X16" s="342"/>
      <c r="Y16" s="342"/>
      <c r="Z16" s="342"/>
      <c r="AA16" s="342"/>
      <c r="AB16" s="342"/>
      <c r="AC16" s="342"/>
      <c r="AD16" s="342"/>
      <c r="AE16" s="342"/>
      <c r="AF16" s="342"/>
      <c r="AG16" s="342"/>
      <c r="AH16" s="342"/>
      <c r="AI16" s="342"/>
      <c r="AJ16" s="342"/>
      <c r="AK16" s="342"/>
      <c r="AL16" s="342"/>
      <c r="AM16" s="342"/>
      <c r="AN16" s="342"/>
      <c r="AO16" s="342"/>
      <c r="AP16" s="342"/>
      <c r="AQ16" s="342"/>
      <c r="AR16" s="342"/>
      <c r="AS16" s="342"/>
      <c r="AT16" s="342"/>
      <c r="AU16" s="342"/>
      <c r="AV16" s="342"/>
      <c r="AW16" s="342"/>
      <c r="AX16" s="342"/>
      <c r="AY16" s="342"/>
      <c r="AZ16" s="342"/>
      <c r="BA16" s="342"/>
      <c r="BB16" s="342"/>
      <c r="BC16" s="342"/>
      <c r="BD16" s="342"/>
      <c r="BE16" s="342"/>
      <c r="BF16" s="342"/>
      <c r="BG16" s="342"/>
      <c r="BH16" s="342"/>
      <c r="BI16" s="342"/>
      <c r="BJ16" s="342"/>
      <c r="BK16" s="342"/>
      <c r="BL16" s="342"/>
      <c r="BM16" s="91"/>
    </row>
    <row r="17" spans="17:65" x14ac:dyDescent="0.3">
      <c r="Q17" s="90"/>
      <c r="R17" s="342"/>
      <c r="S17" s="342"/>
      <c r="T17" s="342"/>
      <c r="U17" s="342"/>
      <c r="V17" s="342"/>
      <c r="W17" s="342"/>
      <c r="X17" s="342"/>
      <c r="Y17" s="342"/>
      <c r="Z17" s="342"/>
      <c r="AA17" s="342"/>
      <c r="AB17" s="342"/>
      <c r="AC17" s="342"/>
      <c r="AD17" s="342"/>
      <c r="AE17" s="342"/>
      <c r="AF17" s="342"/>
      <c r="AG17" s="342"/>
      <c r="AH17" s="342"/>
      <c r="AI17" s="342"/>
      <c r="AJ17" s="342"/>
      <c r="AK17" s="342"/>
      <c r="AL17" s="342"/>
      <c r="AM17" s="342"/>
      <c r="AN17" s="342"/>
      <c r="AO17" s="342"/>
      <c r="AP17" s="342"/>
      <c r="AQ17" s="342"/>
      <c r="AR17" s="342"/>
      <c r="AS17" s="342"/>
      <c r="AT17" s="342"/>
      <c r="AU17" s="342"/>
      <c r="AV17" s="342"/>
      <c r="AW17" s="342"/>
      <c r="AX17" s="342"/>
      <c r="AY17" s="342"/>
      <c r="AZ17" s="342"/>
      <c r="BA17" s="342"/>
      <c r="BB17" s="342"/>
      <c r="BC17" s="342"/>
      <c r="BD17" s="342"/>
      <c r="BE17" s="342"/>
      <c r="BF17" s="342"/>
      <c r="BG17" s="342"/>
      <c r="BH17" s="342"/>
      <c r="BI17" s="342"/>
      <c r="BJ17" s="342"/>
      <c r="BK17" s="342"/>
      <c r="BL17" s="342"/>
      <c r="BM17" s="91"/>
    </row>
    <row r="18" spans="17:65" x14ac:dyDescent="0.3">
      <c r="Q18" s="90"/>
      <c r="R18" s="342"/>
      <c r="S18" s="342"/>
      <c r="T18" s="342"/>
      <c r="U18" s="342"/>
      <c r="V18" s="342"/>
      <c r="W18" s="342"/>
      <c r="X18" s="342"/>
      <c r="Y18" s="342"/>
      <c r="Z18" s="342"/>
      <c r="AA18" s="342"/>
      <c r="AB18" s="342"/>
      <c r="AC18" s="342"/>
      <c r="AD18" s="342"/>
      <c r="AE18" s="342"/>
      <c r="AF18" s="342"/>
      <c r="AG18" s="342"/>
      <c r="AH18" s="342"/>
      <c r="AI18" s="342"/>
      <c r="AJ18" s="342"/>
      <c r="AK18" s="342"/>
      <c r="AL18" s="342"/>
      <c r="AM18" s="342"/>
      <c r="AN18" s="342"/>
      <c r="AO18" s="342"/>
      <c r="AP18" s="342"/>
      <c r="AQ18" s="342"/>
      <c r="AR18" s="342"/>
      <c r="AS18" s="342"/>
      <c r="AT18" s="342"/>
      <c r="AU18" s="342"/>
      <c r="AV18" s="342"/>
      <c r="AW18" s="342"/>
      <c r="AX18" s="342"/>
      <c r="AY18" s="342"/>
      <c r="AZ18" s="342"/>
      <c r="BA18" s="342"/>
      <c r="BB18" s="342"/>
      <c r="BC18" s="342"/>
      <c r="BD18" s="342"/>
      <c r="BE18" s="342"/>
      <c r="BF18" s="342"/>
      <c r="BG18" s="342"/>
      <c r="BH18" s="342"/>
      <c r="BI18" s="342"/>
      <c r="BJ18" s="342"/>
      <c r="BK18" s="342"/>
      <c r="BL18" s="342"/>
      <c r="BM18" s="91"/>
    </row>
    <row r="19" spans="17:65" x14ac:dyDescent="0.3">
      <c r="Q19" s="90"/>
      <c r="R19" s="342"/>
      <c r="S19" s="342"/>
      <c r="T19" s="342"/>
      <c r="U19" s="342"/>
      <c r="V19" s="342"/>
      <c r="W19" s="342"/>
      <c r="X19" s="342"/>
      <c r="Y19" s="342"/>
      <c r="Z19" s="342"/>
      <c r="AA19" s="342"/>
      <c r="AB19" s="342"/>
      <c r="AC19" s="342"/>
      <c r="AD19" s="342"/>
      <c r="AE19" s="342"/>
      <c r="AF19" s="342"/>
      <c r="AG19" s="342"/>
      <c r="AH19" s="342"/>
      <c r="AI19" s="342"/>
      <c r="AJ19" s="342"/>
      <c r="AK19" s="342"/>
      <c r="AL19" s="342"/>
      <c r="AM19" s="342"/>
      <c r="AN19" s="342"/>
      <c r="AO19" s="342"/>
      <c r="AP19" s="342"/>
      <c r="AQ19" s="342"/>
      <c r="AR19" s="342"/>
      <c r="AS19" s="342"/>
      <c r="AT19" s="342"/>
      <c r="AU19" s="342"/>
      <c r="AV19" s="342"/>
      <c r="AW19" s="342"/>
      <c r="AX19" s="342"/>
      <c r="AY19" s="342"/>
      <c r="AZ19" s="342"/>
      <c r="BA19" s="342"/>
      <c r="BB19" s="342"/>
      <c r="BC19" s="342"/>
      <c r="BD19" s="342"/>
      <c r="BE19" s="342"/>
      <c r="BF19" s="342"/>
      <c r="BG19" s="342"/>
      <c r="BH19" s="342"/>
      <c r="BI19" s="342"/>
      <c r="BJ19" s="342"/>
      <c r="BK19" s="342"/>
      <c r="BL19" s="342"/>
      <c r="BM19" s="91"/>
    </row>
    <row r="20" spans="17:65" x14ac:dyDescent="0.3">
      <c r="Q20" s="90"/>
      <c r="R20" s="342"/>
      <c r="S20" s="342"/>
      <c r="T20" s="342"/>
      <c r="U20" s="342"/>
      <c r="V20" s="342"/>
      <c r="W20" s="342"/>
      <c r="X20" s="342"/>
      <c r="Y20" s="342"/>
      <c r="Z20" s="342"/>
      <c r="AA20" s="342"/>
      <c r="AB20" s="342"/>
      <c r="AC20" s="342"/>
      <c r="AD20" s="342"/>
      <c r="AE20" s="342"/>
      <c r="AF20" s="342"/>
      <c r="AG20" s="342"/>
      <c r="AH20" s="342"/>
      <c r="AI20" s="342"/>
      <c r="AJ20" s="342"/>
      <c r="AK20" s="342"/>
      <c r="AL20" s="342"/>
      <c r="AM20" s="342"/>
      <c r="AN20" s="342"/>
      <c r="AO20" s="342"/>
      <c r="AP20" s="342"/>
      <c r="AQ20" s="342"/>
      <c r="AR20" s="342"/>
      <c r="AS20" s="342"/>
      <c r="AT20" s="342"/>
      <c r="AU20" s="342"/>
      <c r="AV20" s="342"/>
      <c r="AW20" s="342"/>
      <c r="AX20" s="342"/>
      <c r="AY20" s="342"/>
      <c r="AZ20" s="342"/>
      <c r="BA20" s="342"/>
      <c r="BB20" s="342"/>
      <c r="BC20" s="342"/>
      <c r="BD20" s="342"/>
      <c r="BE20" s="342"/>
      <c r="BF20" s="342"/>
      <c r="BG20" s="342"/>
      <c r="BH20" s="342"/>
      <c r="BI20" s="342"/>
      <c r="BJ20" s="342"/>
      <c r="BK20" s="342"/>
      <c r="BL20" s="342"/>
      <c r="BM20" s="91"/>
    </row>
    <row r="21" spans="17:65" x14ac:dyDescent="0.3">
      <c r="Q21" s="90"/>
      <c r="R21" s="342"/>
      <c r="S21" s="342"/>
      <c r="T21" s="342"/>
      <c r="U21" s="342"/>
      <c r="V21" s="342"/>
      <c r="W21" s="342"/>
      <c r="X21" s="342"/>
      <c r="Y21" s="342"/>
      <c r="Z21" s="342"/>
      <c r="AA21" s="342"/>
      <c r="AB21" s="342"/>
      <c r="AC21" s="342"/>
      <c r="AD21" s="342"/>
      <c r="AE21" s="342"/>
      <c r="AF21" s="342"/>
      <c r="AG21" s="342"/>
      <c r="AH21" s="342"/>
      <c r="AI21" s="342"/>
      <c r="AJ21" s="342"/>
      <c r="AK21" s="342"/>
      <c r="AL21" s="342"/>
      <c r="AM21" s="342"/>
      <c r="AN21" s="342"/>
      <c r="AO21" s="342"/>
      <c r="AP21" s="342"/>
      <c r="AQ21" s="342"/>
      <c r="AR21" s="342"/>
      <c r="AS21" s="342"/>
      <c r="AT21" s="342"/>
      <c r="AU21" s="342"/>
      <c r="AV21" s="342"/>
      <c r="AW21" s="342"/>
      <c r="AX21" s="342"/>
      <c r="AY21" s="342"/>
      <c r="AZ21" s="342"/>
      <c r="BA21" s="342"/>
      <c r="BB21" s="342"/>
      <c r="BC21" s="342"/>
      <c r="BD21" s="342"/>
      <c r="BE21" s="342"/>
      <c r="BF21" s="342"/>
      <c r="BG21" s="342"/>
      <c r="BH21" s="342"/>
      <c r="BI21" s="342"/>
      <c r="BJ21" s="342"/>
      <c r="BK21" s="342"/>
      <c r="BL21" s="342"/>
      <c r="BM21" s="91"/>
    </row>
    <row r="22" spans="17:65" x14ac:dyDescent="0.3">
      <c r="Q22" s="90"/>
      <c r="R22" s="342"/>
      <c r="S22" s="342"/>
      <c r="T22" s="342"/>
      <c r="U22" s="342"/>
      <c r="V22" s="342"/>
      <c r="W22" s="342"/>
      <c r="X22" s="342"/>
      <c r="Y22" s="342"/>
      <c r="Z22" s="342"/>
      <c r="AA22" s="342"/>
      <c r="AB22" s="342"/>
      <c r="AC22" s="342"/>
      <c r="AD22" s="342"/>
      <c r="AE22" s="342"/>
      <c r="AF22" s="342"/>
      <c r="AG22" s="342"/>
      <c r="AH22" s="342"/>
      <c r="AI22" s="342"/>
      <c r="AJ22" s="342"/>
      <c r="AK22" s="342"/>
      <c r="AL22" s="342"/>
      <c r="AM22" s="342"/>
      <c r="AN22" s="342"/>
      <c r="AO22" s="342"/>
      <c r="AP22" s="342"/>
      <c r="AQ22" s="342"/>
      <c r="AR22" s="342"/>
      <c r="AS22" s="342"/>
      <c r="AT22" s="342"/>
      <c r="AU22" s="342"/>
      <c r="AV22" s="342"/>
      <c r="AW22" s="342"/>
      <c r="AX22" s="342"/>
      <c r="AY22" s="342"/>
      <c r="AZ22" s="342"/>
      <c r="BA22" s="342"/>
      <c r="BB22" s="342"/>
      <c r="BC22" s="342"/>
      <c r="BD22" s="342"/>
      <c r="BE22" s="342"/>
      <c r="BF22" s="342"/>
      <c r="BG22" s="342"/>
      <c r="BH22" s="342"/>
      <c r="BI22" s="342"/>
      <c r="BJ22" s="342"/>
      <c r="BK22" s="342"/>
      <c r="BL22" s="342"/>
      <c r="BM22" s="91"/>
    </row>
    <row r="23" spans="17:65" x14ac:dyDescent="0.3">
      <c r="Q23" s="90"/>
      <c r="R23" s="342"/>
      <c r="S23" s="342"/>
      <c r="T23" s="342"/>
      <c r="U23" s="342"/>
      <c r="V23" s="342"/>
      <c r="W23" s="342"/>
      <c r="X23" s="342"/>
      <c r="Y23" s="342"/>
      <c r="Z23" s="342"/>
      <c r="AA23" s="342"/>
      <c r="AB23" s="342"/>
      <c r="AC23" s="342"/>
      <c r="AD23" s="342"/>
      <c r="AE23" s="342"/>
      <c r="AF23" s="342"/>
      <c r="AG23" s="342"/>
      <c r="AH23" s="342"/>
      <c r="AI23" s="342"/>
      <c r="AJ23" s="342"/>
      <c r="AK23" s="342"/>
      <c r="AL23" s="342"/>
      <c r="AM23" s="342"/>
      <c r="AN23" s="342"/>
      <c r="AO23" s="342"/>
      <c r="AP23" s="342"/>
      <c r="AQ23" s="342"/>
      <c r="AR23" s="342"/>
      <c r="AS23" s="342"/>
      <c r="AT23" s="342"/>
      <c r="AU23" s="342"/>
      <c r="AV23" s="342"/>
      <c r="AW23" s="342"/>
      <c r="AX23" s="342"/>
      <c r="AY23" s="342"/>
      <c r="AZ23" s="342"/>
      <c r="BA23" s="342"/>
      <c r="BB23" s="342"/>
      <c r="BC23" s="342"/>
      <c r="BD23" s="342"/>
      <c r="BE23" s="342"/>
      <c r="BF23" s="342"/>
      <c r="BG23" s="342"/>
      <c r="BH23" s="342"/>
      <c r="BI23" s="342"/>
      <c r="BJ23" s="342"/>
      <c r="BK23" s="342"/>
      <c r="BL23" s="342"/>
      <c r="BM23" s="91"/>
    </row>
    <row r="24" spans="17:65" x14ac:dyDescent="0.3">
      <c r="Q24" s="90"/>
      <c r="R24" s="342"/>
      <c r="S24" s="342"/>
      <c r="T24" s="342"/>
      <c r="U24" s="342"/>
      <c r="V24" s="342"/>
      <c r="W24" s="342"/>
      <c r="X24" s="342"/>
      <c r="Y24" s="342"/>
      <c r="Z24" s="342"/>
      <c r="AA24" s="342"/>
      <c r="AB24" s="342"/>
      <c r="AC24" s="342"/>
      <c r="AD24" s="342"/>
      <c r="AE24" s="342"/>
      <c r="AF24" s="342"/>
      <c r="AG24" s="342"/>
      <c r="AH24" s="342"/>
      <c r="AI24" s="342"/>
      <c r="AJ24" s="342"/>
      <c r="AK24" s="342"/>
      <c r="AL24" s="342"/>
      <c r="AM24" s="342"/>
      <c r="AN24" s="342"/>
      <c r="AO24" s="342"/>
      <c r="AP24" s="342"/>
      <c r="AQ24" s="342"/>
      <c r="AR24" s="342"/>
      <c r="AS24" s="342"/>
      <c r="AT24" s="342"/>
      <c r="AU24" s="342"/>
      <c r="AV24" s="342"/>
      <c r="AW24" s="342"/>
      <c r="AX24" s="342"/>
      <c r="AY24" s="342"/>
      <c r="AZ24" s="342"/>
      <c r="BA24" s="342"/>
      <c r="BB24" s="342"/>
      <c r="BC24" s="342"/>
      <c r="BD24" s="342"/>
      <c r="BE24" s="342"/>
      <c r="BF24" s="342"/>
      <c r="BG24" s="342"/>
      <c r="BH24" s="342"/>
      <c r="BI24" s="342"/>
      <c r="BJ24" s="342"/>
      <c r="BK24" s="342"/>
      <c r="BL24" s="342"/>
      <c r="BM24" s="91"/>
    </row>
    <row r="25" spans="17:65" x14ac:dyDescent="0.3">
      <c r="Q25" s="90"/>
      <c r="R25" s="342"/>
      <c r="S25" s="342"/>
      <c r="T25" s="342"/>
      <c r="U25" s="342"/>
      <c r="V25" s="342"/>
      <c r="W25" s="342"/>
      <c r="X25" s="342"/>
      <c r="Y25" s="342"/>
      <c r="Z25" s="342"/>
      <c r="AA25" s="342"/>
      <c r="AB25" s="342"/>
      <c r="AC25" s="342"/>
      <c r="AD25" s="342"/>
      <c r="AE25" s="342"/>
      <c r="AF25" s="342"/>
      <c r="AG25" s="342"/>
      <c r="AH25" s="342"/>
      <c r="AI25" s="342"/>
      <c r="AJ25" s="342"/>
      <c r="AK25" s="342"/>
      <c r="AL25" s="342"/>
      <c r="AM25" s="342"/>
      <c r="AN25" s="342"/>
      <c r="AO25" s="342"/>
      <c r="AP25" s="342"/>
      <c r="AQ25" s="342"/>
      <c r="AR25" s="342"/>
      <c r="AS25" s="342"/>
      <c r="AT25" s="342"/>
      <c r="AU25" s="342"/>
      <c r="AV25" s="342"/>
      <c r="AW25" s="342"/>
      <c r="AX25" s="342"/>
      <c r="AY25" s="342"/>
      <c r="AZ25" s="342"/>
      <c r="BA25" s="342"/>
      <c r="BB25" s="342"/>
      <c r="BC25" s="342"/>
      <c r="BD25" s="342"/>
      <c r="BE25" s="342"/>
      <c r="BF25" s="342"/>
      <c r="BG25" s="342"/>
      <c r="BH25" s="342"/>
      <c r="BI25" s="342"/>
      <c r="BJ25" s="342"/>
      <c r="BK25" s="342"/>
      <c r="BL25" s="342"/>
      <c r="BM25" s="91"/>
    </row>
    <row r="26" spans="17:65" x14ac:dyDescent="0.3">
      <c r="Q26" s="90"/>
      <c r="R26" s="342"/>
      <c r="S26" s="342"/>
      <c r="T26" s="342"/>
      <c r="U26" s="342"/>
      <c r="V26" s="342"/>
      <c r="W26" s="342"/>
      <c r="X26" s="342"/>
      <c r="Y26" s="342"/>
      <c r="Z26" s="342"/>
      <c r="AA26" s="342"/>
      <c r="AB26" s="342"/>
      <c r="AC26" s="342"/>
      <c r="AD26" s="342"/>
      <c r="AE26" s="342"/>
      <c r="AF26" s="342"/>
      <c r="AG26" s="342"/>
      <c r="AH26" s="342"/>
      <c r="AI26" s="342"/>
      <c r="AJ26" s="342"/>
      <c r="AK26" s="342"/>
      <c r="AL26" s="342"/>
      <c r="AM26" s="342"/>
      <c r="AN26" s="342"/>
      <c r="AO26" s="342"/>
      <c r="AP26" s="342"/>
      <c r="AQ26" s="342"/>
      <c r="AR26" s="342"/>
      <c r="AS26" s="342"/>
      <c r="AT26" s="342"/>
      <c r="AU26" s="342"/>
      <c r="AV26" s="342"/>
      <c r="AW26" s="342"/>
      <c r="AX26" s="342"/>
      <c r="AY26" s="342"/>
      <c r="AZ26" s="342"/>
      <c r="BA26" s="342"/>
      <c r="BB26" s="342"/>
      <c r="BC26" s="342"/>
      <c r="BD26" s="342"/>
      <c r="BE26" s="342"/>
      <c r="BF26" s="342"/>
      <c r="BG26" s="342"/>
      <c r="BH26" s="342"/>
      <c r="BI26" s="342"/>
      <c r="BJ26" s="342"/>
      <c r="BK26" s="342"/>
      <c r="BL26" s="342"/>
      <c r="BM26" s="91"/>
    </row>
    <row r="27" spans="17:65" x14ac:dyDescent="0.3">
      <c r="Q27" s="90"/>
      <c r="R27" s="342"/>
      <c r="S27" s="342"/>
      <c r="T27" s="342"/>
      <c r="U27" s="342"/>
      <c r="V27" s="342"/>
      <c r="W27" s="342"/>
      <c r="X27" s="342"/>
      <c r="Y27" s="342"/>
      <c r="Z27" s="342"/>
      <c r="AA27" s="342"/>
      <c r="AB27" s="342"/>
      <c r="AC27" s="342"/>
      <c r="AD27" s="342"/>
      <c r="AE27" s="342"/>
      <c r="AF27" s="342"/>
      <c r="AG27" s="342"/>
      <c r="AH27" s="342"/>
      <c r="AI27" s="342"/>
      <c r="AJ27" s="342"/>
      <c r="AK27" s="342"/>
      <c r="AL27" s="342"/>
      <c r="AM27" s="342"/>
      <c r="AN27" s="342"/>
      <c r="AO27" s="342"/>
      <c r="AP27" s="342"/>
      <c r="AQ27" s="342"/>
      <c r="AR27" s="342"/>
      <c r="AS27" s="342"/>
      <c r="AT27" s="342"/>
      <c r="AU27" s="342"/>
      <c r="AV27" s="342"/>
      <c r="AW27" s="342"/>
      <c r="AX27" s="342"/>
      <c r="AY27" s="342"/>
      <c r="AZ27" s="342"/>
      <c r="BA27" s="342"/>
      <c r="BB27" s="342"/>
      <c r="BC27" s="342"/>
      <c r="BD27" s="342"/>
      <c r="BE27" s="342"/>
      <c r="BF27" s="342"/>
      <c r="BG27" s="342"/>
      <c r="BH27" s="342"/>
      <c r="BI27" s="342"/>
      <c r="BJ27" s="342"/>
      <c r="BK27" s="342"/>
      <c r="BL27" s="342"/>
      <c r="BM27" s="91"/>
    </row>
    <row r="28" spans="17:65" x14ac:dyDescent="0.3">
      <c r="Q28" s="90"/>
      <c r="R28" s="342"/>
      <c r="S28" s="342"/>
      <c r="T28" s="342"/>
      <c r="U28" s="342"/>
      <c r="V28" s="342"/>
      <c r="W28" s="342"/>
      <c r="X28" s="342"/>
      <c r="Y28" s="342"/>
      <c r="Z28" s="342"/>
      <c r="AA28" s="342"/>
      <c r="AB28" s="342"/>
      <c r="AC28" s="342"/>
      <c r="AD28" s="342"/>
      <c r="AE28" s="342"/>
      <c r="AF28" s="342"/>
      <c r="AG28" s="342"/>
      <c r="AH28" s="342"/>
      <c r="AI28" s="342"/>
      <c r="AJ28" s="342"/>
      <c r="AK28" s="342"/>
      <c r="AL28" s="342"/>
      <c r="AM28" s="342"/>
      <c r="AN28" s="342"/>
      <c r="AO28" s="342"/>
      <c r="AP28" s="342"/>
      <c r="AQ28" s="342"/>
      <c r="AR28" s="342"/>
      <c r="AS28" s="342"/>
      <c r="AT28" s="342"/>
      <c r="AU28" s="342"/>
      <c r="AV28" s="342"/>
      <c r="AW28" s="342"/>
      <c r="AX28" s="342"/>
      <c r="AY28" s="342"/>
      <c r="AZ28" s="342"/>
      <c r="BA28" s="342"/>
      <c r="BB28" s="342"/>
      <c r="BC28" s="342"/>
      <c r="BD28" s="342"/>
      <c r="BE28" s="342"/>
      <c r="BF28" s="342"/>
      <c r="BG28" s="342"/>
      <c r="BH28" s="342"/>
      <c r="BI28" s="342"/>
      <c r="BJ28" s="342"/>
      <c r="BK28" s="342"/>
      <c r="BL28" s="342"/>
      <c r="BM28" s="91"/>
    </row>
    <row r="29" spans="17:65" x14ac:dyDescent="0.3">
      <c r="Q29" s="90"/>
      <c r="R29" s="342"/>
      <c r="S29" s="342"/>
      <c r="T29" s="342"/>
      <c r="U29" s="342"/>
      <c r="V29" s="342"/>
      <c r="W29" s="342"/>
      <c r="X29" s="342"/>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2"/>
      <c r="BB29" s="342"/>
      <c r="BC29" s="342"/>
      <c r="BD29" s="342"/>
      <c r="BE29" s="342"/>
      <c r="BF29" s="342"/>
      <c r="BG29" s="342"/>
      <c r="BH29" s="342"/>
      <c r="BI29" s="342"/>
      <c r="BJ29" s="342"/>
      <c r="BK29" s="342"/>
      <c r="BL29" s="342"/>
      <c r="BM29" s="91"/>
    </row>
    <row r="30" spans="17:65" x14ac:dyDescent="0.3">
      <c r="Q30" s="90"/>
      <c r="R30" s="342"/>
      <c r="S30" s="342"/>
      <c r="T30" s="342"/>
      <c r="U30" s="342"/>
      <c r="V30" s="342"/>
      <c r="W30" s="342"/>
      <c r="X30" s="342"/>
      <c r="Y30" s="342"/>
      <c r="Z30" s="342"/>
      <c r="AA30" s="342"/>
      <c r="AB30" s="342"/>
      <c r="AC30" s="342"/>
      <c r="AD30" s="342"/>
      <c r="AE30" s="342"/>
      <c r="AF30" s="342"/>
      <c r="AG30" s="342"/>
      <c r="AH30" s="342"/>
      <c r="AI30" s="342"/>
      <c r="AJ30" s="342"/>
      <c r="AK30" s="342"/>
      <c r="AL30" s="342"/>
      <c r="AM30" s="342"/>
      <c r="AN30" s="342"/>
      <c r="AO30" s="342"/>
      <c r="AP30" s="342"/>
      <c r="AQ30" s="342"/>
      <c r="AR30" s="342"/>
      <c r="AS30" s="342"/>
      <c r="AT30" s="342"/>
      <c r="AU30" s="342"/>
      <c r="AV30" s="342"/>
      <c r="AW30" s="342"/>
      <c r="AX30" s="342"/>
      <c r="AY30" s="342"/>
      <c r="AZ30" s="342"/>
      <c r="BA30" s="342"/>
      <c r="BB30" s="342"/>
      <c r="BC30" s="342"/>
      <c r="BD30" s="342"/>
      <c r="BE30" s="342"/>
      <c r="BF30" s="342"/>
      <c r="BG30" s="342"/>
      <c r="BH30" s="342"/>
      <c r="BI30" s="342"/>
      <c r="BJ30" s="342"/>
      <c r="BK30" s="342"/>
      <c r="BL30" s="342"/>
      <c r="BM30" s="91"/>
    </row>
    <row r="31" spans="17:65" x14ac:dyDescent="0.3">
      <c r="Q31" s="90"/>
      <c r="R31" s="342"/>
      <c r="S31" s="342"/>
      <c r="T31" s="342"/>
      <c r="U31" s="342"/>
      <c r="V31" s="342"/>
      <c r="W31" s="342"/>
      <c r="X31" s="342"/>
      <c r="Y31" s="342"/>
      <c r="Z31" s="342"/>
      <c r="AA31" s="342"/>
      <c r="AB31" s="342"/>
      <c r="AC31" s="342"/>
      <c r="AD31" s="342"/>
      <c r="AE31" s="342"/>
      <c r="AF31" s="342"/>
      <c r="AG31" s="342"/>
      <c r="AH31" s="342"/>
      <c r="AI31" s="342"/>
      <c r="AJ31" s="342"/>
      <c r="AK31" s="342"/>
      <c r="AL31" s="342"/>
      <c r="AM31" s="342"/>
      <c r="AN31" s="342"/>
      <c r="AO31" s="342"/>
      <c r="AP31" s="342"/>
      <c r="AQ31" s="342"/>
      <c r="AR31" s="342"/>
      <c r="AS31" s="342"/>
      <c r="AT31" s="342"/>
      <c r="AU31" s="342"/>
      <c r="AV31" s="342"/>
      <c r="AW31" s="342"/>
      <c r="AX31" s="342"/>
      <c r="AY31" s="342"/>
      <c r="AZ31" s="342"/>
      <c r="BA31" s="342"/>
      <c r="BB31" s="342"/>
      <c r="BC31" s="342"/>
      <c r="BD31" s="342"/>
      <c r="BE31" s="342"/>
      <c r="BF31" s="342"/>
      <c r="BG31" s="342"/>
      <c r="BH31" s="342"/>
      <c r="BI31" s="342"/>
      <c r="BJ31" s="342"/>
      <c r="BK31" s="342"/>
      <c r="BL31" s="342"/>
      <c r="BM31" s="91"/>
    </row>
    <row r="32" spans="17:65" x14ac:dyDescent="0.3">
      <c r="Q32" s="90"/>
      <c r="R32" s="342"/>
      <c r="S32" s="342"/>
      <c r="T32" s="342"/>
      <c r="U32" s="342"/>
      <c r="V32" s="342"/>
      <c r="W32" s="342"/>
      <c r="X32" s="342"/>
      <c r="Y32" s="342"/>
      <c r="Z32" s="342"/>
      <c r="AA32" s="342"/>
      <c r="AB32" s="342"/>
      <c r="AC32" s="342"/>
      <c r="AD32" s="342"/>
      <c r="AE32" s="342"/>
      <c r="AF32" s="342"/>
      <c r="AG32" s="342"/>
      <c r="AH32" s="342"/>
      <c r="AI32" s="342"/>
      <c r="AJ32" s="342"/>
      <c r="AK32" s="342"/>
      <c r="AL32" s="342"/>
      <c r="AM32" s="342"/>
      <c r="AN32" s="342"/>
      <c r="AO32" s="342"/>
      <c r="AP32" s="342"/>
      <c r="AQ32" s="342"/>
      <c r="AR32" s="342"/>
      <c r="AS32" s="342"/>
      <c r="AT32" s="342"/>
      <c r="AU32" s="342"/>
      <c r="AV32" s="342"/>
      <c r="AW32" s="342"/>
      <c r="AX32" s="342"/>
      <c r="AY32" s="342"/>
      <c r="AZ32" s="342"/>
      <c r="BA32" s="342"/>
      <c r="BB32" s="342"/>
      <c r="BC32" s="342"/>
      <c r="BD32" s="342"/>
      <c r="BE32" s="342"/>
      <c r="BF32" s="342"/>
      <c r="BG32" s="342"/>
      <c r="BH32" s="342"/>
      <c r="BI32" s="342"/>
      <c r="BJ32" s="342"/>
      <c r="BK32" s="342"/>
      <c r="BL32" s="342"/>
      <c r="BM32" s="91"/>
    </row>
    <row r="33" spans="17:65" x14ac:dyDescent="0.3">
      <c r="Q33" s="90"/>
      <c r="R33" s="342"/>
      <c r="S33" s="342"/>
      <c r="T33" s="342"/>
      <c r="U33" s="342"/>
      <c r="V33" s="342"/>
      <c r="W33" s="342"/>
      <c r="X33" s="342"/>
      <c r="Y33" s="342"/>
      <c r="Z33" s="342"/>
      <c r="AA33" s="342"/>
      <c r="AB33" s="342"/>
      <c r="AC33" s="342"/>
      <c r="AD33" s="342"/>
      <c r="AE33" s="342"/>
      <c r="AF33" s="342"/>
      <c r="AG33" s="342"/>
      <c r="AH33" s="342"/>
      <c r="AI33" s="342"/>
      <c r="AJ33" s="342"/>
      <c r="AK33" s="342"/>
      <c r="AL33" s="342"/>
      <c r="AM33" s="342"/>
      <c r="AN33" s="342"/>
      <c r="AO33" s="342"/>
      <c r="AP33" s="342"/>
      <c r="AQ33" s="342"/>
      <c r="AR33" s="342"/>
      <c r="AS33" s="342"/>
      <c r="AT33" s="342"/>
      <c r="AU33" s="342"/>
      <c r="AV33" s="342"/>
      <c r="AW33" s="342"/>
      <c r="AX33" s="342"/>
      <c r="AY33" s="342"/>
      <c r="AZ33" s="342"/>
      <c r="BA33" s="342"/>
      <c r="BB33" s="342"/>
      <c r="BC33" s="342"/>
      <c r="BD33" s="342"/>
      <c r="BE33" s="342"/>
      <c r="BF33" s="342"/>
      <c r="BG33" s="342"/>
      <c r="BH33" s="342"/>
      <c r="BI33" s="342"/>
      <c r="BJ33" s="342"/>
      <c r="BK33" s="342"/>
      <c r="BL33" s="342"/>
      <c r="BM33" s="91"/>
    </row>
    <row r="34" spans="17:65" x14ac:dyDescent="0.3">
      <c r="Q34" s="90"/>
      <c r="R34" s="342"/>
      <c r="S34" s="342"/>
      <c r="T34" s="342"/>
      <c r="U34" s="342"/>
      <c r="V34" s="342"/>
      <c r="W34" s="342"/>
      <c r="X34" s="342"/>
      <c r="Y34" s="342"/>
      <c r="Z34" s="342"/>
      <c r="AA34" s="342"/>
      <c r="AB34" s="342"/>
      <c r="AC34" s="342"/>
      <c r="AD34" s="342"/>
      <c r="AE34" s="342"/>
      <c r="AF34" s="342"/>
      <c r="AG34" s="342"/>
      <c r="AH34" s="342"/>
      <c r="AI34" s="342"/>
      <c r="AJ34" s="342"/>
      <c r="AK34" s="342"/>
      <c r="AL34" s="342"/>
      <c r="AM34" s="342"/>
      <c r="AN34" s="342"/>
      <c r="AO34" s="342"/>
      <c r="AP34" s="342"/>
      <c r="AQ34" s="342"/>
      <c r="AR34" s="342"/>
      <c r="AS34" s="342"/>
      <c r="AT34" s="342"/>
      <c r="AU34" s="342"/>
      <c r="AV34" s="342"/>
      <c r="AW34" s="342"/>
      <c r="AX34" s="342"/>
      <c r="AY34" s="342"/>
      <c r="AZ34" s="342"/>
      <c r="BA34" s="342"/>
      <c r="BB34" s="342"/>
      <c r="BC34" s="342"/>
      <c r="BD34" s="342"/>
      <c r="BE34" s="342"/>
      <c r="BF34" s="342"/>
      <c r="BG34" s="342"/>
      <c r="BH34" s="342"/>
      <c r="BI34" s="342"/>
      <c r="BJ34" s="342"/>
      <c r="BK34" s="342"/>
      <c r="BL34" s="342"/>
      <c r="BM34" s="91"/>
    </row>
    <row r="35" spans="17:65" x14ac:dyDescent="0.3">
      <c r="Q35" s="90"/>
      <c r="R35" s="342"/>
      <c r="S35" s="342"/>
      <c r="T35" s="342"/>
      <c r="U35" s="342"/>
      <c r="V35" s="342"/>
      <c r="W35" s="342"/>
      <c r="X35" s="342"/>
      <c r="Y35" s="342"/>
      <c r="Z35" s="342"/>
      <c r="AA35" s="342"/>
      <c r="AB35" s="342"/>
      <c r="AC35" s="342"/>
      <c r="AD35" s="342"/>
      <c r="AE35" s="342"/>
      <c r="AF35" s="342"/>
      <c r="AG35" s="342"/>
      <c r="AH35" s="342"/>
      <c r="AI35" s="342"/>
      <c r="AJ35" s="342"/>
      <c r="AK35" s="342"/>
      <c r="AL35" s="342"/>
      <c r="AM35" s="342"/>
      <c r="AN35" s="342"/>
      <c r="AO35" s="342"/>
      <c r="AP35" s="342"/>
      <c r="AQ35" s="342"/>
      <c r="AR35" s="342"/>
      <c r="AS35" s="342"/>
      <c r="AT35" s="342"/>
      <c r="AU35" s="342"/>
      <c r="AV35" s="342"/>
      <c r="AW35" s="342"/>
      <c r="AX35" s="342"/>
      <c r="AY35" s="342"/>
      <c r="AZ35" s="342"/>
      <c r="BA35" s="342"/>
      <c r="BB35" s="342"/>
      <c r="BC35" s="342"/>
      <c r="BD35" s="342"/>
      <c r="BE35" s="342"/>
      <c r="BF35" s="342"/>
      <c r="BG35" s="342"/>
      <c r="BH35" s="342"/>
      <c r="BI35" s="342"/>
      <c r="BJ35" s="342"/>
      <c r="BK35" s="342"/>
      <c r="BL35" s="342"/>
      <c r="BM35" s="91"/>
    </row>
    <row r="36" spans="17:65" x14ac:dyDescent="0.3">
      <c r="Q36" s="90"/>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91"/>
    </row>
    <row r="37" spans="17:65" x14ac:dyDescent="0.3">
      <c r="Q37" s="90"/>
      <c r="R37" s="342"/>
      <c r="S37" s="342"/>
      <c r="T37" s="342"/>
      <c r="U37" s="342"/>
      <c r="V37" s="342"/>
      <c r="W37" s="342"/>
      <c r="X37" s="342"/>
      <c r="Y37" s="342"/>
      <c r="Z37" s="342"/>
      <c r="AA37" s="342"/>
      <c r="AB37" s="342"/>
      <c r="AC37" s="342"/>
      <c r="AD37" s="342"/>
      <c r="AE37" s="342"/>
      <c r="AF37" s="342"/>
      <c r="AG37" s="342"/>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2"/>
      <c r="BD37" s="342"/>
      <c r="BE37" s="342"/>
      <c r="BF37" s="342"/>
      <c r="BG37" s="342"/>
      <c r="BH37" s="342"/>
      <c r="BI37" s="342"/>
      <c r="BJ37" s="342"/>
      <c r="BK37" s="342"/>
      <c r="BL37" s="342"/>
      <c r="BM37" s="91"/>
    </row>
    <row r="38" spans="17:65" x14ac:dyDescent="0.3">
      <c r="Q38" s="90"/>
      <c r="R38" s="342"/>
      <c r="S38" s="342"/>
      <c r="T38" s="342"/>
      <c r="U38" s="342"/>
      <c r="V38" s="342"/>
      <c r="W38" s="342"/>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2"/>
      <c r="AT38" s="342"/>
      <c r="AU38" s="342"/>
      <c r="AV38" s="342"/>
      <c r="AW38" s="342"/>
      <c r="AX38" s="342"/>
      <c r="AY38" s="342"/>
      <c r="AZ38" s="342"/>
      <c r="BA38" s="342"/>
      <c r="BB38" s="342"/>
      <c r="BC38" s="342"/>
      <c r="BD38" s="342"/>
      <c r="BE38" s="342"/>
      <c r="BF38" s="342"/>
      <c r="BG38" s="342"/>
      <c r="BH38" s="342"/>
      <c r="BI38" s="342"/>
      <c r="BJ38" s="342"/>
      <c r="BK38" s="342"/>
      <c r="BL38" s="342"/>
      <c r="BM38" s="91"/>
    </row>
    <row r="39" spans="17:65" x14ac:dyDescent="0.3">
      <c r="Q39" s="90"/>
      <c r="R39" s="342"/>
      <c r="S39" s="342"/>
      <c r="T39" s="342"/>
      <c r="U39" s="342"/>
      <c r="V39" s="342"/>
      <c r="W39" s="342"/>
      <c r="X39" s="342"/>
      <c r="Y39" s="342"/>
      <c r="Z39" s="342"/>
      <c r="AA39" s="342"/>
      <c r="AB39" s="342"/>
      <c r="AC39" s="342"/>
      <c r="AD39" s="342"/>
      <c r="AE39" s="342"/>
      <c r="AF39" s="342"/>
      <c r="AG39" s="342"/>
      <c r="AH39" s="342"/>
      <c r="AI39" s="342"/>
      <c r="AJ39" s="342"/>
      <c r="AK39" s="342"/>
      <c r="AL39" s="342"/>
      <c r="AM39" s="342"/>
      <c r="AN39" s="342"/>
      <c r="AO39" s="342"/>
      <c r="AP39" s="342"/>
      <c r="AQ39" s="342"/>
      <c r="AR39" s="342"/>
      <c r="AS39" s="342"/>
      <c r="AT39" s="342"/>
      <c r="AU39" s="342"/>
      <c r="AV39" s="342"/>
      <c r="AW39" s="342"/>
      <c r="AX39" s="342"/>
      <c r="AY39" s="342"/>
      <c r="AZ39" s="342"/>
      <c r="BA39" s="342"/>
      <c r="BB39" s="342"/>
      <c r="BC39" s="342"/>
      <c r="BD39" s="342"/>
      <c r="BE39" s="342"/>
      <c r="BF39" s="342"/>
      <c r="BG39" s="342"/>
      <c r="BH39" s="342"/>
      <c r="BI39" s="342"/>
      <c r="BJ39" s="342"/>
      <c r="BK39" s="342"/>
      <c r="BL39" s="342"/>
      <c r="BM39" s="91"/>
    </row>
    <row r="40" spans="17:65" x14ac:dyDescent="0.3">
      <c r="Q40" s="90"/>
      <c r="R40" s="342"/>
      <c r="S40" s="342"/>
      <c r="T40" s="342"/>
      <c r="U40" s="342"/>
      <c r="V40" s="342"/>
      <c r="W40" s="342"/>
      <c r="X40" s="342"/>
      <c r="Y40" s="342"/>
      <c r="Z40" s="342"/>
      <c r="AA40" s="342"/>
      <c r="AB40" s="342"/>
      <c r="AC40" s="342"/>
      <c r="AD40" s="342"/>
      <c r="AE40" s="342"/>
      <c r="AF40" s="342"/>
      <c r="AG40" s="342"/>
      <c r="AH40" s="342"/>
      <c r="AI40" s="342"/>
      <c r="AJ40" s="342"/>
      <c r="AK40" s="342"/>
      <c r="AL40" s="342"/>
      <c r="AM40" s="342"/>
      <c r="AN40" s="342"/>
      <c r="AO40" s="342"/>
      <c r="AP40" s="342"/>
      <c r="AQ40" s="342"/>
      <c r="AR40" s="342"/>
      <c r="AS40" s="342"/>
      <c r="AT40" s="342"/>
      <c r="AU40" s="342"/>
      <c r="AV40" s="342"/>
      <c r="AW40" s="342"/>
      <c r="AX40" s="342"/>
      <c r="AY40" s="342"/>
      <c r="AZ40" s="342"/>
      <c r="BA40" s="342"/>
      <c r="BB40" s="342"/>
      <c r="BC40" s="342"/>
      <c r="BD40" s="342"/>
      <c r="BE40" s="342"/>
      <c r="BF40" s="342"/>
      <c r="BG40" s="342"/>
      <c r="BH40" s="342"/>
      <c r="BI40" s="342"/>
      <c r="BJ40" s="342"/>
      <c r="BK40" s="342"/>
      <c r="BL40" s="342"/>
      <c r="BM40" s="91"/>
    </row>
    <row r="41" spans="17:65" x14ac:dyDescent="0.3">
      <c r="Q41" s="90"/>
      <c r="R41" s="342"/>
      <c r="S41" s="342"/>
      <c r="T41" s="342"/>
      <c r="U41" s="342"/>
      <c r="V41" s="342"/>
      <c r="W41" s="342"/>
      <c r="X41" s="342"/>
      <c r="Y41" s="342"/>
      <c r="Z41" s="342"/>
      <c r="AA41" s="342"/>
      <c r="AB41" s="342"/>
      <c r="AC41" s="342"/>
      <c r="AD41" s="342"/>
      <c r="AE41" s="342"/>
      <c r="AF41" s="342"/>
      <c r="AG41" s="342"/>
      <c r="AH41" s="342"/>
      <c r="AI41" s="342"/>
      <c r="AJ41" s="342"/>
      <c r="AK41" s="342"/>
      <c r="AL41" s="342"/>
      <c r="AM41" s="342"/>
      <c r="AN41" s="342"/>
      <c r="AO41" s="342"/>
      <c r="AP41" s="342"/>
      <c r="AQ41" s="342"/>
      <c r="AR41" s="342"/>
      <c r="AS41" s="342"/>
      <c r="AT41" s="342"/>
      <c r="AU41" s="342"/>
      <c r="AV41" s="342"/>
      <c r="AW41" s="342"/>
      <c r="AX41" s="342"/>
      <c r="AY41" s="342"/>
      <c r="AZ41" s="342"/>
      <c r="BA41" s="342"/>
      <c r="BB41" s="342"/>
      <c r="BC41" s="342"/>
      <c r="BD41" s="342"/>
      <c r="BE41" s="342"/>
      <c r="BF41" s="342"/>
      <c r="BG41" s="342"/>
      <c r="BH41" s="342"/>
      <c r="BI41" s="342"/>
      <c r="BJ41" s="342"/>
      <c r="BK41" s="342"/>
      <c r="BL41" s="342"/>
      <c r="BM41" s="91"/>
    </row>
    <row r="42" spans="17:65" x14ac:dyDescent="0.3">
      <c r="Q42" s="90"/>
      <c r="R42" s="342"/>
      <c r="S42" s="342"/>
      <c r="T42" s="342"/>
      <c r="U42" s="342"/>
      <c r="V42" s="342"/>
      <c r="W42" s="342"/>
      <c r="X42" s="342"/>
      <c r="Y42" s="342"/>
      <c r="Z42" s="342"/>
      <c r="AA42" s="342"/>
      <c r="AB42" s="342"/>
      <c r="AC42" s="342"/>
      <c r="AD42" s="342"/>
      <c r="AE42" s="342"/>
      <c r="AF42" s="342"/>
      <c r="AG42" s="342"/>
      <c r="AH42" s="342"/>
      <c r="AI42" s="342"/>
      <c r="AJ42" s="342"/>
      <c r="AK42" s="342"/>
      <c r="AL42" s="342"/>
      <c r="AM42" s="342"/>
      <c r="AN42" s="342"/>
      <c r="AO42" s="342"/>
      <c r="AP42" s="342"/>
      <c r="AQ42" s="342"/>
      <c r="AR42" s="342"/>
      <c r="AS42" s="342"/>
      <c r="AT42" s="342"/>
      <c r="AU42" s="342"/>
      <c r="AV42" s="342"/>
      <c r="AW42" s="342"/>
      <c r="AX42" s="342"/>
      <c r="AY42" s="342"/>
      <c r="AZ42" s="342"/>
      <c r="BA42" s="342"/>
      <c r="BB42" s="342"/>
      <c r="BC42" s="342"/>
      <c r="BD42" s="342"/>
      <c r="BE42" s="342"/>
      <c r="BF42" s="342"/>
      <c r="BG42" s="342"/>
      <c r="BH42" s="342"/>
      <c r="BI42" s="342"/>
      <c r="BJ42" s="342"/>
      <c r="BK42" s="342"/>
      <c r="BL42" s="342"/>
      <c r="BM42" s="91"/>
    </row>
    <row r="43" spans="17:65" x14ac:dyDescent="0.3">
      <c r="Q43" s="90"/>
      <c r="R43" s="342"/>
      <c r="S43" s="342"/>
      <c r="T43" s="342"/>
      <c r="U43" s="342"/>
      <c r="V43" s="342"/>
      <c r="W43" s="342"/>
      <c r="X43" s="342"/>
      <c r="Y43" s="342"/>
      <c r="Z43" s="342"/>
      <c r="AA43" s="342"/>
      <c r="AB43" s="342"/>
      <c r="AC43" s="342"/>
      <c r="AD43" s="342"/>
      <c r="AE43" s="342"/>
      <c r="AF43" s="342"/>
      <c r="AG43" s="342"/>
      <c r="AH43" s="342"/>
      <c r="AI43" s="342"/>
      <c r="AJ43" s="342"/>
      <c r="AK43" s="342"/>
      <c r="AL43" s="342"/>
      <c r="AM43" s="342"/>
      <c r="AN43" s="342"/>
      <c r="AO43" s="342"/>
      <c r="AP43" s="342"/>
      <c r="AQ43" s="342"/>
      <c r="AR43" s="342"/>
      <c r="AS43" s="342"/>
      <c r="AT43" s="342"/>
      <c r="AU43" s="342"/>
      <c r="AV43" s="342"/>
      <c r="AW43" s="342"/>
      <c r="AX43" s="342"/>
      <c r="AY43" s="342"/>
      <c r="AZ43" s="342"/>
      <c r="BA43" s="342"/>
      <c r="BB43" s="342"/>
      <c r="BC43" s="342"/>
      <c r="BD43" s="342"/>
      <c r="BE43" s="342"/>
      <c r="BF43" s="342"/>
      <c r="BG43" s="342"/>
      <c r="BH43" s="342"/>
      <c r="BI43" s="342"/>
      <c r="BJ43" s="342"/>
      <c r="BK43" s="342"/>
      <c r="BL43" s="342"/>
      <c r="BM43" s="91"/>
    </row>
    <row r="44" spans="17:65" x14ac:dyDescent="0.3">
      <c r="Q44" s="90"/>
      <c r="R44" s="342"/>
      <c r="S44" s="342"/>
      <c r="T44" s="342"/>
      <c r="U44" s="342"/>
      <c r="V44" s="342"/>
      <c r="W44" s="342"/>
      <c r="X44" s="342"/>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2"/>
      <c r="BE44" s="342"/>
      <c r="BF44" s="342"/>
      <c r="BG44" s="342"/>
      <c r="BH44" s="342"/>
      <c r="BI44" s="342"/>
      <c r="BJ44" s="342"/>
      <c r="BK44" s="342"/>
      <c r="BL44" s="342"/>
      <c r="BM44" s="91"/>
    </row>
    <row r="45" spans="17:65" x14ac:dyDescent="0.3">
      <c r="Q45" s="90"/>
      <c r="R45" s="342"/>
      <c r="S45" s="342"/>
      <c r="T45" s="342"/>
      <c r="U45" s="342"/>
      <c r="V45" s="342"/>
      <c r="W45" s="342"/>
      <c r="X45" s="342"/>
      <c r="Y45" s="342"/>
      <c r="Z45" s="342"/>
      <c r="AA45" s="342"/>
      <c r="AB45" s="342"/>
      <c r="AC45" s="342"/>
      <c r="AD45" s="342"/>
      <c r="AE45" s="342"/>
      <c r="AF45" s="342"/>
      <c r="AG45" s="342"/>
      <c r="AH45" s="342"/>
      <c r="AI45" s="342"/>
      <c r="AJ45" s="342"/>
      <c r="AK45" s="342"/>
      <c r="AL45" s="342"/>
      <c r="AM45" s="342"/>
      <c r="AN45" s="342"/>
      <c r="AO45" s="342"/>
      <c r="AP45" s="342"/>
      <c r="AQ45" s="342"/>
      <c r="AR45" s="342"/>
      <c r="AS45" s="342"/>
      <c r="AT45" s="342"/>
      <c r="AU45" s="342"/>
      <c r="AV45" s="342"/>
      <c r="AW45" s="342"/>
      <c r="AX45" s="342"/>
      <c r="AY45" s="342"/>
      <c r="AZ45" s="342"/>
      <c r="BA45" s="342"/>
      <c r="BB45" s="342"/>
      <c r="BC45" s="342"/>
      <c r="BD45" s="342"/>
      <c r="BE45" s="342"/>
      <c r="BF45" s="342"/>
      <c r="BG45" s="342"/>
      <c r="BH45" s="342"/>
      <c r="BI45" s="342"/>
      <c r="BJ45" s="342"/>
      <c r="BK45" s="342"/>
      <c r="BL45" s="342"/>
      <c r="BM45" s="91"/>
    </row>
    <row r="46" spans="17:65" x14ac:dyDescent="0.3">
      <c r="Q46" s="90"/>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2"/>
      <c r="BK46" s="342"/>
      <c r="BL46" s="342"/>
      <c r="BM46" s="91"/>
    </row>
    <row r="47" spans="17:65" x14ac:dyDescent="0.3">
      <c r="Q47" s="90"/>
      <c r="R47" s="342"/>
      <c r="S47" s="342"/>
      <c r="T47" s="342"/>
      <c r="U47" s="342"/>
      <c r="V47" s="342"/>
      <c r="W47" s="342"/>
      <c r="X47" s="342"/>
      <c r="Y47" s="342"/>
      <c r="Z47" s="342"/>
      <c r="AA47" s="342"/>
      <c r="AB47" s="342"/>
      <c r="AC47" s="342"/>
      <c r="AD47" s="342"/>
      <c r="AE47" s="342"/>
      <c r="AF47" s="342"/>
      <c r="AG47" s="342"/>
      <c r="AH47" s="342"/>
      <c r="AI47" s="342"/>
      <c r="AJ47" s="342"/>
      <c r="AK47" s="342"/>
      <c r="AL47" s="342"/>
      <c r="AM47" s="342"/>
      <c r="AN47" s="342"/>
      <c r="AO47" s="342"/>
      <c r="AP47" s="342"/>
      <c r="AQ47" s="342"/>
      <c r="AR47" s="342"/>
      <c r="AS47" s="342"/>
      <c r="AT47" s="342"/>
      <c r="AU47" s="342"/>
      <c r="AV47" s="342"/>
      <c r="AW47" s="342"/>
      <c r="AX47" s="342"/>
      <c r="AY47" s="342"/>
      <c r="AZ47" s="342"/>
      <c r="BA47" s="342"/>
      <c r="BB47" s="342"/>
      <c r="BC47" s="342"/>
      <c r="BD47" s="342"/>
      <c r="BE47" s="342"/>
      <c r="BF47" s="342"/>
      <c r="BG47" s="342"/>
      <c r="BH47" s="342"/>
      <c r="BI47" s="342"/>
      <c r="BJ47" s="342"/>
      <c r="BK47" s="342"/>
      <c r="BL47" s="342"/>
      <c r="BM47" s="91"/>
    </row>
    <row r="48" spans="17:65" x14ac:dyDescent="0.3">
      <c r="Q48" s="90"/>
      <c r="R48" s="342"/>
      <c r="S48" s="342"/>
      <c r="T48" s="342"/>
      <c r="U48" s="342"/>
      <c r="V48" s="342"/>
      <c r="W48" s="342"/>
      <c r="X48" s="342"/>
      <c r="Y48" s="342"/>
      <c r="Z48" s="342"/>
      <c r="AA48" s="342"/>
      <c r="AB48" s="342"/>
      <c r="AC48" s="342"/>
      <c r="AD48" s="342"/>
      <c r="AE48" s="342"/>
      <c r="AF48" s="342"/>
      <c r="AG48" s="342"/>
      <c r="AH48" s="342"/>
      <c r="AI48" s="342"/>
      <c r="AJ48" s="342"/>
      <c r="AK48" s="342"/>
      <c r="AL48" s="342"/>
      <c r="AM48" s="342"/>
      <c r="AN48" s="342"/>
      <c r="AO48" s="342"/>
      <c r="AP48" s="342"/>
      <c r="AQ48" s="342"/>
      <c r="AR48" s="342"/>
      <c r="AS48" s="342"/>
      <c r="AT48" s="342"/>
      <c r="AU48" s="342"/>
      <c r="AV48" s="342"/>
      <c r="AW48" s="342"/>
      <c r="AX48" s="342"/>
      <c r="AY48" s="342"/>
      <c r="AZ48" s="342"/>
      <c r="BA48" s="342"/>
      <c r="BB48" s="342"/>
      <c r="BC48" s="342"/>
      <c r="BD48" s="342"/>
      <c r="BE48" s="342"/>
      <c r="BF48" s="342"/>
      <c r="BG48" s="342"/>
      <c r="BH48" s="342"/>
      <c r="BI48" s="342"/>
      <c r="BJ48" s="342"/>
      <c r="BK48" s="342"/>
      <c r="BL48" s="342"/>
      <c r="BM48" s="91"/>
    </row>
    <row r="49" spans="17:65" x14ac:dyDescent="0.3">
      <c r="Q49" s="90"/>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91"/>
    </row>
    <row r="50" spans="17:65" x14ac:dyDescent="0.3">
      <c r="Q50" s="90"/>
      <c r="R50" s="342"/>
      <c r="S50" s="342"/>
      <c r="T50" s="342"/>
      <c r="U50" s="342"/>
      <c r="V50" s="342"/>
      <c r="W50" s="342"/>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91"/>
    </row>
    <row r="51" spans="17:65" x14ac:dyDescent="0.3">
      <c r="Q51" s="90"/>
      <c r="R51" s="342"/>
      <c r="S51" s="342"/>
      <c r="T51" s="342"/>
      <c r="U51" s="342"/>
      <c r="V51" s="342"/>
      <c r="W51" s="342"/>
      <c r="X51" s="342"/>
      <c r="Y51" s="342"/>
      <c r="Z51" s="342"/>
      <c r="AA51" s="342"/>
      <c r="AB51" s="342"/>
      <c r="AC51" s="342"/>
      <c r="AD51" s="342"/>
      <c r="AE51" s="342"/>
      <c r="AF51" s="342"/>
      <c r="AG51" s="342"/>
      <c r="AH51" s="342"/>
      <c r="AI51" s="342"/>
      <c r="AJ51" s="342"/>
      <c r="AK51" s="342"/>
      <c r="AL51" s="342"/>
      <c r="AM51" s="342"/>
      <c r="AN51" s="342"/>
      <c r="AO51" s="342"/>
      <c r="AP51" s="342"/>
      <c r="AQ51" s="342"/>
      <c r="AR51" s="342"/>
      <c r="AS51" s="342"/>
      <c r="AT51" s="342"/>
      <c r="AU51" s="342"/>
      <c r="AV51" s="342"/>
      <c r="AW51" s="342"/>
      <c r="AX51" s="342"/>
      <c r="AY51" s="342"/>
      <c r="AZ51" s="342"/>
      <c r="BA51" s="342"/>
      <c r="BB51" s="342"/>
      <c r="BC51" s="342"/>
      <c r="BD51" s="342"/>
      <c r="BE51" s="342"/>
      <c r="BF51" s="342"/>
      <c r="BG51" s="342"/>
      <c r="BH51" s="342"/>
      <c r="BI51" s="342"/>
      <c r="BJ51" s="342"/>
      <c r="BK51" s="342"/>
      <c r="BL51" s="342"/>
      <c r="BM51" s="91"/>
    </row>
    <row r="52" spans="17:65" x14ac:dyDescent="0.3">
      <c r="Q52" s="90"/>
      <c r="R52" s="342"/>
      <c r="S52" s="342"/>
      <c r="T52" s="342"/>
      <c r="U52" s="342"/>
      <c r="V52" s="342"/>
      <c r="W52" s="342"/>
      <c r="X52" s="342"/>
      <c r="Y52" s="342"/>
      <c r="Z52" s="342"/>
      <c r="AA52" s="342"/>
      <c r="AB52" s="342"/>
      <c r="AC52" s="342"/>
      <c r="AD52" s="342"/>
      <c r="AE52" s="342"/>
      <c r="AF52" s="342"/>
      <c r="AG52" s="342"/>
      <c r="AH52" s="342"/>
      <c r="AI52" s="342"/>
      <c r="AJ52" s="342"/>
      <c r="AK52" s="342"/>
      <c r="AL52" s="342"/>
      <c r="AM52" s="342"/>
      <c r="AN52" s="342"/>
      <c r="AO52" s="342"/>
      <c r="AP52" s="342"/>
      <c r="AQ52" s="342"/>
      <c r="AR52" s="342"/>
      <c r="AS52" s="342"/>
      <c r="AT52" s="342"/>
      <c r="AU52" s="342"/>
      <c r="AV52" s="342"/>
      <c r="AW52" s="342"/>
      <c r="AX52" s="342"/>
      <c r="AY52" s="342"/>
      <c r="AZ52" s="342"/>
      <c r="BA52" s="342"/>
      <c r="BB52" s="342"/>
      <c r="BC52" s="342"/>
      <c r="BD52" s="342"/>
      <c r="BE52" s="342"/>
      <c r="BF52" s="342"/>
      <c r="BG52" s="342"/>
      <c r="BH52" s="342"/>
      <c r="BI52" s="342"/>
      <c r="BJ52" s="342"/>
      <c r="BK52" s="342"/>
      <c r="BL52" s="342"/>
      <c r="BM52" s="91"/>
    </row>
    <row r="53" spans="17:65" x14ac:dyDescent="0.3">
      <c r="Q53" s="90"/>
      <c r="R53" s="342"/>
      <c r="S53" s="342"/>
      <c r="T53" s="342"/>
      <c r="U53" s="342"/>
      <c r="V53" s="342"/>
      <c r="W53" s="342"/>
      <c r="X53" s="342"/>
      <c r="Y53" s="342"/>
      <c r="Z53" s="342"/>
      <c r="AA53" s="342"/>
      <c r="AB53" s="342"/>
      <c r="AC53" s="342"/>
      <c r="AD53" s="342"/>
      <c r="AE53" s="342"/>
      <c r="AF53" s="342"/>
      <c r="AG53" s="342"/>
      <c r="AH53" s="342"/>
      <c r="AI53" s="342"/>
      <c r="AJ53" s="342"/>
      <c r="AK53" s="342"/>
      <c r="AL53" s="342"/>
      <c r="AM53" s="342"/>
      <c r="AN53" s="342"/>
      <c r="AO53" s="342"/>
      <c r="AP53" s="342"/>
      <c r="AQ53" s="342"/>
      <c r="AR53" s="342"/>
      <c r="AS53" s="342"/>
      <c r="AT53" s="342"/>
      <c r="AU53" s="342"/>
      <c r="AV53" s="342"/>
      <c r="AW53" s="342"/>
      <c r="AX53" s="342"/>
      <c r="AY53" s="342"/>
      <c r="AZ53" s="342"/>
      <c r="BA53" s="342"/>
      <c r="BB53" s="342"/>
      <c r="BC53" s="342"/>
      <c r="BD53" s="342"/>
      <c r="BE53" s="342"/>
      <c r="BF53" s="342"/>
      <c r="BG53" s="342"/>
      <c r="BH53" s="342"/>
      <c r="BI53" s="342"/>
      <c r="BJ53" s="342"/>
      <c r="BK53" s="342"/>
      <c r="BL53" s="342"/>
      <c r="BM53" s="91"/>
    </row>
    <row r="54" spans="17:65" x14ac:dyDescent="0.3">
      <c r="Q54" s="90"/>
      <c r="R54" s="342"/>
      <c r="S54" s="342"/>
      <c r="T54" s="342"/>
      <c r="U54" s="342"/>
      <c r="V54" s="342"/>
      <c r="W54" s="342"/>
      <c r="X54" s="342"/>
      <c r="Y54" s="342"/>
      <c r="Z54" s="342"/>
      <c r="AA54" s="342"/>
      <c r="AB54" s="342"/>
      <c r="AC54" s="342"/>
      <c r="AD54" s="342"/>
      <c r="AE54" s="342"/>
      <c r="AF54" s="342"/>
      <c r="AG54" s="342"/>
      <c r="AH54" s="342"/>
      <c r="AI54" s="342"/>
      <c r="AJ54" s="342"/>
      <c r="AK54" s="342"/>
      <c r="AL54" s="342"/>
      <c r="AM54" s="342"/>
      <c r="AN54" s="342"/>
      <c r="AO54" s="342"/>
      <c r="AP54" s="342"/>
      <c r="AQ54" s="342"/>
      <c r="AR54" s="342"/>
      <c r="AS54" s="342"/>
      <c r="AT54" s="342"/>
      <c r="AU54" s="342"/>
      <c r="AV54" s="342"/>
      <c r="AW54" s="342"/>
      <c r="AX54" s="342"/>
      <c r="AY54" s="342"/>
      <c r="AZ54" s="342"/>
      <c r="BA54" s="342"/>
      <c r="BB54" s="342"/>
      <c r="BC54" s="342"/>
      <c r="BD54" s="342"/>
      <c r="BE54" s="342"/>
      <c r="BF54" s="342"/>
      <c r="BG54" s="342"/>
      <c r="BH54" s="342"/>
      <c r="BI54" s="342"/>
      <c r="BJ54" s="342"/>
      <c r="BK54" s="342"/>
      <c r="BL54" s="342"/>
      <c r="BM54" s="91"/>
    </row>
    <row r="55" spans="17:65" x14ac:dyDescent="0.3">
      <c r="Q55" s="90"/>
      <c r="R55" s="342"/>
      <c r="S55" s="342"/>
      <c r="T55" s="342"/>
      <c r="U55" s="342"/>
      <c r="V55" s="342"/>
      <c r="W55" s="342"/>
      <c r="X55" s="342"/>
      <c r="Y55" s="342"/>
      <c r="Z55" s="342"/>
      <c r="AA55" s="342"/>
      <c r="AB55" s="342"/>
      <c r="AC55" s="342"/>
      <c r="AD55" s="342"/>
      <c r="AE55" s="342"/>
      <c r="AF55" s="342"/>
      <c r="AG55" s="342"/>
      <c r="AH55" s="342"/>
      <c r="AI55" s="342"/>
      <c r="AJ55" s="342"/>
      <c r="AK55" s="342"/>
      <c r="AL55" s="342"/>
      <c r="AM55" s="342"/>
      <c r="AN55" s="342"/>
      <c r="AO55" s="342"/>
      <c r="AP55" s="342"/>
      <c r="AQ55" s="342"/>
      <c r="AR55" s="342"/>
      <c r="AS55" s="342"/>
      <c r="AT55" s="342"/>
      <c r="AU55" s="342"/>
      <c r="AV55" s="342"/>
      <c r="AW55" s="342"/>
      <c r="AX55" s="342"/>
      <c r="AY55" s="342"/>
      <c r="AZ55" s="342"/>
      <c r="BA55" s="342"/>
      <c r="BB55" s="342"/>
      <c r="BC55" s="342"/>
      <c r="BD55" s="342"/>
      <c r="BE55" s="342"/>
      <c r="BF55" s="342"/>
      <c r="BG55" s="342"/>
      <c r="BH55" s="342"/>
      <c r="BI55" s="342"/>
      <c r="BJ55" s="342"/>
      <c r="BK55" s="342"/>
      <c r="BL55" s="342"/>
      <c r="BM55" s="91"/>
    </row>
    <row r="56" spans="17:65" x14ac:dyDescent="0.3">
      <c r="Q56" s="90"/>
      <c r="R56" s="342"/>
      <c r="S56" s="342"/>
      <c r="T56" s="342"/>
      <c r="U56" s="342"/>
      <c r="V56" s="342"/>
      <c r="W56" s="342"/>
      <c r="X56" s="342"/>
      <c r="Y56" s="342"/>
      <c r="Z56" s="342"/>
      <c r="AA56" s="342"/>
      <c r="AB56" s="342"/>
      <c r="AC56" s="342"/>
      <c r="AD56" s="342"/>
      <c r="AE56" s="342"/>
      <c r="AF56" s="342"/>
      <c r="AG56" s="342"/>
      <c r="AH56" s="342"/>
      <c r="AI56" s="342"/>
      <c r="AJ56" s="342"/>
      <c r="AK56" s="342"/>
      <c r="AL56" s="342"/>
      <c r="AM56" s="342"/>
      <c r="AN56" s="342"/>
      <c r="AO56" s="342"/>
      <c r="AP56" s="342"/>
      <c r="AQ56" s="342"/>
      <c r="AR56" s="342"/>
      <c r="AS56" s="342"/>
      <c r="AT56" s="342"/>
      <c r="AU56" s="342"/>
      <c r="AV56" s="342"/>
      <c r="AW56" s="342"/>
      <c r="AX56" s="342"/>
      <c r="AY56" s="342"/>
      <c r="AZ56" s="342"/>
      <c r="BA56" s="342"/>
      <c r="BB56" s="342"/>
      <c r="BC56" s="342"/>
      <c r="BD56" s="342"/>
      <c r="BE56" s="342"/>
      <c r="BF56" s="342"/>
      <c r="BG56" s="342"/>
      <c r="BH56" s="342"/>
      <c r="BI56" s="342"/>
      <c r="BJ56" s="342"/>
      <c r="BK56" s="342"/>
      <c r="BL56" s="342"/>
      <c r="BM56" s="91"/>
    </row>
    <row r="57" spans="17:65" x14ac:dyDescent="0.3">
      <c r="Q57" s="90"/>
      <c r="R57" s="342"/>
      <c r="S57" s="342"/>
      <c r="T57" s="342"/>
      <c r="U57" s="342"/>
      <c r="V57" s="342"/>
      <c r="W57" s="342"/>
      <c r="X57" s="342"/>
      <c r="Y57" s="342"/>
      <c r="Z57" s="342"/>
      <c r="AA57" s="342"/>
      <c r="AB57" s="342"/>
      <c r="AC57" s="342"/>
      <c r="AD57" s="342"/>
      <c r="AE57" s="342"/>
      <c r="AF57" s="342"/>
      <c r="AG57" s="342"/>
      <c r="AH57" s="342"/>
      <c r="AI57" s="342"/>
      <c r="AJ57" s="342"/>
      <c r="AK57" s="342"/>
      <c r="AL57" s="342"/>
      <c r="AM57" s="342"/>
      <c r="AN57" s="342"/>
      <c r="AO57" s="342"/>
      <c r="AP57" s="342"/>
      <c r="AQ57" s="342"/>
      <c r="AR57" s="342"/>
      <c r="AS57" s="342"/>
      <c r="AT57" s="342"/>
      <c r="AU57" s="342"/>
      <c r="AV57" s="342"/>
      <c r="AW57" s="342"/>
      <c r="AX57" s="342"/>
      <c r="AY57" s="342"/>
      <c r="AZ57" s="342"/>
      <c r="BA57" s="342"/>
      <c r="BB57" s="342"/>
      <c r="BC57" s="342"/>
      <c r="BD57" s="342"/>
      <c r="BE57" s="342"/>
      <c r="BF57" s="342"/>
      <c r="BG57" s="342"/>
      <c r="BH57" s="342"/>
      <c r="BI57" s="342"/>
      <c r="BJ57" s="342"/>
      <c r="BK57" s="342"/>
      <c r="BL57" s="342"/>
      <c r="BM57" s="91"/>
    </row>
    <row r="58" spans="17:65" x14ac:dyDescent="0.3">
      <c r="Q58" s="90"/>
      <c r="R58" s="342"/>
      <c r="S58" s="342"/>
      <c r="T58" s="342"/>
      <c r="U58" s="342"/>
      <c r="V58" s="342"/>
      <c r="W58" s="342"/>
      <c r="X58" s="342"/>
      <c r="Y58" s="342"/>
      <c r="Z58" s="342"/>
      <c r="AA58" s="342"/>
      <c r="AB58" s="342"/>
      <c r="AC58" s="342"/>
      <c r="AD58" s="342"/>
      <c r="AE58" s="342"/>
      <c r="AF58" s="342"/>
      <c r="AG58" s="342"/>
      <c r="AH58" s="342"/>
      <c r="AI58" s="342"/>
      <c r="AJ58" s="342"/>
      <c r="AK58" s="342"/>
      <c r="AL58" s="342"/>
      <c r="AM58" s="342"/>
      <c r="AN58" s="342"/>
      <c r="AO58" s="342"/>
      <c r="AP58" s="342"/>
      <c r="AQ58" s="342"/>
      <c r="AR58" s="342"/>
      <c r="AS58" s="342"/>
      <c r="AT58" s="342"/>
      <c r="AU58" s="342"/>
      <c r="AV58" s="342"/>
      <c r="AW58" s="342"/>
      <c r="AX58" s="342"/>
      <c r="AY58" s="342"/>
      <c r="AZ58" s="342"/>
      <c r="BA58" s="342"/>
      <c r="BB58" s="342"/>
      <c r="BC58" s="342"/>
      <c r="BD58" s="342"/>
      <c r="BE58" s="342"/>
      <c r="BF58" s="342"/>
      <c r="BG58" s="342"/>
      <c r="BH58" s="342"/>
      <c r="BI58" s="342"/>
      <c r="BJ58" s="342"/>
      <c r="BK58" s="342"/>
      <c r="BL58" s="342"/>
      <c r="BM58" s="91"/>
    </row>
    <row r="59" spans="17:65" x14ac:dyDescent="0.3">
      <c r="Q59" s="90"/>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342"/>
      <c r="AO59" s="342"/>
      <c r="AP59" s="342"/>
      <c r="AQ59" s="342"/>
      <c r="AR59" s="342"/>
      <c r="AS59" s="342"/>
      <c r="AT59" s="342"/>
      <c r="AU59" s="342"/>
      <c r="AV59" s="342"/>
      <c r="AW59" s="342"/>
      <c r="AX59" s="342"/>
      <c r="AY59" s="342"/>
      <c r="AZ59" s="342"/>
      <c r="BA59" s="342"/>
      <c r="BB59" s="342"/>
      <c r="BC59" s="342"/>
      <c r="BD59" s="342"/>
      <c r="BE59" s="342"/>
      <c r="BF59" s="342"/>
      <c r="BG59" s="342"/>
      <c r="BH59" s="342"/>
      <c r="BI59" s="342"/>
      <c r="BJ59" s="342"/>
      <c r="BK59" s="342"/>
      <c r="BL59" s="342"/>
      <c r="BM59" s="91"/>
    </row>
    <row r="60" spans="17:65" x14ac:dyDescent="0.3">
      <c r="Q60" s="90"/>
      <c r="R60" s="342"/>
      <c r="S60" s="342"/>
      <c r="T60" s="342"/>
      <c r="U60" s="342"/>
      <c r="V60" s="342"/>
      <c r="W60" s="342"/>
      <c r="X60" s="342"/>
      <c r="Y60" s="342"/>
      <c r="Z60" s="342"/>
      <c r="AA60" s="342"/>
      <c r="AB60" s="342"/>
      <c r="AC60" s="342"/>
      <c r="AD60" s="342"/>
      <c r="AE60" s="342"/>
      <c r="AF60" s="342"/>
      <c r="AG60" s="342"/>
      <c r="AH60" s="342"/>
      <c r="AI60" s="342"/>
      <c r="AJ60" s="342"/>
      <c r="AK60" s="342"/>
      <c r="AL60" s="342"/>
      <c r="AM60" s="342"/>
      <c r="AN60" s="342"/>
      <c r="AO60" s="342"/>
      <c r="AP60" s="342"/>
      <c r="AQ60" s="342"/>
      <c r="AR60" s="342"/>
      <c r="AS60" s="342"/>
      <c r="AT60" s="342"/>
      <c r="AU60" s="342"/>
      <c r="AV60" s="342"/>
      <c r="AW60" s="342"/>
      <c r="AX60" s="342"/>
      <c r="AY60" s="342"/>
      <c r="AZ60" s="342"/>
      <c r="BA60" s="342"/>
      <c r="BB60" s="342"/>
      <c r="BC60" s="342"/>
      <c r="BD60" s="342"/>
      <c r="BE60" s="342"/>
      <c r="BF60" s="342"/>
      <c r="BG60" s="342"/>
      <c r="BH60" s="342"/>
      <c r="BI60" s="342"/>
      <c r="BJ60" s="342"/>
      <c r="BK60" s="342"/>
      <c r="BL60" s="342"/>
      <c r="BM60" s="91"/>
    </row>
    <row r="61" spans="17:65" x14ac:dyDescent="0.3">
      <c r="Q61" s="90"/>
      <c r="R61" s="342"/>
      <c r="S61" s="342"/>
      <c r="T61" s="342"/>
      <c r="U61" s="342"/>
      <c r="V61" s="342"/>
      <c r="W61" s="342"/>
      <c r="X61" s="342"/>
      <c r="Y61" s="342"/>
      <c r="Z61" s="342"/>
      <c r="AA61" s="342"/>
      <c r="AB61" s="342"/>
      <c r="AC61" s="342"/>
      <c r="AD61" s="342"/>
      <c r="AE61" s="342"/>
      <c r="AF61" s="342"/>
      <c r="AG61" s="342"/>
      <c r="AH61" s="342"/>
      <c r="AI61" s="342"/>
      <c r="AJ61" s="342"/>
      <c r="AK61" s="342"/>
      <c r="AL61" s="342"/>
      <c r="AM61" s="342"/>
      <c r="AN61" s="342"/>
      <c r="AO61" s="342"/>
      <c r="AP61" s="342"/>
      <c r="AQ61" s="342"/>
      <c r="AR61" s="342"/>
      <c r="AS61" s="342"/>
      <c r="AT61" s="342"/>
      <c r="AU61" s="342"/>
      <c r="AV61" s="342"/>
      <c r="AW61" s="342"/>
      <c r="AX61" s="342"/>
      <c r="AY61" s="342"/>
      <c r="AZ61" s="342"/>
      <c r="BA61" s="342"/>
      <c r="BB61" s="342"/>
      <c r="BC61" s="342"/>
      <c r="BD61" s="342"/>
      <c r="BE61" s="342"/>
      <c r="BF61" s="342"/>
      <c r="BG61" s="342"/>
      <c r="BH61" s="342"/>
      <c r="BI61" s="342"/>
      <c r="BJ61" s="342"/>
      <c r="BK61" s="342"/>
      <c r="BL61" s="342"/>
      <c r="BM61" s="91"/>
    </row>
    <row r="62" spans="17:65" x14ac:dyDescent="0.3">
      <c r="Q62" s="90"/>
      <c r="R62" s="342"/>
      <c r="S62" s="342"/>
      <c r="T62" s="342"/>
      <c r="U62" s="342"/>
      <c r="V62" s="342"/>
      <c r="W62" s="342"/>
      <c r="X62" s="342"/>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2"/>
      <c r="AW62" s="342"/>
      <c r="AX62" s="342"/>
      <c r="AY62" s="342"/>
      <c r="AZ62" s="342"/>
      <c r="BA62" s="342"/>
      <c r="BB62" s="342"/>
      <c r="BC62" s="342"/>
      <c r="BD62" s="342"/>
      <c r="BE62" s="342"/>
      <c r="BF62" s="342"/>
      <c r="BG62" s="342"/>
      <c r="BH62" s="342"/>
      <c r="BI62" s="342"/>
      <c r="BJ62" s="342"/>
      <c r="BK62" s="342"/>
      <c r="BL62" s="342"/>
      <c r="BM62" s="91"/>
    </row>
    <row r="63" spans="17:65" x14ac:dyDescent="0.3">
      <c r="Q63" s="90"/>
      <c r="R63" s="342"/>
      <c r="S63" s="342"/>
      <c r="T63" s="342"/>
      <c r="U63" s="342"/>
      <c r="V63" s="342"/>
      <c r="W63" s="342"/>
      <c r="X63" s="342"/>
      <c r="Y63" s="342"/>
      <c r="Z63" s="342"/>
      <c r="AA63" s="342"/>
      <c r="AB63" s="342"/>
      <c r="AC63" s="342"/>
      <c r="AD63" s="342"/>
      <c r="AE63" s="342"/>
      <c r="AF63" s="342"/>
      <c r="AG63" s="342"/>
      <c r="AH63" s="342"/>
      <c r="AI63" s="342"/>
      <c r="AJ63" s="342"/>
      <c r="AK63" s="342"/>
      <c r="AL63" s="342"/>
      <c r="AM63" s="342"/>
      <c r="AN63" s="342"/>
      <c r="AO63" s="342"/>
      <c r="AP63" s="342"/>
      <c r="AQ63" s="342"/>
      <c r="AR63" s="342"/>
      <c r="AS63" s="342"/>
      <c r="AT63" s="342"/>
      <c r="AU63" s="342"/>
      <c r="AV63" s="342"/>
      <c r="AW63" s="342"/>
      <c r="AX63" s="342"/>
      <c r="AY63" s="342"/>
      <c r="AZ63" s="342"/>
      <c r="BA63" s="342"/>
      <c r="BB63" s="342"/>
      <c r="BC63" s="342"/>
      <c r="BD63" s="342"/>
      <c r="BE63" s="342"/>
      <c r="BF63" s="342"/>
      <c r="BG63" s="342"/>
      <c r="BH63" s="342"/>
      <c r="BI63" s="342"/>
      <c r="BJ63" s="342"/>
      <c r="BK63" s="342"/>
      <c r="BL63" s="342"/>
      <c r="BM63" s="91"/>
    </row>
    <row r="64" spans="17:65" x14ac:dyDescent="0.3">
      <c r="Q64" s="90"/>
      <c r="R64" s="342"/>
      <c r="S64" s="342"/>
      <c r="T64" s="342"/>
      <c r="U64" s="342"/>
      <c r="V64" s="342"/>
      <c r="W64" s="342"/>
      <c r="X64" s="342"/>
      <c r="Y64" s="342"/>
      <c r="Z64" s="342"/>
      <c r="AA64" s="342"/>
      <c r="AB64" s="342"/>
      <c r="AC64" s="342"/>
      <c r="AD64" s="342"/>
      <c r="AE64" s="342"/>
      <c r="AF64" s="342"/>
      <c r="AG64" s="342"/>
      <c r="AH64" s="342"/>
      <c r="AI64" s="342"/>
      <c r="AJ64" s="342"/>
      <c r="AK64" s="342"/>
      <c r="AL64" s="342"/>
      <c r="AM64" s="342"/>
      <c r="AN64" s="342"/>
      <c r="AO64" s="342"/>
      <c r="AP64" s="342"/>
      <c r="AQ64" s="342"/>
      <c r="AR64" s="342"/>
      <c r="AS64" s="342"/>
      <c r="AT64" s="342"/>
      <c r="AU64" s="342"/>
      <c r="AV64" s="342"/>
      <c r="AW64" s="342"/>
      <c r="AX64" s="342"/>
      <c r="AY64" s="342"/>
      <c r="AZ64" s="342"/>
      <c r="BA64" s="342"/>
      <c r="BB64" s="342"/>
      <c r="BC64" s="342"/>
      <c r="BD64" s="342"/>
      <c r="BE64" s="342"/>
      <c r="BF64" s="342"/>
      <c r="BG64" s="342"/>
      <c r="BH64" s="342"/>
      <c r="BI64" s="342"/>
      <c r="BJ64" s="342"/>
      <c r="BK64" s="342"/>
      <c r="BL64" s="342"/>
      <c r="BM64" s="91"/>
    </row>
    <row r="65" spans="17:65" x14ac:dyDescent="0.3">
      <c r="Q65" s="90"/>
      <c r="R65" s="342"/>
      <c r="S65" s="342"/>
      <c r="T65" s="342"/>
      <c r="U65" s="342"/>
      <c r="V65" s="342"/>
      <c r="W65" s="342"/>
      <c r="X65" s="342"/>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2"/>
      <c r="AW65" s="342"/>
      <c r="AX65" s="342"/>
      <c r="AY65" s="342"/>
      <c r="AZ65" s="342"/>
      <c r="BA65" s="342"/>
      <c r="BB65" s="342"/>
      <c r="BC65" s="342"/>
      <c r="BD65" s="342"/>
      <c r="BE65" s="342"/>
      <c r="BF65" s="342"/>
      <c r="BG65" s="342"/>
      <c r="BH65" s="342"/>
      <c r="BI65" s="342"/>
      <c r="BJ65" s="342"/>
      <c r="BK65" s="342"/>
      <c r="BL65" s="342"/>
      <c r="BM65" s="91"/>
    </row>
    <row r="66" spans="17:65" x14ac:dyDescent="0.3">
      <c r="Q66" s="90"/>
      <c r="R66" s="342"/>
      <c r="S66" s="342"/>
      <c r="T66" s="342"/>
      <c r="U66" s="342"/>
      <c r="V66" s="342"/>
      <c r="W66" s="342"/>
      <c r="X66" s="342"/>
      <c r="Y66" s="342"/>
      <c r="Z66" s="342"/>
      <c r="AA66" s="342"/>
      <c r="AB66" s="342"/>
      <c r="AC66" s="342"/>
      <c r="AD66" s="342"/>
      <c r="AE66" s="342"/>
      <c r="AF66" s="342"/>
      <c r="AG66" s="342"/>
      <c r="AH66" s="342"/>
      <c r="AI66" s="342"/>
      <c r="AJ66" s="342"/>
      <c r="AK66" s="342"/>
      <c r="AL66" s="342"/>
      <c r="AM66" s="342"/>
      <c r="AN66" s="342"/>
      <c r="AO66" s="342"/>
      <c r="AP66" s="342"/>
      <c r="AQ66" s="342"/>
      <c r="AR66" s="342"/>
      <c r="AS66" s="342"/>
      <c r="AT66" s="342"/>
      <c r="AU66" s="342"/>
      <c r="AV66" s="342"/>
      <c r="AW66" s="342"/>
      <c r="AX66" s="342"/>
      <c r="AY66" s="342"/>
      <c r="AZ66" s="342"/>
      <c r="BA66" s="342"/>
      <c r="BB66" s="342"/>
      <c r="BC66" s="342"/>
      <c r="BD66" s="342"/>
      <c r="BE66" s="342"/>
      <c r="BF66" s="342"/>
      <c r="BG66" s="342"/>
      <c r="BH66" s="342"/>
      <c r="BI66" s="342"/>
      <c r="BJ66" s="342"/>
      <c r="BK66" s="342"/>
      <c r="BL66" s="342"/>
      <c r="BM66" s="91"/>
    </row>
    <row r="67" spans="17:65" x14ac:dyDescent="0.3">
      <c r="Q67" s="90"/>
      <c r="R67" s="342"/>
      <c r="S67" s="342"/>
      <c r="T67" s="342"/>
      <c r="U67" s="342"/>
      <c r="V67" s="342"/>
      <c r="W67" s="342"/>
      <c r="X67" s="342"/>
      <c r="Y67" s="342"/>
      <c r="Z67" s="342"/>
      <c r="AA67" s="342"/>
      <c r="AB67" s="342"/>
      <c r="AC67" s="342"/>
      <c r="AD67" s="342"/>
      <c r="AE67" s="342"/>
      <c r="AF67" s="342"/>
      <c r="AG67" s="342"/>
      <c r="AH67" s="342"/>
      <c r="AI67" s="342"/>
      <c r="AJ67" s="342"/>
      <c r="AK67" s="342"/>
      <c r="AL67" s="342"/>
      <c r="AM67" s="342"/>
      <c r="AN67" s="342"/>
      <c r="AO67" s="342"/>
      <c r="AP67" s="342"/>
      <c r="AQ67" s="342"/>
      <c r="AR67" s="342"/>
      <c r="AS67" s="342"/>
      <c r="AT67" s="342"/>
      <c r="AU67" s="342"/>
      <c r="AV67" s="342"/>
      <c r="AW67" s="342"/>
      <c r="AX67" s="342"/>
      <c r="AY67" s="342"/>
      <c r="AZ67" s="342"/>
      <c r="BA67" s="342"/>
      <c r="BB67" s="342"/>
      <c r="BC67" s="342"/>
      <c r="BD67" s="342"/>
      <c r="BE67" s="342"/>
      <c r="BF67" s="342"/>
      <c r="BG67" s="342"/>
      <c r="BH67" s="342"/>
      <c r="BI67" s="342"/>
      <c r="BJ67" s="342"/>
      <c r="BK67" s="342"/>
      <c r="BL67" s="342"/>
      <c r="BM67" s="91"/>
    </row>
    <row r="68" spans="17:65" x14ac:dyDescent="0.3">
      <c r="Q68" s="90"/>
      <c r="R68" s="342"/>
      <c r="S68" s="342"/>
      <c r="T68" s="342"/>
      <c r="U68" s="342"/>
      <c r="V68" s="342"/>
      <c r="W68" s="342"/>
      <c r="X68" s="342"/>
      <c r="Y68" s="342"/>
      <c r="Z68" s="342"/>
      <c r="AA68" s="342"/>
      <c r="AB68" s="342"/>
      <c r="AC68" s="342"/>
      <c r="AD68" s="342"/>
      <c r="AE68" s="342"/>
      <c r="AF68" s="342"/>
      <c r="AG68" s="342"/>
      <c r="AH68" s="342"/>
      <c r="AI68" s="342"/>
      <c r="AJ68" s="342"/>
      <c r="AK68" s="342"/>
      <c r="AL68" s="342"/>
      <c r="AM68" s="342"/>
      <c r="AN68" s="342"/>
      <c r="AO68" s="342"/>
      <c r="AP68" s="342"/>
      <c r="AQ68" s="342"/>
      <c r="AR68" s="342"/>
      <c r="AS68" s="342"/>
      <c r="AT68" s="342"/>
      <c r="AU68" s="342"/>
      <c r="AV68" s="342"/>
      <c r="AW68" s="342"/>
      <c r="AX68" s="342"/>
      <c r="AY68" s="342"/>
      <c r="AZ68" s="342"/>
      <c r="BA68" s="342"/>
      <c r="BB68" s="342"/>
      <c r="BC68" s="342"/>
      <c r="BD68" s="342"/>
      <c r="BE68" s="342"/>
      <c r="BF68" s="342"/>
      <c r="BG68" s="342"/>
      <c r="BH68" s="342"/>
      <c r="BI68" s="342"/>
      <c r="BJ68" s="342"/>
      <c r="BK68" s="342"/>
      <c r="BL68" s="342"/>
      <c r="BM68" s="91"/>
    </row>
    <row r="69" spans="17:65" x14ac:dyDescent="0.3">
      <c r="Q69" s="90"/>
      <c r="R69" s="342"/>
      <c r="S69" s="342"/>
      <c r="T69" s="342"/>
      <c r="U69" s="342"/>
      <c r="V69" s="342"/>
      <c r="W69" s="342"/>
      <c r="X69" s="342"/>
      <c r="Y69" s="342"/>
      <c r="Z69" s="342"/>
      <c r="AA69" s="342"/>
      <c r="AB69" s="342"/>
      <c r="AC69" s="342"/>
      <c r="AD69" s="342"/>
      <c r="AE69" s="342"/>
      <c r="AF69" s="342"/>
      <c r="AG69" s="342"/>
      <c r="AH69" s="342"/>
      <c r="AI69" s="342"/>
      <c r="AJ69" s="342"/>
      <c r="AK69" s="342"/>
      <c r="AL69" s="342"/>
      <c r="AM69" s="342"/>
      <c r="AN69" s="342"/>
      <c r="AO69" s="342"/>
      <c r="AP69" s="342"/>
      <c r="AQ69" s="342"/>
      <c r="AR69" s="342"/>
      <c r="AS69" s="342"/>
      <c r="AT69" s="342"/>
      <c r="AU69" s="342"/>
      <c r="AV69" s="342"/>
      <c r="AW69" s="342"/>
      <c r="AX69" s="342"/>
      <c r="AY69" s="342"/>
      <c r="AZ69" s="342"/>
      <c r="BA69" s="342"/>
      <c r="BB69" s="342"/>
      <c r="BC69" s="342"/>
      <c r="BD69" s="342"/>
      <c r="BE69" s="342"/>
      <c r="BF69" s="342"/>
      <c r="BG69" s="342"/>
      <c r="BH69" s="342"/>
      <c r="BI69" s="342"/>
      <c r="BJ69" s="342"/>
      <c r="BK69" s="342"/>
      <c r="BL69" s="342"/>
      <c r="BM69" s="91"/>
    </row>
    <row r="70" spans="17:65" x14ac:dyDescent="0.3">
      <c r="Q70" s="90"/>
      <c r="R70" s="342"/>
      <c r="S70" s="342"/>
      <c r="T70" s="342"/>
      <c r="U70" s="342"/>
      <c r="V70" s="342"/>
      <c r="W70" s="342"/>
      <c r="X70" s="342"/>
      <c r="Y70" s="342"/>
      <c r="Z70" s="342"/>
      <c r="AA70" s="342"/>
      <c r="AB70" s="342"/>
      <c r="AC70" s="342"/>
      <c r="AD70" s="342"/>
      <c r="AE70" s="342"/>
      <c r="AF70" s="342"/>
      <c r="AG70" s="342"/>
      <c r="AH70" s="342"/>
      <c r="AI70" s="342"/>
      <c r="AJ70" s="342"/>
      <c r="AK70" s="342"/>
      <c r="AL70" s="342"/>
      <c r="AM70" s="342"/>
      <c r="AN70" s="342"/>
      <c r="AO70" s="342"/>
      <c r="AP70" s="342"/>
      <c r="AQ70" s="342"/>
      <c r="AR70" s="342"/>
      <c r="AS70" s="342"/>
      <c r="AT70" s="342"/>
      <c r="AU70" s="342"/>
      <c r="AV70" s="342"/>
      <c r="AW70" s="342"/>
      <c r="AX70" s="342"/>
      <c r="AY70" s="342"/>
      <c r="AZ70" s="342"/>
      <c r="BA70" s="342"/>
      <c r="BB70" s="342"/>
      <c r="BC70" s="342"/>
      <c r="BD70" s="342"/>
      <c r="BE70" s="342"/>
      <c r="BF70" s="342"/>
      <c r="BG70" s="342"/>
      <c r="BH70" s="342"/>
      <c r="BI70" s="342"/>
      <c r="BJ70" s="342"/>
      <c r="BK70" s="342"/>
      <c r="BL70" s="342"/>
      <c r="BM70" s="91"/>
    </row>
    <row r="71" spans="17:65" x14ac:dyDescent="0.3">
      <c r="Q71" s="90"/>
      <c r="R71" s="342"/>
      <c r="S71" s="342"/>
      <c r="T71" s="342"/>
      <c r="U71" s="342"/>
      <c r="V71" s="342"/>
      <c r="W71" s="342"/>
      <c r="X71" s="342"/>
      <c r="Y71" s="342"/>
      <c r="Z71" s="342"/>
      <c r="AA71" s="342"/>
      <c r="AB71" s="342"/>
      <c r="AC71" s="342"/>
      <c r="AD71" s="342"/>
      <c r="AE71" s="342"/>
      <c r="AF71" s="342"/>
      <c r="AG71" s="342"/>
      <c r="AH71" s="342"/>
      <c r="AI71" s="342"/>
      <c r="AJ71" s="342"/>
      <c r="AK71" s="342"/>
      <c r="AL71" s="342"/>
      <c r="AM71" s="342"/>
      <c r="AN71" s="342"/>
      <c r="AO71" s="342"/>
      <c r="AP71" s="342"/>
      <c r="AQ71" s="342"/>
      <c r="AR71" s="342"/>
      <c r="AS71" s="342"/>
      <c r="AT71" s="342"/>
      <c r="AU71" s="342"/>
      <c r="AV71" s="342"/>
      <c r="AW71" s="342"/>
      <c r="AX71" s="342"/>
      <c r="AY71" s="342"/>
      <c r="AZ71" s="342"/>
      <c r="BA71" s="342"/>
      <c r="BB71" s="342"/>
      <c r="BC71" s="342"/>
      <c r="BD71" s="342"/>
      <c r="BE71" s="342"/>
      <c r="BF71" s="342"/>
      <c r="BG71" s="342"/>
      <c r="BH71" s="342"/>
      <c r="BI71" s="342"/>
      <c r="BJ71" s="342"/>
      <c r="BK71" s="342"/>
      <c r="BL71" s="342"/>
      <c r="BM71" s="91"/>
    </row>
    <row r="72" spans="17:65" x14ac:dyDescent="0.3">
      <c r="Q72" s="90"/>
      <c r="R72" s="342"/>
      <c r="S72" s="342"/>
      <c r="T72" s="342"/>
      <c r="U72" s="342"/>
      <c r="V72" s="342"/>
      <c r="W72" s="342"/>
      <c r="X72" s="342"/>
      <c r="Y72" s="342"/>
      <c r="Z72" s="342"/>
      <c r="AA72" s="342"/>
      <c r="AB72" s="342"/>
      <c r="AC72" s="342"/>
      <c r="AD72" s="342"/>
      <c r="AE72" s="342"/>
      <c r="AF72" s="342"/>
      <c r="AG72" s="342"/>
      <c r="AH72" s="342"/>
      <c r="AI72" s="342"/>
      <c r="AJ72" s="342"/>
      <c r="AK72" s="342"/>
      <c r="AL72" s="342"/>
      <c r="AM72" s="342"/>
      <c r="AN72" s="342"/>
      <c r="AO72" s="342"/>
      <c r="AP72" s="342"/>
      <c r="AQ72" s="342"/>
      <c r="AR72" s="342"/>
      <c r="AS72" s="342"/>
      <c r="AT72" s="342"/>
      <c r="AU72" s="342"/>
      <c r="AV72" s="342"/>
      <c r="AW72" s="342"/>
      <c r="AX72" s="342"/>
      <c r="AY72" s="342"/>
      <c r="AZ72" s="342"/>
      <c r="BA72" s="342"/>
      <c r="BB72" s="342"/>
      <c r="BC72" s="342"/>
      <c r="BD72" s="342"/>
      <c r="BE72" s="342"/>
      <c r="BF72" s="342"/>
      <c r="BG72" s="342"/>
      <c r="BH72" s="342"/>
      <c r="BI72" s="342"/>
      <c r="BJ72" s="342"/>
      <c r="BK72" s="342"/>
      <c r="BL72" s="342"/>
      <c r="BM72" s="91"/>
    </row>
    <row r="73" spans="17:65" x14ac:dyDescent="0.3">
      <c r="Q73" s="90"/>
      <c r="R73" s="342"/>
      <c r="S73" s="342"/>
      <c r="T73" s="342"/>
      <c r="U73" s="342"/>
      <c r="V73" s="342"/>
      <c r="W73" s="342"/>
      <c r="X73" s="342"/>
      <c r="Y73" s="342"/>
      <c r="Z73" s="342"/>
      <c r="AA73" s="342"/>
      <c r="AB73" s="342"/>
      <c r="AC73" s="342"/>
      <c r="AD73" s="342"/>
      <c r="AE73" s="342"/>
      <c r="AF73" s="342"/>
      <c r="AG73" s="342"/>
      <c r="AH73" s="342"/>
      <c r="AI73" s="342"/>
      <c r="AJ73" s="342"/>
      <c r="AK73" s="342"/>
      <c r="AL73" s="342"/>
      <c r="AM73" s="342"/>
      <c r="AN73" s="342"/>
      <c r="AO73" s="342"/>
      <c r="AP73" s="342"/>
      <c r="AQ73" s="342"/>
      <c r="AR73" s="342"/>
      <c r="AS73" s="342"/>
      <c r="AT73" s="342"/>
      <c r="AU73" s="342"/>
      <c r="AV73" s="342"/>
      <c r="AW73" s="342"/>
      <c r="AX73" s="342"/>
      <c r="AY73" s="342"/>
      <c r="AZ73" s="342"/>
      <c r="BA73" s="342"/>
      <c r="BB73" s="342"/>
      <c r="BC73" s="342"/>
      <c r="BD73" s="342"/>
      <c r="BE73" s="342"/>
      <c r="BF73" s="342"/>
      <c r="BG73" s="342"/>
      <c r="BH73" s="342"/>
      <c r="BI73" s="342"/>
      <c r="BJ73" s="342"/>
      <c r="BK73" s="342"/>
      <c r="BL73" s="342"/>
      <c r="BM73" s="91"/>
    </row>
    <row r="74" spans="17:65" x14ac:dyDescent="0.3">
      <c r="Q74" s="90"/>
      <c r="R74" s="342"/>
      <c r="S74" s="342"/>
      <c r="T74" s="342"/>
      <c r="U74" s="342"/>
      <c r="V74" s="342"/>
      <c r="W74" s="342"/>
      <c r="X74" s="342"/>
      <c r="Y74" s="342"/>
      <c r="Z74" s="342"/>
      <c r="AA74" s="342"/>
      <c r="AB74" s="342"/>
      <c r="AC74" s="342"/>
      <c r="AD74" s="342"/>
      <c r="AE74" s="342"/>
      <c r="AF74" s="342"/>
      <c r="AG74" s="342"/>
      <c r="AH74" s="342"/>
      <c r="AI74" s="342"/>
      <c r="AJ74" s="342"/>
      <c r="AK74" s="342"/>
      <c r="AL74" s="342"/>
      <c r="AM74" s="342"/>
      <c r="AN74" s="342"/>
      <c r="AO74" s="342"/>
      <c r="AP74" s="342"/>
      <c r="AQ74" s="342"/>
      <c r="AR74" s="342"/>
      <c r="AS74" s="342"/>
      <c r="AT74" s="342"/>
      <c r="AU74" s="342"/>
      <c r="AV74" s="342"/>
      <c r="AW74" s="342"/>
      <c r="AX74" s="342"/>
      <c r="AY74" s="342"/>
      <c r="AZ74" s="342"/>
      <c r="BA74" s="342"/>
      <c r="BB74" s="342"/>
      <c r="BC74" s="342"/>
      <c r="BD74" s="342"/>
      <c r="BE74" s="342"/>
      <c r="BF74" s="342"/>
      <c r="BG74" s="342"/>
      <c r="BH74" s="342"/>
      <c r="BI74" s="342"/>
      <c r="BJ74" s="342"/>
      <c r="BK74" s="342"/>
      <c r="BL74" s="342"/>
      <c r="BM74" s="91"/>
    </row>
    <row r="75" spans="17:65" x14ac:dyDescent="0.3">
      <c r="Q75" s="90"/>
      <c r="R75" s="342"/>
      <c r="S75" s="342"/>
      <c r="T75" s="342"/>
      <c r="U75" s="342"/>
      <c r="V75" s="342"/>
      <c r="W75" s="342"/>
      <c r="X75" s="342"/>
      <c r="Y75" s="342"/>
      <c r="Z75" s="342"/>
      <c r="AA75" s="342"/>
      <c r="AB75" s="342"/>
      <c r="AC75" s="342"/>
      <c r="AD75" s="342"/>
      <c r="AE75" s="342"/>
      <c r="AF75" s="342"/>
      <c r="AG75" s="342"/>
      <c r="AH75" s="342"/>
      <c r="AI75" s="342"/>
      <c r="AJ75" s="342"/>
      <c r="AK75" s="342"/>
      <c r="AL75" s="342"/>
      <c r="AM75" s="342"/>
      <c r="AN75" s="342"/>
      <c r="AO75" s="342"/>
      <c r="AP75" s="342"/>
      <c r="AQ75" s="342"/>
      <c r="AR75" s="342"/>
      <c r="AS75" s="342"/>
      <c r="AT75" s="342"/>
      <c r="AU75" s="342"/>
      <c r="AV75" s="342"/>
      <c r="AW75" s="342"/>
      <c r="AX75" s="342"/>
      <c r="AY75" s="342"/>
      <c r="AZ75" s="342"/>
      <c r="BA75" s="342"/>
      <c r="BB75" s="342"/>
      <c r="BC75" s="342"/>
      <c r="BD75" s="342"/>
      <c r="BE75" s="342"/>
      <c r="BF75" s="342"/>
      <c r="BG75" s="342"/>
      <c r="BH75" s="342"/>
      <c r="BI75" s="342"/>
      <c r="BJ75" s="342"/>
      <c r="BK75" s="342"/>
      <c r="BL75" s="342"/>
      <c r="BM75" s="91"/>
    </row>
    <row r="76" spans="17:65" x14ac:dyDescent="0.3">
      <c r="Q76" s="90"/>
      <c r="R76" s="342"/>
      <c r="S76" s="342"/>
      <c r="T76" s="342"/>
      <c r="U76" s="342"/>
      <c r="V76" s="342"/>
      <c r="W76" s="342"/>
      <c r="X76" s="342"/>
      <c r="Y76" s="342"/>
      <c r="Z76" s="342"/>
      <c r="AA76" s="342"/>
      <c r="AB76" s="342"/>
      <c r="AC76" s="342"/>
      <c r="AD76" s="342"/>
      <c r="AE76" s="342"/>
      <c r="AF76" s="342"/>
      <c r="AG76" s="342"/>
      <c r="AH76" s="342"/>
      <c r="AI76" s="342"/>
      <c r="AJ76" s="342"/>
      <c r="AK76" s="342"/>
      <c r="AL76" s="342"/>
      <c r="AM76" s="342"/>
      <c r="AN76" s="342"/>
      <c r="AO76" s="342"/>
      <c r="AP76" s="342"/>
      <c r="AQ76" s="342"/>
      <c r="AR76" s="342"/>
      <c r="AS76" s="342"/>
      <c r="AT76" s="342"/>
      <c r="AU76" s="342"/>
      <c r="AV76" s="342"/>
      <c r="AW76" s="342"/>
      <c r="AX76" s="342"/>
      <c r="AY76" s="342"/>
      <c r="AZ76" s="342"/>
      <c r="BA76" s="342"/>
      <c r="BB76" s="342"/>
      <c r="BC76" s="342"/>
      <c r="BD76" s="342"/>
      <c r="BE76" s="342"/>
      <c r="BF76" s="342"/>
      <c r="BG76" s="342"/>
      <c r="BH76" s="342"/>
      <c r="BI76" s="342"/>
      <c r="BJ76" s="342"/>
      <c r="BK76" s="342"/>
      <c r="BL76" s="342"/>
      <c r="BM76" s="91"/>
    </row>
    <row r="77" spans="17:65" x14ac:dyDescent="0.3">
      <c r="Q77" s="90"/>
      <c r="R77" s="342"/>
      <c r="S77" s="342"/>
      <c r="T77" s="342"/>
      <c r="U77" s="342"/>
      <c r="V77" s="342"/>
      <c r="W77" s="342"/>
      <c r="X77" s="342"/>
      <c r="Y77" s="342"/>
      <c r="Z77" s="342"/>
      <c r="AA77" s="342"/>
      <c r="AB77" s="342"/>
      <c r="AC77" s="342"/>
      <c r="AD77" s="342"/>
      <c r="AE77" s="342"/>
      <c r="AF77" s="342"/>
      <c r="AG77" s="342"/>
      <c r="AH77" s="342"/>
      <c r="AI77" s="342"/>
      <c r="AJ77" s="342"/>
      <c r="AK77" s="342"/>
      <c r="AL77" s="342"/>
      <c r="AM77" s="342"/>
      <c r="AN77" s="342"/>
      <c r="AO77" s="342"/>
      <c r="AP77" s="342"/>
      <c r="AQ77" s="342"/>
      <c r="AR77" s="342"/>
      <c r="AS77" s="342"/>
      <c r="AT77" s="342"/>
      <c r="AU77" s="342"/>
      <c r="AV77" s="342"/>
      <c r="AW77" s="342"/>
      <c r="AX77" s="342"/>
      <c r="AY77" s="342"/>
      <c r="AZ77" s="342"/>
      <c r="BA77" s="342"/>
      <c r="BB77" s="342"/>
      <c r="BC77" s="342"/>
      <c r="BD77" s="342"/>
      <c r="BE77" s="342"/>
      <c r="BF77" s="342"/>
      <c r="BG77" s="342"/>
      <c r="BH77" s="342"/>
      <c r="BI77" s="342"/>
      <c r="BJ77" s="342"/>
      <c r="BK77" s="342"/>
      <c r="BL77" s="342"/>
      <c r="BM77" s="91"/>
    </row>
    <row r="78" spans="17:65" x14ac:dyDescent="0.3">
      <c r="Q78" s="90"/>
      <c r="R78" s="342"/>
      <c r="S78" s="342"/>
      <c r="T78" s="342"/>
      <c r="U78" s="342"/>
      <c r="V78" s="342"/>
      <c r="W78" s="342"/>
      <c r="X78" s="342"/>
      <c r="Y78" s="342"/>
      <c r="Z78" s="342"/>
      <c r="AA78" s="342"/>
      <c r="AB78" s="342"/>
      <c r="AC78" s="342"/>
      <c r="AD78" s="342"/>
      <c r="AE78" s="342"/>
      <c r="AF78" s="342"/>
      <c r="AG78" s="342"/>
      <c r="AH78" s="342"/>
      <c r="AI78" s="342"/>
      <c r="AJ78" s="342"/>
      <c r="AK78" s="342"/>
      <c r="AL78" s="342"/>
      <c r="AM78" s="342"/>
      <c r="AN78" s="342"/>
      <c r="AO78" s="342"/>
      <c r="AP78" s="342"/>
      <c r="AQ78" s="342"/>
      <c r="AR78" s="342"/>
      <c r="AS78" s="342"/>
      <c r="AT78" s="342"/>
      <c r="AU78" s="342"/>
      <c r="AV78" s="342"/>
      <c r="AW78" s="342"/>
      <c r="AX78" s="342"/>
      <c r="AY78" s="342"/>
      <c r="AZ78" s="342"/>
      <c r="BA78" s="342"/>
      <c r="BB78" s="342"/>
      <c r="BC78" s="342"/>
      <c r="BD78" s="342"/>
      <c r="BE78" s="342"/>
      <c r="BF78" s="342"/>
      <c r="BG78" s="342"/>
      <c r="BH78" s="342"/>
      <c r="BI78" s="342"/>
      <c r="BJ78" s="342"/>
      <c r="BK78" s="342"/>
      <c r="BL78" s="342"/>
      <c r="BM78" s="91"/>
    </row>
    <row r="79" spans="17:65" x14ac:dyDescent="0.3">
      <c r="Q79" s="90"/>
      <c r="R79" s="342"/>
      <c r="S79" s="342"/>
      <c r="T79" s="342"/>
      <c r="U79" s="342"/>
      <c r="V79" s="342"/>
      <c r="W79" s="342"/>
      <c r="X79" s="342"/>
      <c r="Y79" s="342"/>
      <c r="Z79" s="342"/>
      <c r="AA79" s="342"/>
      <c r="AB79" s="342"/>
      <c r="AC79" s="342"/>
      <c r="AD79" s="342"/>
      <c r="AE79" s="342"/>
      <c r="AF79" s="342"/>
      <c r="AG79" s="342"/>
      <c r="AH79" s="342"/>
      <c r="AI79" s="342"/>
      <c r="AJ79" s="342"/>
      <c r="AK79" s="342"/>
      <c r="AL79" s="342"/>
      <c r="AM79" s="342"/>
      <c r="AN79" s="342"/>
      <c r="AO79" s="342"/>
      <c r="AP79" s="342"/>
      <c r="AQ79" s="342"/>
      <c r="AR79" s="342"/>
      <c r="AS79" s="342"/>
      <c r="AT79" s="342"/>
      <c r="AU79" s="342"/>
      <c r="AV79" s="342"/>
      <c r="AW79" s="342"/>
      <c r="AX79" s="342"/>
      <c r="AY79" s="342"/>
      <c r="AZ79" s="342"/>
      <c r="BA79" s="342"/>
      <c r="BB79" s="342"/>
      <c r="BC79" s="342"/>
      <c r="BD79" s="342"/>
      <c r="BE79" s="342"/>
      <c r="BF79" s="342"/>
      <c r="BG79" s="342"/>
      <c r="BH79" s="342"/>
      <c r="BI79" s="342"/>
      <c r="BJ79" s="342"/>
      <c r="BK79" s="342"/>
      <c r="BL79" s="342"/>
      <c r="BM79" s="91"/>
    </row>
    <row r="80" spans="17:65" x14ac:dyDescent="0.3">
      <c r="Q80" s="90"/>
      <c r="R80" s="342"/>
      <c r="S80" s="342"/>
      <c r="T80" s="342"/>
      <c r="U80" s="342"/>
      <c r="V80" s="342"/>
      <c r="W80" s="342"/>
      <c r="X80" s="342"/>
      <c r="Y80" s="342"/>
      <c r="Z80" s="342"/>
      <c r="AA80" s="342"/>
      <c r="AB80" s="342"/>
      <c r="AC80" s="342"/>
      <c r="AD80" s="342"/>
      <c r="AE80" s="342"/>
      <c r="AF80" s="342"/>
      <c r="AG80" s="342"/>
      <c r="AH80" s="342"/>
      <c r="AI80" s="342"/>
      <c r="AJ80" s="342"/>
      <c r="AK80" s="342"/>
      <c r="AL80" s="342"/>
      <c r="AM80" s="342"/>
      <c r="AN80" s="342"/>
      <c r="AO80" s="342"/>
      <c r="AP80" s="342"/>
      <c r="AQ80" s="342"/>
      <c r="AR80" s="342"/>
      <c r="AS80" s="342"/>
      <c r="AT80" s="342"/>
      <c r="AU80" s="342"/>
      <c r="AV80" s="342"/>
      <c r="AW80" s="342"/>
      <c r="AX80" s="342"/>
      <c r="AY80" s="342"/>
      <c r="AZ80" s="342"/>
      <c r="BA80" s="342"/>
      <c r="BB80" s="342"/>
      <c r="BC80" s="342"/>
      <c r="BD80" s="342"/>
      <c r="BE80" s="342"/>
      <c r="BF80" s="342"/>
      <c r="BG80" s="342"/>
      <c r="BH80" s="342"/>
      <c r="BI80" s="342"/>
      <c r="BJ80" s="342"/>
      <c r="BK80" s="342"/>
      <c r="BL80" s="342"/>
      <c r="BM80" s="91"/>
    </row>
    <row r="81" spans="17:65" x14ac:dyDescent="0.3">
      <c r="Q81" s="90"/>
      <c r="R81" s="342"/>
      <c r="S81" s="342"/>
      <c r="T81" s="342"/>
      <c r="U81" s="342"/>
      <c r="V81" s="342"/>
      <c r="W81" s="342"/>
      <c r="X81" s="342"/>
      <c r="Y81" s="342"/>
      <c r="Z81" s="342"/>
      <c r="AA81" s="342"/>
      <c r="AB81" s="342"/>
      <c r="AC81" s="342"/>
      <c r="AD81" s="342"/>
      <c r="AE81" s="342"/>
      <c r="AF81" s="342"/>
      <c r="AG81" s="342"/>
      <c r="AH81" s="342"/>
      <c r="AI81" s="342"/>
      <c r="AJ81" s="342"/>
      <c r="AK81" s="342"/>
      <c r="AL81" s="342"/>
      <c r="AM81" s="342"/>
      <c r="AN81" s="342"/>
      <c r="AO81" s="342"/>
      <c r="AP81" s="342"/>
      <c r="AQ81" s="342"/>
      <c r="AR81" s="342"/>
      <c r="AS81" s="342"/>
      <c r="AT81" s="342"/>
      <c r="AU81" s="342"/>
      <c r="AV81" s="342"/>
      <c r="AW81" s="342"/>
      <c r="AX81" s="342"/>
      <c r="AY81" s="342"/>
      <c r="AZ81" s="342"/>
      <c r="BA81" s="342"/>
      <c r="BB81" s="342"/>
      <c r="BC81" s="342"/>
      <c r="BD81" s="342"/>
      <c r="BE81" s="342"/>
      <c r="BF81" s="342"/>
      <c r="BG81" s="342"/>
      <c r="BH81" s="342"/>
      <c r="BI81" s="342"/>
      <c r="BJ81" s="342"/>
      <c r="BK81" s="342"/>
      <c r="BL81" s="342"/>
      <c r="BM81" s="91"/>
    </row>
    <row r="82" spans="17:65" x14ac:dyDescent="0.3">
      <c r="Q82" s="90"/>
      <c r="R82" s="342"/>
      <c r="S82" s="342"/>
      <c r="T82" s="342"/>
      <c r="U82" s="342"/>
      <c r="V82" s="342"/>
      <c r="W82" s="342"/>
      <c r="X82" s="342"/>
      <c r="Y82" s="342"/>
      <c r="Z82" s="342"/>
      <c r="AA82" s="342"/>
      <c r="AB82" s="342"/>
      <c r="AC82" s="342"/>
      <c r="AD82" s="342"/>
      <c r="AE82" s="342"/>
      <c r="AF82" s="342"/>
      <c r="AG82" s="342"/>
      <c r="AH82" s="342"/>
      <c r="AI82" s="342"/>
      <c r="AJ82" s="342"/>
      <c r="AK82" s="342"/>
      <c r="AL82" s="342"/>
      <c r="AM82" s="342"/>
      <c r="AN82" s="342"/>
      <c r="AO82" s="342"/>
      <c r="AP82" s="342"/>
      <c r="AQ82" s="342"/>
      <c r="AR82" s="342"/>
      <c r="AS82" s="342"/>
      <c r="AT82" s="342"/>
      <c r="AU82" s="342"/>
      <c r="AV82" s="342"/>
      <c r="AW82" s="342"/>
      <c r="AX82" s="342"/>
      <c r="AY82" s="342"/>
      <c r="AZ82" s="342"/>
      <c r="BA82" s="342"/>
      <c r="BB82" s="342"/>
      <c r="BC82" s="342"/>
      <c r="BD82" s="342"/>
      <c r="BE82" s="342"/>
      <c r="BF82" s="342"/>
      <c r="BG82" s="342"/>
      <c r="BH82" s="342"/>
      <c r="BI82" s="342"/>
      <c r="BJ82" s="342"/>
      <c r="BK82" s="342"/>
      <c r="BL82" s="342"/>
      <c r="BM82" s="91"/>
    </row>
    <row r="83" spans="17:65" x14ac:dyDescent="0.3">
      <c r="Q83" s="90"/>
      <c r="R83" s="342"/>
      <c r="S83" s="342"/>
      <c r="T83" s="342"/>
      <c r="U83" s="342"/>
      <c r="V83" s="342"/>
      <c r="W83" s="342"/>
      <c r="X83" s="342"/>
      <c r="Y83" s="342"/>
      <c r="Z83" s="342"/>
      <c r="AA83" s="342"/>
      <c r="AB83" s="342"/>
      <c r="AC83" s="342"/>
      <c r="AD83" s="342"/>
      <c r="AE83" s="342"/>
      <c r="AF83" s="342"/>
      <c r="AG83" s="342"/>
      <c r="AH83" s="342"/>
      <c r="AI83" s="342"/>
      <c r="AJ83" s="342"/>
      <c r="AK83" s="342"/>
      <c r="AL83" s="342"/>
      <c r="AM83" s="342"/>
      <c r="AN83" s="342"/>
      <c r="AO83" s="342"/>
      <c r="AP83" s="342"/>
      <c r="AQ83" s="342"/>
      <c r="AR83" s="342"/>
      <c r="AS83" s="342"/>
      <c r="AT83" s="342"/>
      <c r="AU83" s="342"/>
      <c r="AV83" s="342"/>
      <c r="AW83" s="342"/>
      <c r="AX83" s="342"/>
      <c r="AY83" s="342"/>
      <c r="AZ83" s="342"/>
      <c r="BA83" s="342"/>
      <c r="BB83" s="342"/>
      <c r="BC83" s="342"/>
      <c r="BD83" s="342"/>
      <c r="BE83" s="342"/>
      <c r="BF83" s="342"/>
      <c r="BG83" s="342"/>
      <c r="BH83" s="342"/>
      <c r="BI83" s="342"/>
      <c r="BJ83" s="342"/>
      <c r="BK83" s="342"/>
      <c r="BL83" s="342"/>
      <c r="BM83" s="91"/>
    </row>
    <row r="84" spans="17:65" x14ac:dyDescent="0.3">
      <c r="Q84" s="90"/>
      <c r="R84" s="342"/>
      <c r="S84" s="342"/>
      <c r="T84" s="342"/>
      <c r="U84" s="342"/>
      <c r="V84" s="342"/>
      <c r="W84" s="342"/>
      <c r="X84" s="342"/>
      <c r="Y84" s="342"/>
      <c r="Z84" s="342"/>
      <c r="AA84" s="342"/>
      <c r="AB84" s="342"/>
      <c r="AC84" s="342"/>
      <c r="AD84" s="342"/>
      <c r="AE84" s="342"/>
      <c r="AF84" s="342"/>
      <c r="AG84" s="342"/>
      <c r="AH84" s="342"/>
      <c r="AI84" s="342"/>
      <c r="AJ84" s="342"/>
      <c r="AK84" s="342"/>
      <c r="AL84" s="342"/>
      <c r="AM84" s="342"/>
      <c r="AN84" s="342"/>
      <c r="AO84" s="342"/>
      <c r="AP84" s="342"/>
      <c r="AQ84" s="342"/>
      <c r="AR84" s="342"/>
      <c r="AS84" s="342"/>
      <c r="AT84" s="342"/>
      <c r="AU84" s="342"/>
      <c r="AV84" s="342"/>
      <c r="AW84" s="342"/>
      <c r="AX84" s="342"/>
      <c r="AY84" s="342"/>
      <c r="AZ84" s="342"/>
      <c r="BA84" s="342"/>
      <c r="BB84" s="342"/>
      <c r="BC84" s="342"/>
      <c r="BD84" s="342"/>
      <c r="BE84" s="342"/>
      <c r="BF84" s="342"/>
      <c r="BG84" s="342"/>
      <c r="BH84" s="342"/>
      <c r="BI84" s="342"/>
      <c r="BJ84" s="342"/>
      <c r="BK84" s="342"/>
      <c r="BL84" s="342"/>
      <c r="BM84" s="91"/>
    </row>
    <row r="85" spans="17:65" x14ac:dyDescent="0.3">
      <c r="Q85" s="90"/>
      <c r="R85" s="342"/>
      <c r="S85" s="342"/>
      <c r="T85" s="342"/>
      <c r="U85" s="342"/>
      <c r="V85" s="342"/>
      <c r="W85" s="342"/>
      <c r="X85" s="342"/>
      <c r="Y85" s="342"/>
      <c r="Z85" s="342"/>
      <c r="AA85" s="342"/>
      <c r="AB85" s="342"/>
      <c r="AC85" s="342"/>
      <c r="AD85" s="342"/>
      <c r="AE85" s="342"/>
      <c r="AF85" s="342"/>
      <c r="AG85" s="342"/>
      <c r="AH85" s="342"/>
      <c r="AI85" s="342"/>
      <c r="AJ85" s="342"/>
      <c r="AK85" s="342"/>
      <c r="AL85" s="342"/>
      <c r="AM85" s="342"/>
      <c r="AN85" s="342"/>
      <c r="AO85" s="342"/>
      <c r="AP85" s="342"/>
      <c r="AQ85" s="342"/>
      <c r="AR85" s="342"/>
      <c r="AS85" s="342"/>
      <c r="AT85" s="342"/>
      <c r="AU85" s="342"/>
      <c r="AV85" s="342"/>
      <c r="AW85" s="342"/>
      <c r="AX85" s="342"/>
      <c r="AY85" s="342"/>
      <c r="AZ85" s="342"/>
      <c r="BA85" s="342"/>
      <c r="BB85" s="342"/>
      <c r="BC85" s="342"/>
      <c r="BD85" s="342"/>
      <c r="BE85" s="342"/>
      <c r="BF85" s="342"/>
      <c r="BG85" s="342"/>
      <c r="BH85" s="342"/>
      <c r="BI85" s="342"/>
      <c r="BJ85" s="342"/>
      <c r="BK85" s="342"/>
      <c r="BL85" s="342"/>
      <c r="BM85" s="91"/>
    </row>
    <row r="86" spans="17:65" x14ac:dyDescent="0.3">
      <c r="Q86" s="90"/>
      <c r="R86" s="342"/>
      <c r="S86" s="342"/>
      <c r="T86" s="342"/>
      <c r="U86" s="342"/>
      <c r="V86" s="342"/>
      <c r="W86" s="342"/>
      <c r="X86" s="342"/>
      <c r="Y86" s="342"/>
      <c r="Z86" s="342"/>
      <c r="AA86" s="342"/>
      <c r="AB86" s="342"/>
      <c r="AC86" s="342"/>
      <c r="AD86" s="342"/>
      <c r="AE86" s="342"/>
      <c r="AF86" s="342"/>
      <c r="AG86" s="342"/>
      <c r="AH86" s="342"/>
      <c r="AI86" s="342"/>
      <c r="AJ86" s="342"/>
      <c r="AK86" s="342"/>
      <c r="AL86" s="342"/>
      <c r="AM86" s="342"/>
      <c r="AN86" s="342"/>
      <c r="AO86" s="342"/>
      <c r="AP86" s="342"/>
      <c r="AQ86" s="342"/>
      <c r="AR86" s="342"/>
      <c r="AS86" s="342"/>
      <c r="AT86" s="342"/>
      <c r="AU86" s="342"/>
      <c r="AV86" s="342"/>
      <c r="AW86" s="342"/>
      <c r="AX86" s="342"/>
      <c r="AY86" s="342"/>
      <c r="AZ86" s="342"/>
      <c r="BA86" s="342"/>
      <c r="BB86" s="342"/>
      <c r="BC86" s="342"/>
      <c r="BD86" s="342"/>
      <c r="BE86" s="342"/>
      <c r="BF86" s="342"/>
      <c r="BG86" s="342"/>
      <c r="BH86" s="342"/>
      <c r="BI86" s="342"/>
      <c r="BJ86" s="342"/>
      <c r="BK86" s="342"/>
      <c r="BL86" s="342"/>
      <c r="BM86" s="91"/>
    </row>
    <row r="87" spans="17:65" x14ac:dyDescent="0.3">
      <c r="Q87" s="90"/>
      <c r="R87" s="342"/>
      <c r="S87" s="342"/>
      <c r="T87" s="342"/>
      <c r="U87" s="342"/>
      <c r="V87" s="342"/>
      <c r="W87" s="342"/>
      <c r="X87" s="342"/>
      <c r="Y87" s="342"/>
      <c r="Z87" s="342"/>
      <c r="AA87" s="342"/>
      <c r="AB87" s="342"/>
      <c r="AC87" s="342"/>
      <c r="AD87" s="342"/>
      <c r="AE87" s="342"/>
      <c r="AF87" s="342"/>
      <c r="AG87" s="342"/>
      <c r="AH87" s="342"/>
      <c r="AI87" s="342"/>
      <c r="AJ87" s="342"/>
      <c r="AK87" s="342"/>
      <c r="AL87" s="342"/>
      <c r="AM87" s="342"/>
      <c r="AN87" s="342"/>
      <c r="AO87" s="342"/>
      <c r="AP87" s="342"/>
      <c r="AQ87" s="342"/>
      <c r="AR87" s="342"/>
      <c r="AS87" s="342"/>
      <c r="AT87" s="342"/>
      <c r="AU87" s="342"/>
      <c r="AV87" s="342"/>
      <c r="AW87" s="342"/>
      <c r="AX87" s="342"/>
      <c r="AY87" s="342"/>
      <c r="AZ87" s="342"/>
      <c r="BA87" s="342"/>
      <c r="BB87" s="342"/>
      <c r="BC87" s="342"/>
      <c r="BD87" s="342"/>
      <c r="BE87" s="342"/>
      <c r="BF87" s="342"/>
      <c r="BG87" s="342"/>
      <c r="BH87" s="342"/>
      <c r="BI87" s="342"/>
      <c r="BJ87" s="342"/>
      <c r="BK87" s="342"/>
      <c r="BL87" s="342"/>
      <c r="BM87" s="91"/>
    </row>
    <row r="88" spans="17:65" x14ac:dyDescent="0.3">
      <c r="Q88" s="90"/>
      <c r="R88" s="342"/>
      <c r="S88" s="342"/>
      <c r="T88" s="342"/>
      <c r="U88" s="342"/>
      <c r="V88" s="342"/>
      <c r="W88" s="342"/>
      <c r="X88" s="342"/>
      <c r="Y88" s="342"/>
      <c r="Z88" s="342"/>
      <c r="AA88" s="342"/>
      <c r="AB88" s="342"/>
      <c r="AC88" s="342"/>
      <c r="AD88" s="342"/>
      <c r="AE88" s="342"/>
      <c r="AF88" s="342"/>
      <c r="AG88" s="342"/>
      <c r="AH88" s="342"/>
      <c r="AI88" s="342"/>
      <c r="AJ88" s="342"/>
      <c r="AK88" s="342"/>
      <c r="AL88" s="342"/>
      <c r="AM88" s="342"/>
      <c r="AN88" s="342"/>
      <c r="AO88" s="342"/>
      <c r="AP88" s="342"/>
      <c r="AQ88" s="342"/>
      <c r="AR88" s="342"/>
      <c r="AS88" s="342"/>
      <c r="AT88" s="342"/>
      <c r="AU88" s="342"/>
      <c r="AV88" s="342"/>
      <c r="AW88" s="342"/>
      <c r="AX88" s="342"/>
      <c r="AY88" s="342"/>
      <c r="AZ88" s="342"/>
      <c r="BA88" s="342"/>
      <c r="BB88" s="342"/>
      <c r="BC88" s="342"/>
      <c r="BD88" s="342"/>
      <c r="BE88" s="342"/>
      <c r="BF88" s="342"/>
      <c r="BG88" s="342"/>
      <c r="BH88" s="342"/>
      <c r="BI88" s="342"/>
      <c r="BJ88" s="342"/>
      <c r="BK88" s="342"/>
      <c r="BL88" s="342"/>
      <c r="BM88" s="91"/>
    </row>
    <row r="89" spans="17:65" x14ac:dyDescent="0.3">
      <c r="Q89" s="90"/>
      <c r="R89" s="342"/>
      <c r="S89" s="342"/>
      <c r="T89" s="342"/>
      <c r="U89" s="342"/>
      <c r="V89" s="342"/>
      <c r="W89" s="342"/>
      <c r="X89" s="342"/>
      <c r="Y89" s="342"/>
      <c r="Z89" s="342"/>
      <c r="AA89" s="342"/>
      <c r="AB89" s="342"/>
      <c r="AC89" s="342"/>
      <c r="AD89" s="342"/>
      <c r="AE89" s="342"/>
      <c r="AF89" s="342"/>
      <c r="AG89" s="342"/>
      <c r="AH89" s="342"/>
      <c r="AI89" s="342"/>
      <c r="AJ89" s="342"/>
      <c r="AK89" s="342"/>
      <c r="AL89" s="342"/>
      <c r="AM89" s="342"/>
      <c r="AN89" s="342"/>
      <c r="AO89" s="342"/>
      <c r="AP89" s="342"/>
      <c r="AQ89" s="342"/>
      <c r="AR89" s="342"/>
      <c r="AS89" s="342"/>
      <c r="AT89" s="342"/>
      <c r="AU89" s="342"/>
      <c r="AV89" s="342"/>
      <c r="AW89" s="342"/>
      <c r="AX89" s="342"/>
      <c r="AY89" s="342"/>
      <c r="AZ89" s="342"/>
      <c r="BA89" s="342"/>
      <c r="BB89" s="342"/>
      <c r="BC89" s="342"/>
      <c r="BD89" s="342"/>
      <c r="BE89" s="342"/>
      <c r="BF89" s="342"/>
      <c r="BG89" s="342"/>
      <c r="BH89" s="342"/>
      <c r="BI89" s="342"/>
      <c r="BJ89" s="342"/>
      <c r="BK89" s="342"/>
      <c r="BL89" s="342"/>
      <c r="BM89" s="91"/>
    </row>
    <row r="90" spans="17:65" x14ac:dyDescent="0.3">
      <c r="Q90" s="90"/>
      <c r="R90" s="342"/>
      <c r="S90" s="342"/>
      <c r="T90" s="342"/>
      <c r="U90" s="342"/>
      <c r="V90" s="342"/>
      <c r="W90" s="342"/>
      <c r="X90" s="342"/>
      <c r="Y90" s="342"/>
      <c r="Z90" s="342"/>
      <c r="AA90" s="342"/>
      <c r="AB90" s="342"/>
      <c r="AC90" s="342"/>
      <c r="AD90" s="342"/>
      <c r="AE90" s="342"/>
      <c r="AF90" s="342"/>
      <c r="AG90" s="342"/>
      <c r="AH90" s="342"/>
      <c r="AI90" s="342"/>
      <c r="AJ90" s="342"/>
      <c r="AK90" s="342"/>
      <c r="AL90" s="342"/>
      <c r="AM90" s="342"/>
      <c r="AN90" s="342"/>
      <c r="AO90" s="342"/>
      <c r="AP90" s="342"/>
      <c r="AQ90" s="342"/>
      <c r="AR90" s="342"/>
      <c r="AS90" s="342"/>
      <c r="AT90" s="342"/>
      <c r="AU90" s="342"/>
      <c r="AV90" s="342"/>
      <c r="AW90" s="342"/>
      <c r="AX90" s="342"/>
      <c r="AY90" s="342"/>
      <c r="AZ90" s="342"/>
      <c r="BA90" s="342"/>
      <c r="BB90" s="342"/>
      <c r="BC90" s="342"/>
      <c r="BD90" s="342"/>
      <c r="BE90" s="342"/>
      <c r="BF90" s="342"/>
      <c r="BG90" s="342"/>
      <c r="BH90" s="342"/>
      <c r="BI90" s="342"/>
      <c r="BJ90" s="342"/>
      <c r="BK90" s="342"/>
      <c r="BL90" s="342"/>
      <c r="BM90" s="91"/>
    </row>
    <row r="91" spans="17:65" x14ac:dyDescent="0.3">
      <c r="Q91" s="90"/>
      <c r="R91" s="342"/>
      <c r="S91" s="342"/>
      <c r="T91" s="342"/>
      <c r="U91" s="342"/>
      <c r="V91" s="342"/>
      <c r="W91" s="342"/>
      <c r="X91" s="342"/>
      <c r="Y91" s="342"/>
      <c r="Z91" s="342"/>
      <c r="AA91" s="342"/>
      <c r="AB91" s="342"/>
      <c r="AC91" s="342"/>
      <c r="AD91" s="342"/>
      <c r="AE91" s="342"/>
      <c r="AF91" s="342"/>
      <c r="AG91" s="342"/>
      <c r="AH91" s="342"/>
      <c r="AI91" s="342"/>
      <c r="AJ91" s="342"/>
      <c r="AK91" s="342"/>
      <c r="AL91" s="342"/>
      <c r="AM91" s="342"/>
      <c r="AN91" s="342"/>
      <c r="AO91" s="342"/>
      <c r="AP91" s="342"/>
      <c r="AQ91" s="342"/>
      <c r="AR91" s="342"/>
      <c r="AS91" s="342"/>
      <c r="AT91" s="342"/>
      <c r="AU91" s="342"/>
      <c r="AV91" s="342"/>
      <c r="AW91" s="342"/>
      <c r="AX91" s="342"/>
      <c r="AY91" s="342"/>
      <c r="AZ91" s="342"/>
      <c r="BA91" s="342"/>
      <c r="BB91" s="342"/>
      <c r="BC91" s="342"/>
      <c r="BD91" s="342"/>
      <c r="BE91" s="342"/>
      <c r="BF91" s="342"/>
      <c r="BG91" s="342"/>
      <c r="BH91" s="342"/>
      <c r="BI91" s="342"/>
      <c r="BJ91" s="342"/>
      <c r="BK91" s="342"/>
      <c r="BL91" s="342"/>
      <c r="BM91" s="91"/>
    </row>
    <row r="92" spans="17:65" x14ac:dyDescent="0.3">
      <c r="Q92" s="90"/>
      <c r="R92" s="342"/>
      <c r="S92" s="342"/>
      <c r="T92" s="342"/>
      <c r="U92" s="342"/>
      <c r="V92" s="342"/>
      <c r="W92" s="342"/>
      <c r="X92" s="342"/>
      <c r="Y92" s="342"/>
      <c r="Z92" s="342"/>
      <c r="AA92" s="342"/>
      <c r="AB92" s="342"/>
      <c r="AC92" s="342"/>
      <c r="AD92" s="342"/>
      <c r="AE92" s="342"/>
      <c r="AF92" s="342"/>
      <c r="AG92" s="342"/>
      <c r="AH92" s="342"/>
      <c r="AI92" s="342"/>
      <c r="AJ92" s="342"/>
      <c r="AK92" s="342"/>
      <c r="AL92" s="342"/>
      <c r="AM92" s="342"/>
      <c r="AN92" s="342"/>
      <c r="AO92" s="342"/>
      <c r="AP92" s="342"/>
      <c r="AQ92" s="342"/>
      <c r="AR92" s="342"/>
      <c r="AS92" s="342"/>
      <c r="AT92" s="342"/>
      <c r="AU92" s="342"/>
      <c r="AV92" s="342"/>
      <c r="AW92" s="342"/>
      <c r="AX92" s="342"/>
      <c r="AY92" s="342"/>
      <c r="AZ92" s="342"/>
      <c r="BA92" s="342"/>
      <c r="BB92" s="342"/>
      <c r="BC92" s="342"/>
      <c r="BD92" s="342"/>
      <c r="BE92" s="342"/>
      <c r="BF92" s="342"/>
      <c r="BG92" s="342"/>
      <c r="BH92" s="342"/>
      <c r="BI92" s="342"/>
      <c r="BJ92" s="342"/>
      <c r="BK92" s="342"/>
      <c r="BL92" s="342"/>
      <c r="BM92" s="91"/>
    </row>
    <row r="93" spans="17:65" x14ac:dyDescent="0.3">
      <c r="Q93" s="90"/>
      <c r="R93" s="342"/>
      <c r="S93" s="342"/>
      <c r="T93" s="342"/>
      <c r="U93" s="342"/>
      <c r="V93" s="342"/>
      <c r="W93" s="342"/>
      <c r="X93" s="342"/>
      <c r="Y93" s="342"/>
      <c r="Z93" s="342"/>
      <c r="AA93" s="342"/>
      <c r="AB93" s="342"/>
      <c r="AC93" s="342"/>
      <c r="AD93" s="342"/>
      <c r="AE93" s="342"/>
      <c r="AF93" s="342"/>
      <c r="AG93" s="342"/>
      <c r="AH93" s="342"/>
      <c r="AI93" s="342"/>
      <c r="AJ93" s="342"/>
      <c r="AK93" s="342"/>
      <c r="AL93" s="342"/>
      <c r="AM93" s="342"/>
      <c r="AN93" s="342"/>
      <c r="AO93" s="342"/>
      <c r="AP93" s="342"/>
      <c r="AQ93" s="342"/>
      <c r="AR93" s="342"/>
      <c r="AS93" s="342"/>
      <c r="AT93" s="342"/>
      <c r="AU93" s="342"/>
      <c r="AV93" s="342"/>
      <c r="AW93" s="342"/>
      <c r="AX93" s="342"/>
      <c r="AY93" s="342"/>
      <c r="AZ93" s="342"/>
      <c r="BA93" s="342"/>
      <c r="BB93" s="342"/>
      <c r="BC93" s="342"/>
      <c r="BD93" s="342"/>
      <c r="BE93" s="342"/>
      <c r="BF93" s="342"/>
      <c r="BG93" s="342"/>
      <c r="BH93" s="342"/>
      <c r="BI93" s="342"/>
      <c r="BJ93" s="342"/>
      <c r="BK93" s="342"/>
      <c r="BL93" s="342"/>
      <c r="BM93" s="91"/>
    </row>
    <row r="94" spans="17:65" x14ac:dyDescent="0.3">
      <c r="Q94" s="90"/>
      <c r="R94" s="342"/>
      <c r="S94" s="342"/>
      <c r="T94" s="342"/>
      <c r="U94" s="342"/>
      <c r="V94" s="342"/>
      <c r="W94" s="342"/>
      <c r="X94" s="342"/>
      <c r="Y94" s="342"/>
      <c r="Z94" s="342"/>
      <c r="AA94" s="342"/>
      <c r="AB94" s="342"/>
      <c r="AC94" s="342"/>
      <c r="AD94" s="342"/>
      <c r="AE94" s="342"/>
      <c r="AF94" s="342"/>
      <c r="AG94" s="342"/>
      <c r="AH94" s="342"/>
      <c r="AI94" s="342"/>
      <c r="AJ94" s="342"/>
      <c r="AK94" s="342"/>
      <c r="AL94" s="342"/>
      <c r="AM94" s="342"/>
      <c r="AN94" s="342"/>
      <c r="AO94" s="342"/>
      <c r="AP94" s="342"/>
      <c r="AQ94" s="342"/>
      <c r="AR94" s="342"/>
      <c r="AS94" s="342"/>
      <c r="AT94" s="342"/>
      <c r="AU94" s="342"/>
      <c r="AV94" s="342"/>
      <c r="AW94" s="342"/>
      <c r="AX94" s="342"/>
      <c r="AY94" s="342"/>
      <c r="AZ94" s="342"/>
      <c r="BA94" s="342"/>
      <c r="BB94" s="342"/>
      <c r="BC94" s="342"/>
      <c r="BD94" s="342"/>
      <c r="BE94" s="342"/>
      <c r="BF94" s="342"/>
      <c r="BG94" s="342"/>
      <c r="BH94" s="342"/>
      <c r="BI94" s="342"/>
      <c r="BJ94" s="342"/>
      <c r="BK94" s="342"/>
      <c r="BL94" s="342"/>
      <c r="BM94" s="91"/>
    </row>
    <row r="95" spans="17:65" x14ac:dyDescent="0.3">
      <c r="Q95" s="90"/>
      <c r="R95" s="342"/>
      <c r="S95" s="342"/>
      <c r="T95" s="342"/>
      <c r="U95" s="342"/>
      <c r="V95" s="342"/>
      <c r="W95" s="342"/>
      <c r="X95" s="342"/>
      <c r="Y95" s="342"/>
      <c r="Z95" s="342"/>
      <c r="AA95" s="342"/>
      <c r="AB95" s="342"/>
      <c r="AC95" s="342"/>
      <c r="AD95" s="342"/>
      <c r="AE95" s="342"/>
      <c r="AF95" s="342"/>
      <c r="AG95" s="342"/>
      <c r="AH95" s="342"/>
      <c r="AI95" s="342"/>
      <c r="AJ95" s="342"/>
      <c r="AK95" s="342"/>
      <c r="AL95" s="342"/>
      <c r="AM95" s="342"/>
      <c r="AN95" s="342"/>
      <c r="AO95" s="342"/>
      <c r="AP95" s="342"/>
      <c r="AQ95" s="342"/>
      <c r="AR95" s="342"/>
      <c r="AS95" s="342"/>
      <c r="AT95" s="342"/>
      <c r="AU95" s="342"/>
      <c r="AV95" s="342"/>
      <c r="AW95" s="342"/>
      <c r="AX95" s="342"/>
      <c r="AY95" s="342"/>
      <c r="AZ95" s="342"/>
      <c r="BA95" s="342"/>
      <c r="BB95" s="342"/>
      <c r="BC95" s="342"/>
      <c r="BD95" s="342"/>
      <c r="BE95" s="342"/>
      <c r="BF95" s="342"/>
      <c r="BG95" s="342"/>
      <c r="BH95" s="342"/>
      <c r="BI95" s="342"/>
      <c r="BJ95" s="342"/>
      <c r="BK95" s="342"/>
      <c r="BL95" s="342"/>
      <c r="BM95" s="91"/>
    </row>
    <row r="96" spans="17:65" x14ac:dyDescent="0.3">
      <c r="Q96" s="90"/>
      <c r="R96" s="342"/>
      <c r="S96" s="342"/>
      <c r="T96" s="342"/>
      <c r="U96" s="342"/>
      <c r="V96" s="342"/>
      <c r="W96" s="342"/>
      <c r="X96" s="342"/>
      <c r="Y96" s="342"/>
      <c r="Z96" s="342"/>
      <c r="AA96" s="342"/>
      <c r="AB96" s="342"/>
      <c r="AC96" s="342"/>
      <c r="AD96" s="342"/>
      <c r="AE96" s="342"/>
      <c r="AF96" s="342"/>
      <c r="AG96" s="342"/>
      <c r="AH96" s="342"/>
      <c r="AI96" s="342"/>
      <c r="AJ96" s="342"/>
      <c r="AK96" s="342"/>
      <c r="AL96" s="342"/>
      <c r="AM96" s="342"/>
      <c r="AN96" s="342"/>
      <c r="AO96" s="342"/>
      <c r="AP96" s="342"/>
      <c r="AQ96" s="342"/>
      <c r="AR96" s="342"/>
      <c r="AS96" s="342"/>
      <c r="AT96" s="342"/>
      <c r="AU96" s="342"/>
      <c r="AV96" s="342"/>
      <c r="AW96" s="342"/>
      <c r="AX96" s="342"/>
      <c r="AY96" s="342"/>
      <c r="AZ96" s="342"/>
      <c r="BA96" s="342"/>
      <c r="BB96" s="342"/>
      <c r="BC96" s="342"/>
      <c r="BD96" s="342"/>
      <c r="BE96" s="342"/>
      <c r="BF96" s="342"/>
      <c r="BG96" s="342"/>
      <c r="BH96" s="342"/>
      <c r="BI96" s="342"/>
      <c r="BJ96" s="342"/>
      <c r="BK96" s="342"/>
      <c r="BL96" s="342"/>
      <c r="BM96" s="91"/>
    </row>
    <row r="97" spans="17:65" x14ac:dyDescent="0.3">
      <c r="Q97" s="90"/>
      <c r="R97" s="342"/>
      <c r="S97" s="342"/>
      <c r="T97" s="342"/>
      <c r="U97" s="342"/>
      <c r="V97" s="342"/>
      <c r="W97" s="342"/>
      <c r="X97" s="342"/>
      <c r="Y97" s="342"/>
      <c r="Z97" s="342"/>
      <c r="AA97" s="342"/>
      <c r="AB97" s="342"/>
      <c r="AC97" s="342"/>
      <c r="AD97" s="342"/>
      <c r="AE97" s="342"/>
      <c r="AF97" s="342"/>
      <c r="AG97" s="342"/>
      <c r="AH97" s="342"/>
      <c r="AI97" s="342"/>
      <c r="AJ97" s="342"/>
      <c r="AK97" s="342"/>
      <c r="AL97" s="342"/>
      <c r="AM97" s="342"/>
      <c r="AN97" s="342"/>
      <c r="AO97" s="342"/>
      <c r="AP97" s="342"/>
      <c r="AQ97" s="342"/>
      <c r="AR97" s="342"/>
      <c r="AS97" s="342"/>
      <c r="AT97" s="342"/>
      <c r="AU97" s="342"/>
      <c r="AV97" s="342"/>
      <c r="AW97" s="342"/>
      <c r="AX97" s="342"/>
      <c r="AY97" s="342"/>
      <c r="AZ97" s="342"/>
      <c r="BA97" s="342"/>
      <c r="BB97" s="342"/>
      <c r="BC97" s="342"/>
      <c r="BD97" s="342"/>
      <c r="BE97" s="342"/>
      <c r="BF97" s="342"/>
      <c r="BG97" s="342"/>
      <c r="BH97" s="342"/>
      <c r="BI97" s="342"/>
      <c r="BJ97" s="342"/>
      <c r="BK97" s="342"/>
      <c r="BL97" s="342"/>
      <c r="BM97" s="91"/>
    </row>
    <row r="98" spans="17:65" x14ac:dyDescent="0.3">
      <c r="Q98" s="90"/>
      <c r="R98" s="342"/>
      <c r="S98" s="342"/>
      <c r="T98" s="342"/>
      <c r="U98" s="342"/>
      <c r="V98" s="342"/>
      <c r="W98" s="342"/>
      <c r="X98" s="342"/>
      <c r="Y98" s="342"/>
      <c r="Z98" s="342"/>
      <c r="AA98" s="342"/>
      <c r="AB98" s="342"/>
      <c r="AC98" s="342"/>
      <c r="AD98" s="342"/>
      <c r="AE98" s="342"/>
      <c r="AF98" s="342"/>
      <c r="AG98" s="342"/>
      <c r="AH98" s="342"/>
      <c r="AI98" s="342"/>
      <c r="AJ98" s="342"/>
      <c r="AK98" s="342"/>
      <c r="AL98" s="342"/>
      <c r="AM98" s="342"/>
      <c r="AN98" s="342"/>
      <c r="AO98" s="342"/>
      <c r="AP98" s="342"/>
      <c r="AQ98" s="342"/>
      <c r="AR98" s="342"/>
      <c r="AS98" s="342"/>
      <c r="AT98" s="342"/>
      <c r="AU98" s="342"/>
      <c r="AV98" s="342"/>
      <c r="AW98" s="342"/>
      <c r="AX98" s="342"/>
      <c r="AY98" s="342"/>
      <c r="AZ98" s="342"/>
      <c r="BA98" s="342"/>
      <c r="BB98" s="342"/>
      <c r="BC98" s="342"/>
      <c r="BD98" s="342"/>
      <c r="BE98" s="342"/>
      <c r="BF98" s="342"/>
      <c r="BG98" s="342"/>
      <c r="BH98" s="342"/>
      <c r="BI98" s="342"/>
      <c r="BJ98" s="342"/>
      <c r="BK98" s="342"/>
      <c r="BL98" s="342"/>
      <c r="BM98" s="91"/>
    </row>
    <row r="99" spans="17:65" x14ac:dyDescent="0.3">
      <c r="Q99" s="90"/>
      <c r="R99" s="342"/>
      <c r="S99" s="342"/>
      <c r="T99" s="342"/>
      <c r="U99" s="342"/>
      <c r="V99" s="342"/>
      <c r="W99" s="342"/>
      <c r="X99" s="342"/>
      <c r="Y99" s="342"/>
      <c r="Z99" s="342"/>
      <c r="AA99" s="342"/>
      <c r="AB99" s="342"/>
      <c r="AC99" s="342"/>
      <c r="AD99" s="342"/>
      <c r="AE99" s="342"/>
      <c r="AF99" s="342"/>
      <c r="AG99" s="342"/>
      <c r="AH99" s="342"/>
      <c r="AI99" s="342"/>
      <c r="AJ99" s="342"/>
      <c r="AK99" s="342"/>
      <c r="AL99" s="342"/>
      <c r="AM99" s="342"/>
      <c r="AN99" s="342"/>
      <c r="AO99" s="342"/>
      <c r="AP99" s="342"/>
      <c r="AQ99" s="342"/>
      <c r="AR99" s="342"/>
      <c r="AS99" s="342"/>
      <c r="AT99" s="342"/>
      <c r="AU99" s="342"/>
      <c r="AV99" s="342"/>
      <c r="AW99" s="342"/>
      <c r="AX99" s="342"/>
      <c r="AY99" s="342"/>
      <c r="AZ99" s="342"/>
      <c r="BA99" s="342"/>
      <c r="BB99" s="342"/>
      <c r="BC99" s="342"/>
      <c r="BD99" s="342"/>
      <c r="BE99" s="342"/>
      <c r="BF99" s="342"/>
      <c r="BG99" s="342"/>
      <c r="BH99" s="342"/>
      <c r="BI99" s="342"/>
      <c r="BJ99" s="342"/>
      <c r="BK99" s="342"/>
      <c r="BL99" s="342"/>
      <c r="BM99" s="91"/>
    </row>
    <row r="100" spans="17:65" x14ac:dyDescent="0.3">
      <c r="Q100" s="90"/>
      <c r="R100" s="342"/>
      <c r="S100" s="342"/>
      <c r="T100" s="342"/>
      <c r="U100" s="342"/>
      <c r="V100" s="342"/>
      <c r="W100" s="342"/>
      <c r="X100" s="342"/>
      <c r="Y100" s="342"/>
      <c r="Z100" s="342"/>
      <c r="AA100" s="342"/>
      <c r="AB100" s="342"/>
      <c r="AC100" s="342"/>
      <c r="AD100" s="342"/>
      <c r="AE100" s="342"/>
      <c r="AF100" s="342"/>
      <c r="AG100" s="342"/>
      <c r="AH100" s="342"/>
      <c r="AI100" s="342"/>
      <c r="AJ100" s="342"/>
      <c r="AK100" s="342"/>
      <c r="AL100" s="342"/>
      <c r="AM100" s="342"/>
      <c r="AN100" s="342"/>
      <c r="AO100" s="342"/>
      <c r="AP100" s="342"/>
      <c r="AQ100" s="342"/>
      <c r="AR100" s="342"/>
      <c r="AS100" s="342"/>
      <c r="AT100" s="342"/>
      <c r="AU100" s="342"/>
      <c r="AV100" s="342"/>
      <c r="AW100" s="342"/>
      <c r="AX100" s="342"/>
      <c r="AY100" s="342"/>
      <c r="AZ100" s="342"/>
      <c r="BA100" s="342"/>
      <c r="BB100" s="342"/>
      <c r="BC100" s="342"/>
      <c r="BD100" s="342"/>
      <c r="BE100" s="342"/>
      <c r="BF100" s="342"/>
      <c r="BG100" s="342"/>
      <c r="BH100" s="342"/>
      <c r="BI100" s="342"/>
      <c r="BJ100" s="342"/>
      <c r="BK100" s="342"/>
      <c r="BL100" s="342"/>
      <c r="BM100" s="91"/>
    </row>
    <row r="101" spans="17:65" x14ac:dyDescent="0.3">
      <c r="Q101" s="90"/>
      <c r="R101" s="342"/>
      <c r="S101" s="342"/>
      <c r="T101" s="342"/>
      <c r="U101" s="342"/>
      <c r="V101" s="342"/>
      <c r="W101" s="342"/>
      <c r="X101" s="342"/>
      <c r="Y101" s="342"/>
      <c r="Z101" s="342"/>
      <c r="AA101" s="342"/>
      <c r="AB101" s="342"/>
      <c r="AC101" s="342"/>
      <c r="AD101" s="342"/>
      <c r="AE101" s="342"/>
      <c r="AF101" s="342"/>
      <c r="AG101" s="342"/>
      <c r="AH101" s="342"/>
      <c r="AI101" s="342"/>
      <c r="AJ101" s="342"/>
      <c r="AK101" s="342"/>
      <c r="AL101" s="342"/>
      <c r="AM101" s="342"/>
      <c r="AN101" s="342"/>
      <c r="AO101" s="342"/>
      <c r="AP101" s="342"/>
      <c r="AQ101" s="342"/>
      <c r="AR101" s="342"/>
      <c r="AS101" s="342"/>
      <c r="AT101" s="342"/>
      <c r="AU101" s="342"/>
      <c r="AV101" s="342"/>
      <c r="AW101" s="342"/>
      <c r="AX101" s="342"/>
      <c r="AY101" s="342"/>
      <c r="AZ101" s="342"/>
      <c r="BA101" s="342"/>
      <c r="BB101" s="342"/>
      <c r="BC101" s="342"/>
      <c r="BD101" s="342"/>
      <c r="BE101" s="342"/>
      <c r="BF101" s="342"/>
      <c r="BG101" s="342"/>
      <c r="BH101" s="342"/>
      <c r="BI101" s="342"/>
      <c r="BJ101" s="342"/>
      <c r="BK101" s="342"/>
      <c r="BL101" s="342"/>
      <c r="BM101" s="91"/>
    </row>
    <row r="102" spans="17:65" x14ac:dyDescent="0.3">
      <c r="Q102" s="90"/>
      <c r="R102" s="342"/>
      <c r="S102" s="342"/>
      <c r="T102" s="342"/>
      <c r="U102" s="342"/>
      <c r="V102" s="342"/>
      <c r="W102" s="342"/>
      <c r="X102" s="342"/>
      <c r="Y102" s="342"/>
      <c r="Z102" s="342"/>
      <c r="AA102" s="342"/>
      <c r="AB102" s="342"/>
      <c r="AC102" s="342"/>
      <c r="AD102" s="342"/>
      <c r="AE102" s="342"/>
      <c r="AF102" s="342"/>
      <c r="AG102" s="342"/>
      <c r="AH102" s="342"/>
      <c r="AI102" s="342"/>
      <c r="AJ102" s="342"/>
      <c r="AK102" s="342"/>
      <c r="AL102" s="342"/>
      <c r="AM102" s="342"/>
      <c r="AN102" s="342"/>
      <c r="AO102" s="342"/>
      <c r="AP102" s="342"/>
      <c r="AQ102" s="342"/>
      <c r="AR102" s="342"/>
      <c r="AS102" s="342"/>
      <c r="AT102" s="342"/>
      <c r="AU102" s="342"/>
      <c r="AV102" s="342"/>
      <c r="AW102" s="342"/>
      <c r="AX102" s="342"/>
      <c r="AY102" s="342"/>
      <c r="AZ102" s="342"/>
      <c r="BA102" s="342"/>
      <c r="BB102" s="342"/>
      <c r="BC102" s="342"/>
      <c r="BD102" s="342"/>
      <c r="BE102" s="342"/>
      <c r="BF102" s="342"/>
      <c r="BG102" s="342"/>
      <c r="BH102" s="342"/>
      <c r="BI102" s="342"/>
      <c r="BJ102" s="342"/>
      <c r="BK102" s="342"/>
      <c r="BL102" s="342"/>
      <c r="BM102" s="91"/>
    </row>
    <row r="103" spans="17:65" x14ac:dyDescent="0.3">
      <c r="Q103" s="90"/>
      <c r="R103" s="342"/>
      <c r="S103" s="342"/>
      <c r="T103" s="342"/>
      <c r="U103" s="342"/>
      <c r="V103" s="342"/>
      <c r="W103" s="342"/>
      <c r="X103" s="342"/>
      <c r="Y103" s="342"/>
      <c r="Z103" s="342"/>
      <c r="AA103" s="342"/>
      <c r="AB103" s="342"/>
      <c r="AC103" s="342"/>
      <c r="AD103" s="342"/>
      <c r="AE103" s="342"/>
      <c r="AF103" s="342"/>
      <c r="AG103" s="342"/>
      <c r="AH103" s="342"/>
      <c r="AI103" s="342"/>
      <c r="AJ103" s="342"/>
      <c r="AK103" s="342"/>
      <c r="AL103" s="342"/>
      <c r="AM103" s="342"/>
      <c r="AN103" s="342"/>
      <c r="AO103" s="342"/>
      <c r="AP103" s="342"/>
      <c r="AQ103" s="342"/>
      <c r="AR103" s="342"/>
      <c r="AS103" s="342"/>
      <c r="AT103" s="342"/>
      <c r="AU103" s="342"/>
      <c r="AV103" s="342"/>
      <c r="AW103" s="342"/>
      <c r="AX103" s="342"/>
      <c r="AY103" s="342"/>
      <c r="AZ103" s="342"/>
      <c r="BA103" s="342"/>
      <c r="BB103" s="342"/>
      <c r="BC103" s="342"/>
      <c r="BD103" s="342"/>
      <c r="BE103" s="342"/>
      <c r="BF103" s="342"/>
      <c r="BG103" s="342"/>
      <c r="BH103" s="342"/>
      <c r="BI103" s="342"/>
      <c r="BJ103" s="342"/>
      <c r="BK103" s="342"/>
      <c r="BL103" s="342"/>
      <c r="BM103" s="91"/>
    </row>
    <row r="104" spans="17:65" x14ac:dyDescent="0.3">
      <c r="Q104" s="90"/>
      <c r="R104" s="342"/>
      <c r="S104" s="342"/>
      <c r="T104" s="342"/>
      <c r="U104" s="342"/>
      <c r="V104" s="342"/>
      <c r="W104" s="342"/>
      <c r="X104" s="342"/>
      <c r="Y104" s="342"/>
      <c r="Z104" s="342"/>
      <c r="AA104" s="342"/>
      <c r="AB104" s="342"/>
      <c r="AC104" s="342"/>
      <c r="AD104" s="342"/>
      <c r="AE104" s="342"/>
      <c r="AF104" s="342"/>
      <c r="AG104" s="342"/>
      <c r="AH104" s="342"/>
      <c r="AI104" s="342"/>
      <c r="AJ104" s="342"/>
      <c r="AK104" s="342"/>
      <c r="AL104" s="342"/>
      <c r="AM104" s="342"/>
      <c r="AN104" s="342"/>
      <c r="AO104" s="342"/>
      <c r="AP104" s="342"/>
      <c r="AQ104" s="342"/>
      <c r="AR104" s="342"/>
      <c r="AS104" s="342"/>
      <c r="AT104" s="342"/>
      <c r="AU104" s="342"/>
      <c r="AV104" s="342"/>
      <c r="AW104" s="342"/>
      <c r="AX104" s="342"/>
      <c r="AY104" s="342"/>
      <c r="AZ104" s="342"/>
      <c r="BA104" s="342"/>
      <c r="BB104" s="342"/>
      <c r="BC104" s="342"/>
      <c r="BD104" s="342"/>
      <c r="BE104" s="342"/>
      <c r="BF104" s="342"/>
      <c r="BG104" s="342"/>
      <c r="BH104" s="342"/>
      <c r="BI104" s="342"/>
      <c r="BJ104" s="342"/>
      <c r="BK104" s="342"/>
      <c r="BL104" s="342"/>
      <c r="BM104" s="91"/>
    </row>
    <row r="105" spans="17:65" x14ac:dyDescent="0.3">
      <c r="Q105" s="90"/>
      <c r="R105" s="342"/>
      <c r="S105" s="342"/>
      <c r="T105" s="342"/>
      <c r="U105" s="342"/>
      <c r="V105" s="342"/>
      <c r="W105" s="342"/>
      <c r="X105" s="342"/>
      <c r="Y105" s="342"/>
      <c r="Z105" s="342"/>
      <c r="AA105" s="342"/>
      <c r="AB105" s="342"/>
      <c r="AC105" s="342"/>
      <c r="AD105" s="342"/>
      <c r="AE105" s="342"/>
      <c r="AF105" s="342"/>
      <c r="AG105" s="342"/>
      <c r="AH105" s="342"/>
      <c r="AI105" s="342"/>
      <c r="AJ105" s="342"/>
      <c r="AK105" s="342"/>
      <c r="AL105" s="342"/>
      <c r="AM105" s="342"/>
      <c r="AN105" s="342"/>
      <c r="AO105" s="342"/>
      <c r="AP105" s="342"/>
      <c r="AQ105" s="342"/>
      <c r="AR105" s="342"/>
      <c r="AS105" s="342"/>
      <c r="AT105" s="342"/>
      <c r="AU105" s="342"/>
      <c r="AV105" s="342"/>
      <c r="AW105" s="342"/>
      <c r="AX105" s="342"/>
      <c r="AY105" s="342"/>
      <c r="AZ105" s="342"/>
      <c r="BA105" s="342"/>
      <c r="BB105" s="342"/>
      <c r="BC105" s="342"/>
      <c r="BD105" s="342"/>
      <c r="BE105" s="342"/>
      <c r="BF105" s="342"/>
      <c r="BG105" s="342"/>
      <c r="BH105" s="342"/>
      <c r="BI105" s="342"/>
      <c r="BJ105" s="342"/>
      <c r="BK105" s="342"/>
      <c r="BL105" s="342"/>
      <c r="BM105" s="91"/>
    </row>
    <row r="106" spans="17:65" x14ac:dyDescent="0.3">
      <c r="Q106" s="90"/>
      <c r="R106" s="342"/>
      <c r="S106" s="342"/>
      <c r="T106" s="342"/>
      <c r="U106" s="342"/>
      <c r="V106" s="342"/>
      <c r="W106" s="342"/>
      <c r="X106" s="342"/>
      <c r="Y106" s="342"/>
      <c r="Z106" s="342"/>
      <c r="AA106" s="342"/>
      <c r="AB106" s="342"/>
      <c r="AC106" s="342"/>
      <c r="AD106" s="342"/>
      <c r="AE106" s="342"/>
      <c r="AF106" s="342"/>
      <c r="AG106" s="342"/>
      <c r="AH106" s="342"/>
      <c r="AI106" s="342"/>
      <c r="AJ106" s="342"/>
      <c r="AK106" s="342"/>
      <c r="AL106" s="342"/>
      <c r="AM106" s="342"/>
      <c r="AN106" s="342"/>
      <c r="AO106" s="342"/>
      <c r="AP106" s="342"/>
      <c r="AQ106" s="342"/>
      <c r="AR106" s="342"/>
      <c r="AS106" s="342"/>
      <c r="AT106" s="342"/>
      <c r="AU106" s="342"/>
      <c r="AV106" s="342"/>
      <c r="AW106" s="342"/>
      <c r="AX106" s="342"/>
      <c r="AY106" s="342"/>
      <c r="AZ106" s="342"/>
      <c r="BA106" s="342"/>
      <c r="BB106" s="342"/>
      <c r="BC106" s="342"/>
      <c r="BD106" s="342"/>
      <c r="BE106" s="342"/>
      <c r="BF106" s="342"/>
      <c r="BG106" s="342"/>
      <c r="BH106" s="342"/>
      <c r="BI106" s="342"/>
      <c r="BJ106" s="342"/>
      <c r="BK106" s="342"/>
      <c r="BL106" s="342"/>
      <c r="BM106" s="91"/>
    </row>
    <row r="107" spans="17:65" x14ac:dyDescent="0.3">
      <c r="Q107" s="90"/>
      <c r="R107" s="342"/>
      <c r="S107" s="342"/>
      <c r="T107" s="342"/>
      <c r="U107" s="342"/>
      <c r="V107" s="342"/>
      <c r="W107" s="342"/>
      <c r="X107" s="342"/>
      <c r="Y107" s="342"/>
      <c r="Z107" s="342"/>
      <c r="AA107" s="342"/>
      <c r="AB107" s="342"/>
      <c r="AC107" s="342"/>
      <c r="AD107" s="342"/>
      <c r="AE107" s="342"/>
      <c r="AF107" s="342"/>
      <c r="AG107" s="342"/>
      <c r="AH107" s="342"/>
      <c r="AI107" s="342"/>
      <c r="AJ107" s="342"/>
      <c r="AK107" s="342"/>
      <c r="AL107" s="342"/>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c r="BG107" s="342"/>
      <c r="BH107" s="342"/>
      <c r="BI107" s="342"/>
      <c r="BJ107" s="342"/>
      <c r="BK107" s="342"/>
      <c r="BL107" s="342"/>
      <c r="BM107" s="91"/>
    </row>
    <row r="108" spans="17:65" x14ac:dyDescent="0.3">
      <c r="Q108" s="90"/>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42"/>
      <c r="AZ108" s="342"/>
      <c r="BA108" s="342"/>
      <c r="BB108" s="342"/>
      <c r="BC108" s="342"/>
      <c r="BD108" s="342"/>
      <c r="BE108" s="342"/>
      <c r="BF108" s="342"/>
      <c r="BG108" s="342"/>
      <c r="BH108" s="342"/>
      <c r="BI108" s="342"/>
      <c r="BJ108" s="342"/>
      <c r="BK108" s="342"/>
      <c r="BL108" s="342"/>
      <c r="BM108" s="91"/>
    </row>
    <row r="109" spans="17:65" x14ac:dyDescent="0.3">
      <c r="Q109" s="90"/>
      <c r="R109" s="342"/>
      <c r="S109" s="342"/>
      <c r="T109" s="342"/>
      <c r="U109" s="342"/>
      <c r="V109" s="342"/>
      <c r="W109" s="342"/>
      <c r="X109" s="342"/>
      <c r="Y109" s="342"/>
      <c r="Z109" s="342"/>
      <c r="AA109" s="342"/>
      <c r="AB109" s="342"/>
      <c r="AC109" s="342"/>
      <c r="AD109" s="342"/>
      <c r="AE109" s="342"/>
      <c r="AF109" s="342"/>
      <c r="AG109" s="342"/>
      <c r="AH109" s="342"/>
      <c r="AI109" s="342"/>
      <c r="AJ109" s="342"/>
      <c r="AK109" s="342"/>
      <c r="AL109" s="342"/>
      <c r="AM109" s="342"/>
      <c r="AN109" s="342"/>
      <c r="AO109" s="342"/>
      <c r="AP109" s="342"/>
      <c r="AQ109" s="342"/>
      <c r="AR109" s="342"/>
      <c r="AS109" s="342"/>
      <c r="AT109" s="342"/>
      <c r="AU109" s="342"/>
      <c r="AV109" s="342"/>
      <c r="AW109" s="342"/>
      <c r="AX109" s="342"/>
      <c r="AY109" s="342"/>
      <c r="AZ109" s="342"/>
      <c r="BA109" s="342"/>
      <c r="BB109" s="342"/>
      <c r="BC109" s="342"/>
      <c r="BD109" s="342"/>
      <c r="BE109" s="342"/>
      <c r="BF109" s="342"/>
      <c r="BG109" s="342"/>
      <c r="BH109" s="342"/>
      <c r="BI109" s="342"/>
      <c r="BJ109" s="342"/>
      <c r="BK109" s="342"/>
      <c r="BL109" s="342"/>
      <c r="BM109" s="91"/>
    </row>
    <row r="110" spans="17:65" x14ac:dyDescent="0.3">
      <c r="Q110" s="90"/>
      <c r="R110" s="342"/>
      <c r="S110" s="342"/>
      <c r="T110" s="342"/>
      <c r="U110" s="342"/>
      <c r="V110" s="342"/>
      <c r="W110" s="342"/>
      <c r="X110" s="342"/>
      <c r="Y110" s="342"/>
      <c r="Z110" s="342"/>
      <c r="AA110" s="342"/>
      <c r="AB110" s="342"/>
      <c r="AC110" s="342"/>
      <c r="AD110" s="342"/>
      <c r="AE110" s="342"/>
      <c r="AF110" s="342"/>
      <c r="AG110" s="342"/>
      <c r="AH110" s="342"/>
      <c r="AI110" s="342"/>
      <c r="AJ110" s="342"/>
      <c r="AK110" s="342"/>
      <c r="AL110" s="342"/>
      <c r="AM110" s="342"/>
      <c r="AN110" s="342"/>
      <c r="AO110" s="342"/>
      <c r="AP110" s="342"/>
      <c r="AQ110" s="342"/>
      <c r="AR110" s="342"/>
      <c r="AS110" s="342"/>
      <c r="AT110" s="342"/>
      <c r="AU110" s="342"/>
      <c r="AV110" s="342"/>
      <c r="AW110" s="342"/>
      <c r="AX110" s="342"/>
      <c r="AY110" s="342"/>
      <c r="AZ110" s="342"/>
      <c r="BA110" s="342"/>
      <c r="BB110" s="342"/>
      <c r="BC110" s="342"/>
      <c r="BD110" s="342"/>
      <c r="BE110" s="342"/>
      <c r="BF110" s="342"/>
      <c r="BG110" s="342"/>
      <c r="BH110" s="342"/>
      <c r="BI110" s="342"/>
      <c r="BJ110" s="342"/>
      <c r="BK110" s="342"/>
      <c r="BL110" s="342"/>
      <c r="BM110" s="91"/>
    </row>
    <row r="111" spans="17:65" x14ac:dyDescent="0.3">
      <c r="Q111" s="90"/>
      <c r="R111" s="342"/>
      <c r="S111" s="342"/>
      <c r="T111" s="342"/>
      <c r="U111" s="342"/>
      <c r="V111" s="342"/>
      <c r="W111" s="342"/>
      <c r="X111" s="342"/>
      <c r="Y111" s="342"/>
      <c r="Z111" s="342"/>
      <c r="AA111" s="342"/>
      <c r="AB111" s="342"/>
      <c r="AC111" s="342"/>
      <c r="AD111" s="342"/>
      <c r="AE111" s="342"/>
      <c r="AF111" s="342"/>
      <c r="AG111" s="342"/>
      <c r="AH111" s="342"/>
      <c r="AI111" s="342"/>
      <c r="AJ111" s="342"/>
      <c r="AK111" s="342"/>
      <c r="AL111" s="342"/>
      <c r="AM111" s="342"/>
      <c r="AN111" s="342"/>
      <c r="AO111" s="342"/>
      <c r="AP111" s="342"/>
      <c r="AQ111" s="342"/>
      <c r="AR111" s="342"/>
      <c r="AS111" s="342"/>
      <c r="AT111" s="342"/>
      <c r="AU111" s="342"/>
      <c r="AV111" s="342"/>
      <c r="AW111" s="342"/>
      <c r="AX111" s="342"/>
      <c r="AY111" s="342"/>
      <c r="AZ111" s="342"/>
      <c r="BA111" s="342"/>
      <c r="BB111" s="342"/>
      <c r="BC111" s="342"/>
      <c r="BD111" s="342"/>
      <c r="BE111" s="342"/>
      <c r="BF111" s="342"/>
      <c r="BG111" s="342"/>
      <c r="BH111" s="342"/>
      <c r="BI111" s="342"/>
      <c r="BJ111" s="342"/>
      <c r="BK111" s="342"/>
      <c r="BL111" s="342"/>
      <c r="BM111" s="91"/>
    </row>
    <row r="112" spans="17:65" x14ac:dyDescent="0.3">
      <c r="Q112" s="90"/>
      <c r="R112" s="342"/>
      <c r="S112" s="342"/>
      <c r="T112" s="342"/>
      <c r="U112" s="342"/>
      <c r="V112" s="342"/>
      <c r="W112" s="342"/>
      <c r="X112" s="342"/>
      <c r="Y112" s="342"/>
      <c r="Z112" s="342"/>
      <c r="AA112" s="342"/>
      <c r="AB112" s="342"/>
      <c r="AC112" s="342"/>
      <c r="AD112" s="342"/>
      <c r="AE112" s="342"/>
      <c r="AF112" s="342"/>
      <c r="AG112" s="342"/>
      <c r="AH112" s="342"/>
      <c r="AI112" s="342"/>
      <c r="AJ112" s="342"/>
      <c r="AK112" s="342"/>
      <c r="AL112" s="342"/>
      <c r="AM112" s="342"/>
      <c r="AN112" s="342"/>
      <c r="AO112" s="342"/>
      <c r="AP112" s="342"/>
      <c r="AQ112" s="342"/>
      <c r="AR112" s="342"/>
      <c r="AS112" s="342"/>
      <c r="AT112" s="342"/>
      <c r="AU112" s="342"/>
      <c r="AV112" s="342"/>
      <c r="AW112" s="342"/>
      <c r="AX112" s="342"/>
      <c r="AY112" s="342"/>
      <c r="AZ112" s="342"/>
      <c r="BA112" s="342"/>
      <c r="BB112" s="342"/>
      <c r="BC112" s="342"/>
      <c r="BD112" s="342"/>
      <c r="BE112" s="342"/>
      <c r="BF112" s="342"/>
      <c r="BG112" s="342"/>
      <c r="BH112" s="342"/>
      <c r="BI112" s="342"/>
      <c r="BJ112" s="342"/>
      <c r="BK112" s="342"/>
      <c r="BL112" s="342"/>
      <c r="BM112" s="91"/>
    </row>
    <row r="113" spans="17:65" x14ac:dyDescent="0.3">
      <c r="Q113" s="90"/>
      <c r="R113" s="342"/>
      <c r="S113" s="342"/>
      <c r="T113" s="342"/>
      <c r="U113" s="342"/>
      <c r="V113" s="342"/>
      <c r="W113" s="342"/>
      <c r="X113" s="342"/>
      <c r="Y113" s="342"/>
      <c r="Z113" s="342"/>
      <c r="AA113" s="342"/>
      <c r="AB113" s="342"/>
      <c r="AC113" s="342"/>
      <c r="AD113" s="342"/>
      <c r="AE113" s="342"/>
      <c r="AF113" s="342"/>
      <c r="AG113" s="342"/>
      <c r="AH113" s="342"/>
      <c r="AI113" s="342"/>
      <c r="AJ113" s="342"/>
      <c r="AK113" s="342"/>
      <c r="AL113" s="342"/>
      <c r="AM113" s="342"/>
      <c r="AN113" s="342"/>
      <c r="AO113" s="342"/>
      <c r="AP113" s="342"/>
      <c r="AQ113" s="342"/>
      <c r="AR113" s="342"/>
      <c r="AS113" s="342"/>
      <c r="AT113" s="342"/>
      <c r="AU113" s="342"/>
      <c r="AV113" s="342"/>
      <c r="AW113" s="342"/>
      <c r="AX113" s="342"/>
      <c r="AY113" s="342"/>
      <c r="AZ113" s="342"/>
      <c r="BA113" s="342"/>
      <c r="BB113" s="342"/>
      <c r="BC113" s="342"/>
      <c r="BD113" s="342"/>
      <c r="BE113" s="342"/>
      <c r="BF113" s="342"/>
      <c r="BG113" s="342"/>
      <c r="BH113" s="342"/>
      <c r="BI113" s="342"/>
      <c r="BJ113" s="342"/>
      <c r="BK113" s="342"/>
      <c r="BL113" s="342"/>
      <c r="BM113" s="91"/>
    </row>
    <row r="114" spans="17:65" x14ac:dyDescent="0.3">
      <c r="Q114" s="90"/>
      <c r="R114" s="342"/>
      <c r="S114" s="342"/>
      <c r="T114" s="342"/>
      <c r="U114" s="342"/>
      <c r="V114" s="342"/>
      <c r="W114" s="342"/>
      <c r="X114" s="342"/>
      <c r="Y114" s="342"/>
      <c r="Z114" s="342"/>
      <c r="AA114" s="342"/>
      <c r="AB114" s="342"/>
      <c r="AC114" s="342"/>
      <c r="AD114" s="342"/>
      <c r="AE114" s="342"/>
      <c r="AF114" s="342"/>
      <c r="AG114" s="342"/>
      <c r="AH114" s="342"/>
      <c r="AI114" s="342"/>
      <c r="AJ114" s="342"/>
      <c r="AK114" s="342"/>
      <c r="AL114" s="342"/>
      <c r="AM114" s="342"/>
      <c r="AN114" s="342"/>
      <c r="AO114" s="342"/>
      <c r="AP114" s="342"/>
      <c r="AQ114" s="342"/>
      <c r="AR114" s="342"/>
      <c r="AS114" s="342"/>
      <c r="AT114" s="342"/>
      <c r="AU114" s="342"/>
      <c r="AV114" s="342"/>
      <c r="AW114" s="342"/>
      <c r="AX114" s="342"/>
      <c r="AY114" s="342"/>
      <c r="AZ114" s="342"/>
      <c r="BA114" s="342"/>
      <c r="BB114" s="342"/>
      <c r="BC114" s="342"/>
      <c r="BD114" s="342"/>
      <c r="BE114" s="342"/>
      <c r="BF114" s="342"/>
      <c r="BG114" s="342"/>
      <c r="BH114" s="342"/>
      <c r="BI114" s="342"/>
      <c r="BJ114" s="342"/>
      <c r="BK114" s="342"/>
      <c r="BL114" s="342"/>
      <c r="BM114" s="91"/>
    </row>
    <row r="115" spans="17:65" x14ac:dyDescent="0.3">
      <c r="Q115" s="90"/>
      <c r="R115" s="342"/>
      <c r="S115" s="342"/>
      <c r="T115" s="342"/>
      <c r="U115" s="342"/>
      <c r="V115" s="342"/>
      <c r="W115" s="342"/>
      <c r="X115" s="342"/>
      <c r="Y115" s="342"/>
      <c r="Z115" s="342"/>
      <c r="AA115" s="342"/>
      <c r="AB115" s="342"/>
      <c r="AC115" s="342"/>
      <c r="AD115" s="342"/>
      <c r="AE115" s="342"/>
      <c r="AF115" s="342"/>
      <c r="AG115" s="342"/>
      <c r="AH115" s="342"/>
      <c r="AI115" s="342"/>
      <c r="AJ115" s="342"/>
      <c r="AK115" s="342"/>
      <c r="AL115" s="342"/>
      <c r="AM115" s="342"/>
      <c r="AN115" s="342"/>
      <c r="AO115" s="342"/>
      <c r="AP115" s="342"/>
      <c r="AQ115" s="342"/>
      <c r="AR115" s="342"/>
      <c r="AS115" s="342"/>
      <c r="AT115" s="342"/>
      <c r="AU115" s="342"/>
      <c r="AV115" s="342"/>
      <c r="AW115" s="342"/>
      <c r="AX115" s="342"/>
      <c r="AY115" s="342"/>
      <c r="AZ115" s="342"/>
      <c r="BA115" s="342"/>
      <c r="BB115" s="342"/>
      <c r="BC115" s="342"/>
      <c r="BD115" s="342"/>
      <c r="BE115" s="342"/>
      <c r="BF115" s="342"/>
      <c r="BG115" s="342"/>
      <c r="BH115" s="342"/>
      <c r="BI115" s="342"/>
      <c r="BJ115" s="342"/>
      <c r="BK115" s="342"/>
      <c r="BL115" s="342"/>
      <c r="BM115" s="91"/>
    </row>
    <row r="116" spans="17:65" x14ac:dyDescent="0.3">
      <c r="Q116" s="90"/>
      <c r="R116" s="342"/>
      <c r="S116" s="342"/>
      <c r="T116" s="342"/>
      <c r="U116" s="342"/>
      <c r="V116" s="342"/>
      <c r="W116" s="342"/>
      <c r="X116" s="342"/>
      <c r="Y116" s="342"/>
      <c r="Z116" s="342"/>
      <c r="AA116" s="342"/>
      <c r="AB116" s="342"/>
      <c r="AC116" s="342"/>
      <c r="AD116" s="342"/>
      <c r="AE116" s="342"/>
      <c r="AF116" s="342"/>
      <c r="AG116" s="342"/>
      <c r="AH116" s="342"/>
      <c r="AI116" s="342"/>
      <c r="AJ116" s="342"/>
      <c r="AK116" s="342"/>
      <c r="AL116" s="342"/>
      <c r="AM116" s="342"/>
      <c r="AN116" s="342"/>
      <c r="AO116" s="342"/>
      <c r="AP116" s="342"/>
      <c r="AQ116" s="342"/>
      <c r="AR116" s="342"/>
      <c r="AS116" s="342"/>
      <c r="AT116" s="342"/>
      <c r="AU116" s="342"/>
      <c r="AV116" s="342"/>
      <c r="AW116" s="342"/>
      <c r="AX116" s="342"/>
      <c r="AY116" s="342"/>
      <c r="AZ116" s="342"/>
      <c r="BA116" s="342"/>
      <c r="BB116" s="342"/>
      <c r="BC116" s="342"/>
      <c r="BD116" s="342"/>
      <c r="BE116" s="342"/>
      <c r="BF116" s="342"/>
      <c r="BG116" s="342"/>
      <c r="BH116" s="342"/>
      <c r="BI116" s="342"/>
      <c r="BJ116" s="342"/>
      <c r="BK116" s="342"/>
      <c r="BL116" s="342"/>
      <c r="BM116" s="91"/>
    </row>
    <row r="117" spans="17:65" x14ac:dyDescent="0.3">
      <c r="Q117" s="90"/>
      <c r="R117" s="342"/>
      <c r="S117" s="342"/>
      <c r="T117" s="342"/>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42"/>
      <c r="AR117" s="342"/>
      <c r="AS117" s="342"/>
      <c r="AT117" s="342"/>
      <c r="AU117" s="342"/>
      <c r="AV117" s="342"/>
      <c r="AW117" s="342"/>
      <c r="AX117" s="342"/>
      <c r="AY117" s="342"/>
      <c r="AZ117" s="342"/>
      <c r="BA117" s="342"/>
      <c r="BB117" s="342"/>
      <c r="BC117" s="342"/>
      <c r="BD117" s="342"/>
      <c r="BE117" s="342"/>
      <c r="BF117" s="342"/>
      <c r="BG117" s="342"/>
      <c r="BH117" s="342"/>
      <c r="BI117" s="342"/>
      <c r="BJ117" s="342"/>
      <c r="BK117" s="342"/>
      <c r="BL117" s="342"/>
      <c r="BM117" s="91"/>
    </row>
    <row r="118" spans="17:65" x14ac:dyDescent="0.3">
      <c r="Q118" s="90"/>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c r="AS118" s="342"/>
      <c r="AT118" s="342"/>
      <c r="AU118" s="342"/>
      <c r="AV118" s="342"/>
      <c r="AW118" s="342"/>
      <c r="AX118" s="342"/>
      <c r="AY118" s="342"/>
      <c r="AZ118" s="342"/>
      <c r="BA118" s="342"/>
      <c r="BB118" s="342"/>
      <c r="BC118" s="342"/>
      <c r="BD118" s="342"/>
      <c r="BE118" s="342"/>
      <c r="BF118" s="342"/>
      <c r="BG118" s="342"/>
      <c r="BH118" s="342"/>
      <c r="BI118" s="342"/>
      <c r="BJ118" s="342"/>
      <c r="BK118" s="342"/>
      <c r="BL118" s="342"/>
      <c r="BM118" s="91"/>
    </row>
    <row r="119" spans="17:65" x14ac:dyDescent="0.3">
      <c r="Q119" s="90"/>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c r="AS119" s="342"/>
      <c r="AT119" s="342"/>
      <c r="AU119" s="342"/>
      <c r="AV119" s="342"/>
      <c r="AW119" s="342"/>
      <c r="AX119" s="342"/>
      <c r="AY119" s="342"/>
      <c r="AZ119" s="342"/>
      <c r="BA119" s="342"/>
      <c r="BB119" s="342"/>
      <c r="BC119" s="342"/>
      <c r="BD119" s="342"/>
      <c r="BE119" s="342"/>
      <c r="BF119" s="342"/>
      <c r="BG119" s="342"/>
      <c r="BH119" s="342"/>
      <c r="BI119" s="342"/>
      <c r="BJ119" s="342"/>
      <c r="BK119" s="342"/>
      <c r="BL119" s="342"/>
      <c r="BM119" s="91"/>
    </row>
    <row r="120" spans="17:65" x14ac:dyDescent="0.3">
      <c r="Q120" s="90"/>
      <c r="R120" s="342"/>
      <c r="S120" s="342"/>
      <c r="T120" s="342"/>
      <c r="U120" s="342"/>
      <c r="V120" s="342"/>
      <c r="W120" s="342"/>
      <c r="X120" s="342"/>
      <c r="Y120" s="342"/>
      <c r="Z120" s="342"/>
      <c r="AA120" s="342"/>
      <c r="AB120" s="342"/>
      <c r="AC120" s="342"/>
      <c r="AD120" s="342"/>
      <c r="AE120" s="342"/>
      <c r="AF120" s="342"/>
      <c r="AG120" s="342"/>
      <c r="AH120" s="342"/>
      <c r="AI120" s="342"/>
      <c r="AJ120" s="342"/>
      <c r="AK120" s="342"/>
      <c r="AL120" s="342"/>
      <c r="AM120" s="342"/>
      <c r="AN120" s="342"/>
      <c r="AO120" s="342"/>
      <c r="AP120" s="342"/>
      <c r="AQ120" s="342"/>
      <c r="AR120" s="342"/>
      <c r="AS120" s="342"/>
      <c r="AT120" s="342"/>
      <c r="AU120" s="342"/>
      <c r="AV120" s="342"/>
      <c r="AW120" s="342"/>
      <c r="AX120" s="342"/>
      <c r="AY120" s="342"/>
      <c r="AZ120" s="342"/>
      <c r="BA120" s="342"/>
      <c r="BB120" s="342"/>
      <c r="BC120" s="342"/>
      <c r="BD120" s="342"/>
      <c r="BE120" s="342"/>
      <c r="BF120" s="342"/>
      <c r="BG120" s="342"/>
      <c r="BH120" s="342"/>
      <c r="BI120" s="342"/>
      <c r="BJ120" s="342"/>
      <c r="BK120" s="342"/>
      <c r="BL120" s="342"/>
      <c r="BM120" s="91"/>
    </row>
    <row r="121" spans="17:65" x14ac:dyDescent="0.3">
      <c r="Q121" s="90"/>
      <c r="R121" s="342"/>
      <c r="S121" s="342"/>
      <c r="T121" s="342"/>
      <c r="U121" s="342"/>
      <c r="V121" s="342"/>
      <c r="W121" s="342"/>
      <c r="X121" s="342"/>
      <c r="Y121" s="342"/>
      <c r="Z121" s="342"/>
      <c r="AA121" s="342"/>
      <c r="AB121" s="342"/>
      <c r="AC121" s="342"/>
      <c r="AD121" s="342"/>
      <c r="AE121" s="342"/>
      <c r="AF121" s="342"/>
      <c r="AG121" s="342"/>
      <c r="AH121" s="342"/>
      <c r="AI121" s="342"/>
      <c r="AJ121" s="342"/>
      <c r="AK121" s="342"/>
      <c r="AL121" s="342"/>
      <c r="AM121" s="342"/>
      <c r="AN121" s="342"/>
      <c r="AO121" s="342"/>
      <c r="AP121" s="342"/>
      <c r="AQ121" s="342"/>
      <c r="AR121" s="342"/>
      <c r="AS121" s="342"/>
      <c r="AT121" s="342"/>
      <c r="AU121" s="342"/>
      <c r="AV121" s="342"/>
      <c r="AW121" s="342"/>
      <c r="AX121" s="342"/>
      <c r="AY121" s="342"/>
      <c r="AZ121" s="342"/>
      <c r="BA121" s="342"/>
      <c r="BB121" s="342"/>
      <c r="BC121" s="342"/>
      <c r="BD121" s="342"/>
      <c r="BE121" s="342"/>
      <c r="BF121" s="342"/>
      <c r="BG121" s="342"/>
      <c r="BH121" s="342"/>
      <c r="BI121" s="342"/>
      <c r="BJ121" s="342"/>
      <c r="BK121" s="342"/>
      <c r="BL121" s="342"/>
      <c r="BM121" s="91"/>
    </row>
    <row r="122" spans="17:65" x14ac:dyDescent="0.3">
      <c r="Q122" s="90"/>
      <c r="R122" s="342"/>
      <c r="S122" s="342"/>
      <c r="T122" s="342"/>
      <c r="U122" s="342"/>
      <c r="V122" s="342"/>
      <c r="W122" s="342"/>
      <c r="X122" s="342"/>
      <c r="Y122" s="342"/>
      <c r="Z122" s="342"/>
      <c r="AA122" s="342"/>
      <c r="AB122" s="342"/>
      <c r="AC122" s="342"/>
      <c r="AD122" s="342"/>
      <c r="AE122" s="342"/>
      <c r="AF122" s="342"/>
      <c r="AG122" s="342"/>
      <c r="AH122" s="342"/>
      <c r="AI122" s="342"/>
      <c r="AJ122" s="342"/>
      <c r="AK122" s="342"/>
      <c r="AL122" s="342"/>
      <c r="AM122" s="342"/>
      <c r="AN122" s="342"/>
      <c r="AO122" s="342"/>
      <c r="AP122" s="342"/>
      <c r="AQ122" s="342"/>
      <c r="AR122" s="342"/>
      <c r="AS122" s="342"/>
      <c r="AT122" s="342"/>
      <c r="AU122" s="342"/>
      <c r="AV122" s="342"/>
      <c r="AW122" s="342"/>
      <c r="AX122" s="342"/>
      <c r="AY122" s="342"/>
      <c r="AZ122" s="342"/>
      <c r="BA122" s="342"/>
      <c r="BB122" s="342"/>
      <c r="BC122" s="342"/>
      <c r="BD122" s="342"/>
      <c r="BE122" s="342"/>
      <c r="BF122" s="342"/>
      <c r="BG122" s="342"/>
      <c r="BH122" s="342"/>
      <c r="BI122" s="342"/>
      <c r="BJ122" s="342"/>
      <c r="BK122" s="342"/>
      <c r="BL122" s="342"/>
      <c r="BM122" s="91"/>
    </row>
    <row r="123" spans="17:65" x14ac:dyDescent="0.3">
      <c r="Q123" s="90"/>
      <c r="R123" s="342"/>
      <c r="S123" s="342"/>
      <c r="T123" s="342"/>
      <c r="U123" s="342"/>
      <c r="V123" s="342"/>
      <c r="W123" s="342"/>
      <c r="X123" s="342"/>
      <c r="Y123" s="342"/>
      <c r="Z123" s="342"/>
      <c r="AA123" s="342"/>
      <c r="AB123" s="342"/>
      <c r="AC123" s="342"/>
      <c r="AD123" s="342"/>
      <c r="AE123" s="342"/>
      <c r="AF123" s="342"/>
      <c r="AG123" s="342"/>
      <c r="AH123" s="342"/>
      <c r="AI123" s="342"/>
      <c r="AJ123" s="342"/>
      <c r="AK123" s="342"/>
      <c r="AL123" s="342"/>
      <c r="AM123" s="342"/>
      <c r="AN123" s="342"/>
      <c r="AO123" s="342"/>
      <c r="AP123" s="342"/>
      <c r="AQ123" s="342"/>
      <c r="AR123" s="342"/>
      <c r="AS123" s="342"/>
      <c r="AT123" s="342"/>
      <c r="AU123" s="342"/>
      <c r="AV123" s="342"/>
      <c r="AW123" s="342"/>
      <c r="AX123" s="342"/>
      <c r="AY123" s="342"/>
      <c r="AZ123" s="342"/>
      <c r="BA123" s="342"/>
      <c r="BB123" s="342"/>
      <c r="BC123" s="342"/>
      <c r="BD123" s="342"/>
      <c r="BE123" s="342"/>
      <c r="BF123" s="342"/>
      <c r="BG123" s="342"/>
      <c r="BH123" s="342"/>
      <c r="BI123" s="342"/>
      <c r="BJ123" s="342"/>
      <c r="BK123" s="342"/>
      <c r="BL123" s="342"/>
      <c r="BM123" s="91"/>
    </row>
    <row r="124" spans="17:65" x14ac:dyDescent="0.3">
      <c r="Q124" s="90"/>
      <c r="R124" s="342"/>
      <c r="S124" s="342"/>
      <c r="T124" s="342"/>
      <c r="U124" s="342"/>
      <c r="V124" s="342"/>
      <c r="W124" s="342"/>
      <c r="X124" s="342"/>
      <c r="Y124" s="342"/>
      <c r="Z124" s="342"/>
      <c r="AA124" s="342"/>
      <c r="AB124" s="342"/>
      <c r="AC124" s="342"/>
      <c r="AD124" s="342"/>
      <c r="AE124" s="342"/>
      <c r="AF124" s="342"/>
      <c r="AG124" s="342"/>
      <c r="AH124" s="342"/>
      <c r="AI124" s="342"/>
      <c r="AJ124" s="342"/>
      <c r="AK124" s="342"/>
      <c r="AL124" s="342"/>
      <c r="AM124" s="342"/>
      <c r="AN124" s="342"/>
      <c r="AO124" s="342"/>
      <c r="AP124" s="342"/>
      <c r="AQ124" s="342"/>
      <c r="AR124" s="342"/>
      <c r="AS124" s="342"/>
      <c r="AT124" s="342"/>
      <c r="AU124" s="342"/>
      <c r="AV124" s="342"/>
      <c r="AW124" s="342"/>
      <c r="AX124" s="342"/>
      <c r="AY124" s="342"/>
      <c r="AZ124" s="342"/>
      <c r="BA124" s="342"/>
      <c r="BB124" s="342"/>
      <c r="BC124" s="342"/>
      <c r="BD124" s="342"/>
      <c r="BE124" s="342"/>
      <c r="BF124" s="342"/>
      <c r="BG124" s="342"/>
      <c r="BH124" s="342"/>
      <c r="BI124" s="342"/>
      <c r="BJ124" s="342"/>
      <c r="BK124" s="342"/>
      <c r="BL124" s="342"/>
      <c r="BM124" s="91"/>
    </row>
    <row r="125" spans="17:65" x14ac:dyDescent="0.3">
      <c r="Q125" s="90"/>
      <c r="R125" s="342"/>
      <c r="S125" s="342"/>
      <c r="T125" s="342"/>
      <c r="U125" s="342"/>
      <c r="V125" s="342"/>
      <c r="W125" s="342"/>
      <c r="X125" s="342"/>
      <c r="Y125" s="342"/>
      <c r="Z125" s="342"/>
      <c r="AA125" s="342"/>
      <c r="AB125" s="342"/>
      <c r="AC125" s="342"/>
      <c r="AD125" s="342"/>
      <c r="AE125" s="342"/>
      <c r="AF125" s="342"/>
      <c r="AG125" s="342"/>
      <c r="AH125" s="342"/>
      <c r="AI125" s="342"/>
      <c r="AJ125" s="342"/>
      <c r="AK125" s="342"/>
      <c r="AL125" s="342"/>
      <c r="AM125" s="342"/>
      <c r="AN125" s="342"/>
      <c r="AO125" s="342"/>
      <c r="AP125" s="342"/>
      <c r="AQ125" s="342"/>
      <c r="AR125" s="342"/>
      <c r="AS125" s="342"/>
      <c r="AT125" s="342"/>
      <c r="AU125" s="342"/>
      <c r="AV125" s="342"/>
      <c r="AW125" s="342"/>
      <c r="AX125" s="342"/>
      <c r="AY125" s="342"/>
      <c r="AZ125" s="342"/>
      <c r="BA125" s="342"/>
      <c r="BB125" s="342"/>
      <c r="BC125" s="342"/>
      <c r="BD125" s="342"/>
      <c r="BE125" s="342"/>
      <c r="BF125" s="342"/>
      <c r="BG125" s="342"/>
      <c r="BH125" s="342"/>
      <c r="BI125" s="342"/>
      <c r="BJ125" s="342"/>
      <c r="BK125" s="342"/>
      <c r="BL125" s="342"/>
      <c r="BM125" s="91"/>
    </row>
    <row r="126" spans="17:65" x14ac:dyDescent="0.3">
      <c r="Q126" s="90"/>
      <c r="R126" s="342"/>
      <c r="S126" s="342"/>
      <c r="T126" s="342"/>
      <c r="U126" s="342"/>
      <c r="V126" s="342"/>
      <c r="W126" s="342"/>
      <c r="X126" s="342"/>
      <c r="Y126" s="342"/>
      <c r="Z126" s="342"/>
      <c r="AA126" s="342"/>
      <c r="AB126" s="342"/>
      <c r="AC126" s="342"/>
      <c r="AD126" s="342"/>
      <c r="AE126" s="342"/>
      <c r="AF126" s="342"/>
      <c r="AG126" s="342"/>
      <c r="AH126" s="342"/>
      <c r="AI126" s="342"/>
      <c r="AJ126" s="342"/>
      <c r="AK126" s="342"/>
      <c r="AL126" s="342"/>
      <c r="AM126" s="342"/>
      <c r="AN126" s="342"/>
      <c r="AO126" s="342"/>
      <c r="AP126" s="342"/>
      <c r="AQ126" s="342"/>
      <c r="AR126" s="342"/>
      <c r="AS126" s="342"/>
      <c r="AT126" s="342"/>
      <c r="AU126" s="342"/>
      <c r="AV126" s="342"/>
      <c r="AW126" s="342"/>
      <c r="AX126" s="342"/>
      <c r="AY126" s="342"/>
      <c r="AZ126" s="342"/>
      <c r="BA126" s="342"/>
      <c r="BB126" s="342"/>
      <c r="BC126" s="342"/>
      <c r="BD126" s="342"/>
      <c r="BE126" s="342"/>
      <c r="BF126" s="342"/>
      <c r="BG126" s="342"/>
      <c r="BH126" s="342"/>
      <c r="BI126" s="342"/>
      <c r="BJ126" s="342"/>
      <c r="BK126" s="342"/>
      <c r="BL126" s="342"/>
      <c r="BM126" s="91"/>
    </row>
    <row r="127" spans="17:65" x14ac:dyDescent="0.3">
      <c r="Q127" s="90"/>
      <c r="R127" s="342"/>
      <c r="S127" s="342"/>
      <c r="T127" s="342"/>
      <c r="U127" s="342"/>
      <c r="V127" s="342"/>
      <c r="W127" s="342"/>
      <c r="X127" s="342"/>
      <c r="Y127" s="342"/>
      <c r="Z127" s="342"/>
      <c r="AA127" s="342"/>
      <c r="AB127" s="342"/>
      <c r="AC127" s="342"/>
      <c r="AD127" s="342"/>
      <c r="AE127" s="342"/>
      <c r="AF127" s="342"/>
      <c r="AG127" s="342"/>
      <c r="AH127" s="342"/>
      <c r="AI127" s="342"/>
      <c r="AJ127" s="342"/>
      <c r="AK127" s="342"/>
      <c r="AL127" s="342"/>
      <c r="AM127" s="342"/>
      <c r="AN127" s="342"/>
      <c r="AO127" s="342"/>
      <c r="AP127" s="342"/>
      <c r="AQ127" s="342"/>
      <c r="AR127" s="342"/>
      <c r="AS127" s="342"/>
      <c r="AT127" s="342"/>
      <c r="AU127" s="342"/>
      <c r="AV127" s="342"/>
      <c r="AW127" s="342"/>
      <c r="AX127" s="342"/>
      <c r="AY127" s="342"/>
      <c r="AZ127" s="342"/>
      <c r="BA127" s="342"/>
      <c r="BB127" s="342"/>
      <c r="BC127" s="342"/>
      <c r="BD127" s="342"/>
      <c r="BE127" s="342"/>
      <c r="BF127" s="342"/>
      <c r="BG127" s="342"/>
      <c r="BH127" s="342"/>
      <c r="BI127" s="342"/>
      <c r="BJ127" s="342"/>
      <c r="BK127" s="342"/>
      <c r="BL127" s="342"/>
      <c r="BM127" s="91"/>
    </row>
    <row r="128" spans="17:65" x14ac:dyDescent="0.3">
      <c r="Q128" s="90"/>
      <c r="R128" s="342"/>
      <c r="S128" s="342"/>
      <c r="T128" s="342"/>
      <c r="U128" s="342"/>
      <c r="V128" s="342"/>
      <c r="W128" s="342"/>
      <c r="X128" s="342"/>
      <c r="Y128" s="342"/>
      <c r="Z128" s="342"/>
      <c r="AA128" s="342"/>
      <c r="AB128" s="342"/>
      <c r="AC128" s="342"/>
      <c r="AD128" s="342"/>
      <c r="AE128" s="342"/>
      <c r="AF128" s="342"/>
      <c r="AG128" s="342"/>
      <c r="AH128" s="342"/>
      <c r="AI128" s="342"/>
      <c r="AJ128" s="342"/>
      <c r="AK128" s="342"/>
      <c r="AL128" s="342"/>
      <c r="AM128" s="342"/>
      <c r="AN128" s="342"/>
      <c r="AO128" s="342"/>
      <c r="AP128" s="342"/>
      <c r="AQ128" s="342"/>
      <c r="AR128" s="342"/>
      <c r="AS128" s="342"/>
      <c r="AT128" s="342"/>
      <c r="AU128" s="342"/>
      <c r="AV128" s="342"/>
      <c r="AW128" s="342"/>
      <c r="AX128" s="342"/>
      <c r="AY128" s="342"/>
      <c r="AZ128" s="342"/>
      <c r="BA128" s="342"/>
      <c r="BB128" s="342"/>
      <c r="BC128" s="342"/>
      <c r="BD128" s="342"/>
      <c r="BE128" s="342"/>
      <c r="BF128" s="342"/>
      <c r="BG128" s="342"/>
      <c r="BH128" s="342"/>
      <c r="BI128" s="342"/>
      <c r="BJ128" s="342"/>
      <c r="BK128" s="342"/>
      <c r="BL128" s="342"/>
      <c r="BM128" s="91"/>
    </row>
    <row r="129" spans="17:65" x14ac:dyDescent="0.3">
      <c r="Q129" s="90"/>
      <c r="R129" s="342"/>
      <c r="S129" s="342"/>
      <c r="T129" s="342"/>
      <c r="U129" s="342"/>
      <c r="V129" s="342"/>
      <c r="W129" s="342"/>
      <c r="X129" s="342"/>
      <c r="Y129" s="342"/>
      <c r="Z129" s="342"/>
      <c r="AA129" s="342"/>
      <c r="AB129" s="342"/>
      <c r="AC129" s="342"/>
      <c r="AD129" s="342"/>
      <c r="AE129" s="342"/>
      <c r="AF129" s="342"/>
      <c r="AG129" s="342"/>
      <c r="AH129" s="342"/>
      <c r="AI129" s="342"/>
      <c r="AJ129" s="342"/>
      <c r="AK129" s="342"/>
      <c r="AL129" s="342"/>
      <c r="AM129" s="342"/>
      <c r="AN129" s="342"/>
      <c r="AO129" s="342"/>
      <c r="AP129" s="342"/>
      <c r="AQ129" s="342"/>
      <c r="AR129" s="342"/>
      <c r="AS129" s="342"/>
      <c r="AT129" s="342"/>
      <c r="AU129" s="342"/>
      <c r="AV129" s="342"/>
      <c r="AW129" s="342"/>
      <c r="AX129" s="342"/>
      <c r="AY129" s="342"/>
      <c r="AZ129" s="342"/>
      <c r="BA129" s="342"/>
      <c r="BB129" s="342"/>
      <c r="BC129" s="342"/>
      <c r="BD129" s="342"/>
      <c r="BE129" s="342"/>
      <c r="BF129" s="342"/>
      <c r="BG129" s="342"/>
      <c r="BH129" s="342"/>
      <c r="BI129" s="342"/>
      <c r="BJ129" s="342"/>
      <c r="BK129" s="342"/>
      <c r="BL129" s="342"/>
      <c r="BM129" s="91"/>
    </row>
    <row r="130" spans="17:65" x14ac:dyDescent="0.3">
      <c r="Q130" s="90"/>
      <c r="R130" s="342"/>
      <c r="S130" s="342"/>
      <c r="T130" s="342"/>
      <c r="U130" s="342"/>
      <c r="V130" s="342"/>
      <c r="W130" s="342"/>
      <c r="X130" s="342"/>
      <c r="Y130" s="342"/>
      <c r="Z130" s="342"/>
      <c r="AA130" s="342"/>
      <c r="AB130" s="342"/>
      <c r="AC130" s="342"/>
      <c r="AD130" s="342"/>
      <c r="AE130" s="342"/>
      <c r="AF130" s="342"/>
      <c r="AG130" s="342"/>
      <c r="AH130" s="342"/>
      <c r="AI130" s="342"/>
      <c r="AJ130" s="342"/>
      <c r="AK130" s="342"/>
      <c r="AL130" s="342"/>
      <c r="AM130" s="342"/>
      <c r="AN130" s="342"/>
      <c r="AO130" s="342"/>
      <c r="AP130" s="342"/>
      <c r="AQ130" s="342"/>
      <c r="AR130" s="342"/>
      <c r="AS130" s="342"/>
      <c r="AT130" s="342"/>
      <c r="AU130" s="342"/>
      <c r="AV130" s="342"/>
      <c r="AW130" s="342"/>
      <c r="AX130" s="342"/>
      <c r="AY130" s="342"/>
      <c r="AZ130" s="342"/>
      <c r="BA130" s="342"/>
      <c r="BB130" s="342"/>
      <c r="BC130" s="342"/>
      <c r="BD130" s="342"/>
      <c r="BE130" s="342"/>
      <c r="BF130" s="342"/>
      <c r="BG130" s="342"/>
      <c r="BH130" s="342"/>
      <c r="BI130" s="342"/>
      <c r="BJ130" s="342"/>
      <c r="BK130" s="342"/>
      <c r="BL130" s="342"/>
      <c r="BM130" s="91"/>
    </row>
    <row r="131" spans="17:65" x14ac:dyDescent="0.3">
      <c r="Q131" s="90"/>
      <c r="R131" s="342"/>
      <c r="S131" s="342"/>
      <c r="T131" s="342"/>
      <c r="U131" s="342"/>
      <c r="V131" s="342"/>
      <c r="W131" s="342"/>
      <c r="X131" s="342"/>
      <c r="Y131" s="342"/>
      <c r="Z131" s="342"/>
      <c r="AA131" s="342"/>
      <c r="AB131" s="342"/>
      <c r="AC131" s="342"/>
      <c r="AD131" s="342"/>
      <c r="AE131" s="342"/>
      <c r="AF131" s="342"/>
      <c r="AG131" s="342"/>
      <c r="AH131" s="342"/>
      <c r="AI131" s="342"/>
      <c r="AJ131" s="342"/>
      <c r="AK131" s="342"/>
      <c r="AL131" s="342"/>
      <c r="AM131" s="342"/>
      <c r="AN131" s="342"/>
      <c r="AO131" s="342"/>
      <c r="AP131" s="342"/>
      <c r="AQ131" s="342"/>
      <c r="AR131" s="342"/>
      <c r="AS131" s="342"/>
      <c r="AT131" s="342"/>
      <c r="AU131" s="342"/>
      <c r="AV131" s="342"/>
      <c r="AW131" s="342"/>
      <c r="AX131" s="342"/>
      <c r="AY131" s="342"/>
      <c r="AZ131" s="342"/>
      <c r="BA131" s="342"/>
      <c r="BB131" s="342"/>
      <c r="BC131" s="342"/>
      <c r="BD131" s="342"/>
      <c r="BE131" s="342"/>
      <c r="BF131" s="342"/>
      <c r="BG131" s="342"/>
      <c r="BH131" s="342"/>
      <c r="BI131" s="342"/>
      <c r="BJ131" s="342"/>
      <c r="BK131" s="342"/>
      <c r="BL131" s="342"/>
      <c r="BM131" s="91"/>
    </row>
    <row r="132" spans="17:65" x14ac:dyDescent="0.3">
      <c r="Q132" s="90"/>
      <c r="R132" s="342"/>
      <c r="S132" s="342"/>
      <c r="T132" s="342"/>
      <c r="U132" s="342"/>
      <c r="V132" s="342"/>
      <c r="W132" s="342"/>
      <c r="X132" s="342"/>
      <c r="Y132" s="342"/>
      <c r="Z132" s="342"/>
      <c r="AA132" s="342"/>
      <c r="AB132" s="342"/>
      <c r="AC132" s="342"/>
      <c r="AD132" s="342"/>
      <c r="AE132" s="342"/>
      <c r="AF132" s="342"/>
      <c r="AG132" s="342"/>
      <c r="AH132" s="342"/>
      <c r="AI132" s="342"/>
      <c r="AJ132" s="342"/>
      <c r="AK132" s="342"/>
      <c r="AL132" s="342"/>
      <c r="AM132" s="342"/>
      <c r="AN132" s="342"/>
      <c r="AO132" s="342"/>
      <c r="AP132" s="342"/>
      <c r="AQ132" s="342"/>
      <c r="AR132" s="342"/>
      <c r="AS132" s="342"/>
      <c r="AT132" s="342"/>
      <c r="AU132" s="342"/>
      <c r="AV132" s="342"/>
      <c r="AW132" s="342"/>
      <c r="AX132" s="342"/>
      <c r="AY132" s="342"/>
      <c r="AZ132" s="342"/>
      <c r="BA132" s="342"/>
      <c r="BB132" s="342"/>
      <c r="BC132" s="342"/>
      <c r="BD132" s="342"/>
      <c r="BE132" s="342"/>
      <c r="BF132" s="342"/>
      <c r="BG132" s="342"/>
      <c r="BH132" s="342"/>
      <c r="BI132" s="342"/>
      <c r="BJ132" s="342"/>
      <c r="BK132" s="342"/>
      <c r="BL132" s="342"/>
      <c r="BM132" s="91"/>
    </row>
    <row r="133" spans="17:65" x14ac:dyDescent="0.3">
      <c r="Q133" s="90"/>
      <c r="R133" s="342"/>
      <c r="S133" s="342"/>
      <c r="T133" s="342"/>
      <c r="U133" s="342"/>
      <c r="V133" s="342"/>
      <c r="W133" s="342"/>
      <c r="X133" s="342"/>
      <c r="Y133" s="342"/>
      <c r="Z133" s="342"/>
      <c r="AA133" s="342"/>
      <c r="AB133" s="342"/>
      <c r="AC133" s="342"/>
      <c r="AD133" s="342"/>
      <c r="AE133" s="342"/>
      <c r="AF133" s="342"/>
      <c r="AG133" s="342"/>
      <c r="AH133" s="342"/>
      <c r="AI133" s="342"/>
      <c r="AJ133" s="342"/>
      <c r="AK133" s="342"/>
      <c r="AL133" s="342"/>
      <c r="AM133" s="342"/>
      <c r="AN133" s="342"/>
      <c r="AO133" s="342"/>
      <c r="AP133" s="342"/>
      <c r="AQ133" s="342"/>
      <c r="AR133" s="342"/>
      <c r="AS133" s="342"/>
      <c r="AT133" s="342"/>
      <c r="AU133" s="342"/>
      <c r="AV133" s="342"/>
      <c r="AW133" s="342"/>
      <c r="AX133" s="342"/>
      <c r="AY133" s="342"/>
      <c r="AZ133" s="342"/>
      <c r="BA133" s="342"/>
      <c r="BB133" s="342"/>
      <c r="BC133" s="342"/>
      <c r="BD133" s="342"/>
      <c r="BE133" s="342"/>
      <c r="BF133" s="342"/>
      <c r="BG133" s="342"/>
      <c r="BH133" s="342"/>
      <c r="BI133" s="342"/>
      <c r="BJ133" s="342"/>
      <c r="BK133" s="342"/>
      <c r="BL133" s="342"/>
      <c r="BM133" s="91"/>
    </row>
    <row r="134" spans="17:65" x14ac:dyDescent="0.3">
      <c r="Q134" s="90"/>
      <c r="R134" s="342"/>
      <c r="S134" s="342"/>
      <c r="T134" s="342"/>
      <c r="U134" s="342"/>
      <c r="V134" s="342"/>
      <c r="W134" s="342"/>
      <c r="X134" s="342"/>
      <c r="Y134" s="342"/>
      <c r="Z134" s="342"/>
      <c r="AA134" s="342"/>
      <c r="AB134" s="342"/>
      <c r="AC134" s="342"/>
      <c r="AD134" s="342"/>
      <c r="AE134" s="342"/>
      <c r="AF134" s="342"/>
      <c r="AG134" s="342"/>
      <c r="AH134" s="342"/>
      <c r="AI134" s="342"/>
      <c r="AJ134" s="342"/>
      <c r="AK134" s="342"/>
      <c r="AL134" s="342"/>
      <c r="AM134" s="342"/>
      <c r="AN134" s="342"/>
      <c r="AO134" s="342"/>
      <c r="AP134" s="342"/>
      <c r="AQ134" s="342"/>
      <c r="AR134" s="342"/>
      <c r="AS134" s="342"/>
      <c r="AT134" s="342"/>
      <c r="AU134" s="342"/>
      <c r="AV134" s="342"/>
      <c r="AW134" s="342"/>
      <c r="AX134" s="342"/>
      <c r="AY134" s="342"/>
      <c r="AZ134" s="342"/>
      <c r="BA134" s="342"/>
      <c r="BB134" s="342"/>
      <c r="BC134" s="342"/>
      <c r="BD134" s="342"/>
      <c r="BE134" s="342"/>
      <c r="BF134" s="342"/>
      <c r="BG134" s="342"/>
      <c r="BH134" s="342"/>
      <c r="BI134" s="342"/>
      <c r="BJ134" s="342"/>
      <c r="BK134" s="342"/>
      <c r="BL134" s="342"/>
      <c r="BM134" s="91"/>
    </row>
    <row r="135" spans="17:65" x14ac:dyDescent="0.3">
      <c r="Q135" s="90"/>
      <c r="R135" s="342"/>
      <c r="S135" s="342"/>
      <c r="T135" s="342"/>
      <c r="U135" s="342"/>
      <c r="V135" s="342"/>
      <c r="W135" s="342"/>
      <c r="X135" s="342"/>
      <c r="Y135" s="342"/>
      <c r="Z135" s="342"/>
      <c r="AA135" s="342"/>
      <c r="AB135" s="342"/>
      <c r="AC135" s="342"/>
      <c r="AD135" s="342"/>
      <c r="AE135" s="342"/>
      <c r="AF135" s="342"/>
      <c r="AG135" s="342"/>
      <c r="AH135" s="342"/>
      <c r="AI135" s="342"/>
      <c r="AJ135" s="342"/>
      <c r="AK135" s="342"/>
      <c r="AL135" s="342"/>
      <c r="AM135" s="342"/>
      <c r="AN135" s="342"/>
      <c r="AO135" s="342"/>
      <c r="AP135" s="342"/>
      <c r="AQ135" s="342"/>
      <c r="AR135" s="342"/>
      <c r="AS135" s="342"/>
      <c r="AT135" s="342"/>
      <c r="AU135" s="342"/>
      <c r="AV135" s="342"/>
      <c r="AW135" s="342"/>
      <c r="AX135" s="342"/>
      <c r="AY135" s="342"/>
      <c r="AZ135" s="342"/>
      <c r="BA135" s="342"/>
      <c r="BB135" s="342"/>
      <c r="BC135" s="342"/>
      <c r="BD135" s="342"/>
      <c r="BE135" s="342"/>
      <c r="BF135" s="342"/>
      <c r="BG135" s="342"/>
      <c r="BH135" s="342"/>
      <c r="BI135" s="342"/>
      <c r="BJ135" s="342"/>
      <c r="BK135" s="342"/>
      <c r="BL135" s="342"/>
      <c r="BM135" s="91"/>
    </row>
    <row r="136" spans="17:65" x14ac:dyDescent="0.3">
      <c r="Q136" s="90"/>
      <c r="R136" s="342"/>
      <c r="S136" s="342"/>
      <c r="T136" s="342"/>
      <c r="U136" s="342"/>
      <c r="V136" s="342"/>
      <c r="W136" s="342"/>
      <c r="X136" s="342"/>
      <c r="Y136" s="342"/>
      <c r="Z136" s="342"/>
      <c r="AA136" s="342"/>
      <c r="AB136" s="342"/>
      <c r="AC136" s="342"/>
      <c r="AD136" s="342"/>
      <c r="AE136" s="342"/>
      <c r="AF136" s="342"/>
      <c r="AG136" s="342"/>
      <c r="AH136" s="342"/>
      <c r="AI136" s="342"/>
      <c r="AJ136" s="342"/>
      <c r="AK136" s="342"/>
      <c r="AL136" s="342"/>
      <c r="AM136" s="342"/>
      <c r="AN136" s="342"/>
      <c r="AO136" s="342"/>
      <c r="AP136" s="342"/>
      <c r="AQ136" s="342"/>
      <c r="AR136" s="342"/>
      <c r="AS136" s="342"/>
      <c r="AT136" s="342"/>
      <c r="AU136" s="342"/>
      <c r="AV136" s="342"/>
      <c r="AW136" s="342"/>
      <c r="AX136" s="342"/>
      <c r="AY136" s="342"/>
      <c r="AZ136" s="342"/>
      <c r="BA136" s="342"/>
      <c r="BB136" s="342"/>
      <c r="BC136" s="342"/>
      <c r="BD136" s="342"/>
      <c r="BE136" s="342"/>
      <c r="BF136" s="342"/>
      <c r="BG136" s="342"/>
      <c r="BH136" s="342"/>
      <c r="BI136" s="342"/>
      <c r="BJ136" s="342"/>
      <c r="BK136" s="342"/>
      <c r="BL136" s="342"/>
      <c r="BM136" s="91"/>
    </row>
    <row r="137" spans="17:65" x14ac:dyDescent="0.3">
      <c r="Q137" s="90"/>
      <c r="R137" s="342"/>
      <c r="S137" s="342"/>
      <c r="T137" s="342"/>
      <c r="U137" s="342"/>
      <c r="V137" s="342"/>
      <c r="W137" s="342"/>
      <c r="X137" s="342"/>
      <c r="Y137" s="342"/>
      <c r="Z137" s="342"/>
      <c r="AA137" s="342"/>
      <c r="AB137" s="342"/>
      <c r="AC137" s="342"/>
      <c r="AD137" s="342"/>
      <c r="AE137" s="342"/>
      <c r="AF137" s="342"/>
      <c r="AG137" s="342"/>
      <c r="AH137" s="342"/>
      <c r="AI137" s="342"/>
      <c r="AJ137" s="342"/>
      <c r="AK137" s="342"/>
      <c r="AL137" s="342"/>
      <c r="AM137" s="342"/>
      <c r="AN137" s="342"/>
      <c r="AO137" s="342"/>
      <c r="AP137" s="342"/>
      <c r="AQ137" s="342"/>
      <c r="AR137" s="342"/>
      <c r="AS137" s="342"/>
      <c r="AT137" s="342"/>
      <c r="AU137" s="342"/>
      <c r="AV137" s="342"/>
      <c r="AW137" s="342"/>
      <c r="AX137" s="342"/>
      <c r="AY137" s="342"/>
      <c r="AZ137" s="342"/>
      <c r="BA137" s="342"/>
      <c r="BB137" s="342"/>
      <c r="BC137" s="342"/>
      <c r="BD137" s="342"/>
      <c r="BE137" s="342"/>
      <c r="BF137" s="342"/>
      <c r="BG137" s="342"/>
      <c r="BH137" s="342"/>
      <c r="BI137" s="342"/>
      <c r="BJ137" s="342"/>
      <c r="BK137" s="342"/>
      <c r="BL137" s="342"/>
      <c r="BM137" s="91"/>
    </row>
    <row r="138" spans="17:65" x14ac:dyDescent="0.3">
      <c r="Q138" s="90"/>
      <c r="R138" s="342"/>
      <c r="S138" s="342"/>
      <c r="T138" s="342"/>
      <c r="U138" s="342"/>
      <c r="V138" s="342"/>
      <c r="W138" s="342"/>
      <c r="X138" s="342"/>
      <c r="Y138" s="342"/>
      <c r="Z138" s="342"/>
      <c r="AA138" s="342"/>
      <c r="AB138" s="342"/>
      <c r="AC138" s="342"/>
      <c r="AD138" s="342"/>
      <c r="AE138" s="342"/>
      <c r="AF138" s="342"/>
      <c r="AG138" s="342"/>
      <c r="AH138" s="342"/>
      <c r="AI138" s="342"/>
      <c r="AJ138" s="342"/>
      <c r="AK138" s="342"/>
      <c r="AL138" s="342"/>
      <c r="AM138" s="342"/>
      <c r="AN138" s="342"/>
      <c r="AO138" s="342"/>
      <c r="AP138" s="342"/>
      <c r="AQ138" s="342"/>
      <c r="AR138" s="342"/>
      <c r="AS138" s="342"/>
      <c r="AT138" s="342"/>
      <c r="AU138" s="342"/>
      <c r="AV138" s="342"/>
      <c r="AW138" s="342"/>
      <c r="AX138" s="342"/>
      <c r="AY138" s="342"/>
      <c r="AZ138" s="342"/>
      <c r="BA138" s="342"/>
      <c r="BB138" s="342"/>
      <c r="BC138" s="342"/>
      <c r="BD138" s="342"/>
      <c r="BE138" s="342"/>
      <c r="BF138" s="342"/>
      <c r="BG138" s="342"/>
      <c r="BH138" s="342"/>
      <c r="BI138" s="342"/>
      <c r="BJ138" s="342"/>
      <c r="BK138" s="342"/>
      <c r="BL138" s="342"/>
      <c r="BM138" s="91"/>
    </row>
    <row r="139" spans="17:65" x14ac:dyDescent="0.3">
      <c r="Q139" s="90"/>
      <c r="R139" s="342"/>
      <c r="S139" s="342"/>
      <c r="T139" s="342"/>
      <c r="U139" s="342"/>
      <c r="V139" s="342"/>
      <c r="W139" s="342"/>
      <c r="X139" s="342"/>
      <c r="Y139" s="342"/>
      <c r="Z139" s="342"/>
      <c r="AA139" s="342"/>
      <c r="AB139" s="342"/>
      <c r="AC139" s="342"/>
      <c r="AD139" s="342"/>
      <c r="AE139" s="342"/>
      <c r="AF139" s="342"/>
      <c r="AG139" s="342"/>
      <c r="AH139" s="342"/>
      <c r="AI139" s="342"/>
      <c r="AJ139" s="342"/>
      <c r="AK139" s="342"/>
      <c r="AL139" s="342"/>
      <c r="AM139" s="342"/>
      <c r="AN139" s="342"/>
      <c r="AO139" s="342"/>
      <c r="AP139" s="342"/>
      <c r="AQ139" s="342"/>
      <c r="AR139" s="342"/>
      <c r="AS139" s="342"/>
      <c r="AT139" s="342"/>
      <c r="AU139" s="342"/>
      <c r="AV139" s="342"/>
      <c r="AW139" s="342"/>
      <c r="AX139" s="342"/>
      <c r="AY139" s="342"/>
      <c r="AZ139" s="342"/>
      <c r="BA139" s="342"/>
      <c r="BB139" s="342"/>
      <c r="BC139" s="342"/>
      <c r="BD139" s="342"/>
      <c r="BE139" s="342"/>
      <c r="BF139" s="342"/>
      <c r="BG139" s="342"/>
      <c r="BH139" s="342"/>
      <c r="BI139" s="342"/>
      <c r="BJ139" s="342"/>
      <c r="BK139" s="342"/>
      <c r="BL139" s="342"/>
      <c r="BM139" s="91"/>
    </row>
    <row r="140" spans="17:65" x14ac:dyDescent="0.3">
      <c r="Q140" s="90"/>
      <c r="R140" s="342"/>
      <c r="S140" s="342"/>
      <c r="T140" s="342"/>
      <c r="U140" s="342"/>
      <c r="V140" s="342"/>
      <c r="W140" s="342"/>
      <c r="X140" s="342"/>
      <c r="Y140" s="342"/>
      <c r="Z140" s="342"/>
      <c r="AA140" s="342"/>
      <c r="AB140" s="342"/>
      <c r="AC140" s="342"/>
      <c r="AD140" s="342"/>
      <c r="AE140" s="342"/>
      <c r="AF140" s="342"/>
      <c r="AG140" s="342"/>
      <c r="AH140" s="342"/>
      <c r="AI140" s="342"/>
      <c r="AJ140" s="342"/>
      <c r="AK140" s="342"/>
      <c r="AL140" s="342"/>
      <c r="AM140" s="342"/>
      <c r="AN140" s="342"/>
      <c r="AO140" s="342"/>
      <c r="AP140" s="342"/>
      <c r="AQ140" s="342"/>
      <c r="AR140" s="342"/>
      <c r="AS140" s="342"/>
      <c r="AT140" s="342"/>
      <c r="AU140" s="342"/>
      <c r="AV140" s="342"/>
      <c r="AW140" s="342"/>
      <c r="AX140" s="342"/>
      <c r="AY140" s="342"/>
      <c r="AZ140" s="342"/>
      <c r="BA140" s="342"/>
      <c r="BB140" s="342"/>
      <c r="BC140" s="342"/>
      <c r="BD140" s="342"/>
      <c r="BE140" s="342"/>
      <c r="BF140" s="342"/>
      <c r="BG140" s="342"/>
      <c r="BH140" s="342"/>
      <c r="BI140" s="342"/>
      <c r="BJ140" s="342"/>
      <c r="BK140" s="342"/>
      <c r="BL140" s="342"/>
      <c r="BM140" s="91"/>
    </row>
    <row r="141" spans="17:65" ht="15" thickBot="1" x14ac:dyDescent="0.35">
      <c r="Q141" s="92"/>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3"/>
      <c r="BG141" s="93"/>
      <c r="BH141" s="93"/>
      <c r="BI141" s="93"/>
      <c r="BJ141" s="93"/>
      <c r="BK141" s="93"/>
      <c r="BL141" s="93"/>
      <c r="BM141" s="94"/>
    </row>
  </sheetData>
  <mergeCells count="1">
    <mergeCell ref="Q3:BM3"/>
  </mergeCells>
  <pageMargins left="0.7" right="0.7" top="0.75" bottom="0.75" header="0.3" footer="0.3"/>
  <pageSetup scale="17" orientation="landscape" horizontalDpi="300" verticalDpi="300" r:id="rId1"/>
  <headerFooter>
    <oddHeader>&amp;C&amp;"-,Bold"&amp;48&amp;A&amp;R&amp;"-,Bold"&amp;48&amp;P</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CE85-D983-4FAC-B708-7AF829D036E0}">
  <sheetPr>
    <pageSetUpPr fitToPage="1"/>
  </sheetPr>
  <dimension ref="A1"/>
  <sheetViews>
    <sheetView zoomScale="105" zoomScaleNormal="105" workbookViewId="0">
      <selection sqref="A1:N59"/>
    </sheetView>
  </sheetViews>
  <sheetFormatPr defaultColWidth="8.09765625" defaultRowHeight="14.4" x14ac:dyDescent="0.3"/>
  <cols>
    <col min="1" max="16384" width="8.09765625" style="95"/>
  </cols>
  <sheetData/>
  <pageMargins left="0.7" right="0.7" top="0.75" bottom="0.75" header="0.3" footer="0.3"/>
  <pageSetup scale="71" orientation="portrait" horizontalDpi="300" verticalDpi="300" r:id="rId1"/>
  <headerFooter>
    <oddHeader>&amp;C&amp;"-,Bold"&amp;28&amp;A&amp;R&amp;"-,Bold"&amp;28&amp;P</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B8D6-DF7D-DC42-95AF-55BD9F615365}">
  <sheetPr>
    <tabColor theme="4" tint="0.59999389629810485"/>
    <pageSetUpPr autoPageBreaks="0" fitToPage="1"/>
  </sheetPr>
  <dimension ref="A1:N57"/>
  <sheetViews>
    <sheetView zoomScale="70" zoomScaleNormal="70" workbookViewId="0">
      <pane ySplit="1" topLeftCell="A2" activePane="bottomLeft" state="frozen"/>
      <selection pane="bottomLeft" activeCell="O47" sqref="O47"/>
    </sheetView>
  </sheetViews>
  <sheetFormatPr defaultColWidth="11.09765625" defaultRowHeight="15.6" x14ac:dyDescent="0.3"/>
  <cols>
    <col min="1" max="1" width="38.5" customWidth="1"/>
    <col min="2" max="2" width="17.59765625" customWidth="1"/>
    <col min="3" max="3" width="5.59765625" customWidth="1"/>
    <col min="4" max="4" width="20.59765625" customWidth="1"/>
    <col min="5" max="5" width="6.19921875" customWidth="1"/>
    <col min="6" max="6" width="11.5" customWidth="1"/>
    <col min="7" max="7" width="9" customWidth="1"/>
    <col min="8" max="8" width="7.19921875" customWidth="1"/>
    <col min="12" max="12" width="9.69921875" customWidth="1"/>
    <col min="13" max="13" width="6.09765625" customWidth="1"/>
    <col min="14" max="14" width="9.59765625" customWidth="1"/>
    <col min="15" max="15" width="7" customWidth="1"/>
    <col min="16" max="16" width="7.59765625" bestFit="1" customWidth="1"/>
    <col min="17" max="17" width="11" bestFit="1" customWidth="1"/>
    <col min="18" max="18" width="7.09765625" bestFit="1" customWidth="1"/>
    <col min="19" max="19" width="10.59765625" bestFit="1" customWidth="1"/>
    <col min="20" max="20" width="5.5" bestFit="1" customWidth="1"/>
    <col min="22" max="22" width="9.59765625" bestFit="1" customWidth="1"/>
  </cols>
  <sheetData>
    <row r="1" spans="1:14" x14ac:dyDescent="0.3">
      <c r="A1" s="4" t="s">
        <v>177</v>
      </c>
      <c r="E1" s="5"/>
      <c r="F1" s="6"/>
    </row>
    <row r="2" spans="1:14" ht="16.2" thickBot="1" x14ac:dyDescent="0.35">
      <c r="H2" t="s">
        <v>9</v>
      </c>
    </row>
    <row r="3" spans="1:14" x14ac:dyDescent="0.3">
      <c r="A3" s="106" t="s">
        <v>19</v>
      </c>
      <c r="B3" s="262"/>
      <c r="D3" s="106" t="s">
        <v>0</v>
      </c>
      <c r="E3" s="272"/>
      <c r="F3" s="272"/>
      <c r="G3" s="272"/>
      <c r="H3" s="272"/>
      <c r="I3" s="273"/>
      <c r="J3" s="274"/>
      <c r="K3" s="275"/>
    </row>
    <row r="4" spans="1:14" x14ac:dyDescent="0.3">
      <c r="A4" s="263" t="s">
        <v>24</v>
      </c>
      <c r="B4" s="264" t="s">
        <v>81</v>
      </c>
      <c r="D4" s="276" t="s">
        <v>1</v>
      </c>
      <c r="E4" s="15" t="s">
        <v>2</v>
      </c>
      <c r="F4" s="15" t="s">
        <v>3</v>
      </c>
      <c r="G4" s="15" t="s">
        <v>4</v>
      </c>
      <c r="H4" s="15" t="s">
        <v>5</v>
      </c>
      <c r="I4" s="88" t="s">
        <v>6</v>
      </c>
      <c r="J4" s="261" t="s">
        <v>7</v>
      </c>
      <c r="K4" s="277" t="s">
        <v>8</v>
      </c>
    </row>
    <row r="5" spans="1:14" x14ac:dyDescent="0.3">
      <c r="A5" s="127" t="s">
        <v>26</v>
      </c>
      <c r="B5" s="265" t="s">
        <v>82</v>
      </c>
      <c r="D5" s="75" t="s">
        <v>10</v>
      </c>
      <c r="E5" s="1">
        <v>121</v>
      </c>
      <c r="F5" s="14">
        <f>+E5/$E$10</f>
        <v>0.36227544910179643</v>
      </c>
      <c r="G5" s="178">
        <v>724</v>
      </c>
      <c r="H5" s="178">
        <f>+G5*E5</f>
        <v>87604</v>
      </c>
      <c r="I5" s="187">
        <v>1657.96</v>
      </c>
      <c r="J5" s="2">
        <f>+(I5*12)/G5</f>
        <v>27.48</v>
      </c>
      <c r="K5" s="77">
        <f>+I5*12*E5</f>
        <v>2407357.92</v>
      </c>
    </row>
    <row r="6" spans="1:14" x14ac:dyDescent="0.3">
      <c r="A6" s="207" t="s">
        <v>28</v>
      </c>
      <c r="B6" s="266" t="s">
        <v>83</v>
      </c>
      <c r="D6" s="75" t="s">
        <v>11</v>
      </c>
      <c r="E6" s="1">
        <v>63</v>
      </c>
      <c r="F6" s="14">
        <f>+E6/$E$10</f>
        <v>0.18862275449101795</v>
      </c>
      <c r="G6" s="178">
        <v>879</v>
      </c>
      <c r="H6" s="178">
        <f>+G6*E6</f>
        <v>55377</v>
      </c>
      <c r="I6" s="187">
        <v>1705.26</v>
      </c>
      <c r="J6" s="2">
        <f t="shared" ref="J6:J13" si="0">+(I6*12)/G6</f>
        <v>23.279999999999998</v>
      </c>
      <c r="K6" s="77">
        <f>+I6*12*E6</f>
        <v>1289176.5599999998</v>
      </c>
    </row>
    <row r="7" spans="1:14" x14ac:dyDescent="0.3">
      <c r="A7" s="151" t="s">
        <v>30</v>
      </c>
      <c r="B7" s="267"/>
      <c r="D7" s="75" t="s">
        <v>12</v>
      </c>
      <c r="E7" s="1">
        <v>114</v>
      </c>
      <c r="F7" s="14">
        <f>+E7/$E$10</f>
        <v>0.3413173652694611</v>
      </c>
      <c r="G7" s="178">
        <v>1121</v>
      </c>
      <c r="H7" s="178">
        <f>+G7*E7</f>
        <v>127794</v>
      </c>
      <c r="I7" s="187">
        <v>2040.22</v>
      </c>
      <c r="J7" s="2">
        <f t="shared" si="0"/>
        <v>21.84</v>
      </c>
      <c r="K7" s="77">
        <f>+I7*12*E7</f>
        <v>2791020.96</v>
      </c>
    </row>
    <row r="8" spans="1:14" x14ac:dyDescent="0.3">
      <c r="A8" s="127" t="s">
        <v>32</v>
      </c>
      <c r="B8" s="268">
        <v>0</v>
      </c>
      <c r="D8" s="75" t="s">
        <v>13</v>
      </c>
      <c r="E8" s="1">
        <v>24</v>
      </c>
      <c r="F8" s="14">
        <f>+E8/$E$10</f>
        <v>7.1856287425149698E-2</v>
      </c>
      <c r="G8" s="178">
        <v>1230</v>
      </c>
      <c r="H8" s="178">
        <f>+G8*E8</f>
        <v>29520</v>
      </c>
      <c r="I8" s="187">
        <v>2115.6</v>
      </c>
      <c r="J8" s="2">
        <f t="shared" si="0"/>
        <v>20.639999999999997</v>
      </c>
      <c r="K8" s="77">
        <f>+I8*12*E8</f>
        <v>609292.79999999993</v>
      </c>
    </row>
    <row r="9" spans="1:14" x14ac:dyDescent="0.3">
      <c r="A9" s="127" t="s">
        <v>34</v>
      </c>
      <c r="B9" s="269">
        <f>H10</f>
        <v>316963</v>
      </c>
      <c r="D9" s="75" t="s">
        <v>14</v>
      </c>
      <c r="E9" s="1">
        <v>12</v>
      </c>
      <c r="F9" s="14">
        <f>+E9/$E$10</f>
        <v>3.5928143712574849E-2</v>
      </c>
      <c r="G9" s="178">
        <v>1389</v>
      </c>
      <c r="H9" s="178">
        <f>+G9*E9</f>
        <v>16668</v>
      </c>
      <c r="I9" s="187">
        <v>2444.64</v>
      </c>
      <c r="J9" s="2">
        <f t="shared" si="0"/>
        <v>21.12</v>
      </c>
      <c r="K9" s="77">
        <f>+I9*12*E9</f>
        <v>352028.16000000003</v>
      </c>
    </row>
    <row r="10" spans="1:14" x14ac:dyDescent="0.3">
      <c r="A10" s="127" t="s">
        <v>36</v>
      </c>
      <c r="B10" s="268">
        <v>0</v>
      </c>
      <c r="D10" s="78" t="s">
        <v>15</v>
      </c>
      <c r="E10" s="251">
        <f>SUM(E5:E9)</f>
        <v>334</v>
      </c>
      <c r="F10" s="252">
        <f>SUM(F5:F9)</f>
        <v>1</v>
      </c>
      <c r="G10" s="253">
        <f>SUMPRODUCT(G5:G9,E5:E9)/E10</f>
        <v>948.99101796407183</v>
      </c>
      <c r="H10" s="253">
        <f>SUM(H5:H9)</f>
        <v>316963</v>
      </c>
      <c r="I10" s="254">
        <f>SUMPRODUCT(I5:I9,E5:E9)/E10</f>
        <v>1858.5020958083837</v>
      </c>
      <c r="J10" s="255">
        <f t="shared" si="0"/>
        <v>23.500775800330011</v>
      </c>
      <c r="K10" s="278">
        <f>+E10*I10*12</f>
        <v>7448876.4000000022</v>
      </c>
      <c r="N10" s="3"/>
    </row>
    <row r="11" spans="1:14" x14ac:dyDescent="0.3">
      <c r="A11" s="127" t="s">
        <v>38</v>
      </c>
      <c r="B11" s="269">
        <f>B9+B10</f>
        <v>316963</v>
      </c>
      <c r="D11" s="279" t="s">
        <v>16</v>
      </c>
      <c r="E11" s="256">
        <f>SUM(E5:E6)</f>
        <v>184</v>
      </c>
      <c r="F11" s="257">
        <f>+E11/$E$10</f>
        <v>0.55089820359281438</v>
      </c>
      <c r="G11" s="258">
        <f>+SUMPRODUCT(G5:G6,E5:E6)/E11</f>
        <v>777.070652173913</v>
      </c>
      <c r="H11" s="258">
        <f>+G11*E11</f>
        <v>142981</v>
      </c>
      <c r="I11" s="259">
        <f>+SUMPRODUCT(I5:I6,E5:E6)/E11</f>
        <v>1674.1551086956524</v>
      </c>
      <c r="J11" s="260">
        <f t="shared" si="0"/>
        <v>25.853326525902048</v>
      </c>
      <c r="K11" s="80">
        <f>+E11*I11*12</f>
        <v>3696534.4800000004</v>
      </c>
    </row>
    <row r="12" spans="1:14" x14ac:dyDescent="0.3">
      <c r="A12" s="127" t="s">
        <v>40</v>
      </c>
      <c r="B12" s="270">
        <v>0</v>
      </c>
      <c r="D12" s="279" t="s">
        <v>17</v>
      </c>
      <c r="E12" s="256">
        <f>SUM(E7:E8)</f>
        <v>138</v>
      </c>
      <c r="F12" s="257">
        <f>+E12/$E$10</f>
        <v>0.41317365269461076</v>
      </c>
      <c r="G12" s="258">
        <f>SUMPRODUCT(G7:G8,E7:E8)/E12</f>
        <v>1139.9565217391305</v>
      </c>
      <c r="H12" s="258">
        <f>+G12*E12</f>
        <v>157314</v>
      </c>
      <c r="I12" s="259">
        <f>+SUMPRODUCT(I7:I8,E7:E8)/E12</f>
        <v>2053.3295652173911</v>
      </c>
      <c r="J12" s="260">
        <f t="shared" si="0"/>
        <v>21.614819787177233</v>
      </c>
      <c r="K12" s="80">
        <f>+E12*I12*12</f>
        <v>3400313.76</v>
      </c>
    </row>
    <row r="13" spans="1:14" ht="16.2" thickBot="1" x14ac:dyDescent="0.35">
      <c r="A13" s="127" t="s">
        <v>42</v>
      </c>
      <c r="B13" s="269">
        <f>E10</f>
        <v>334</v>
      </c>
      <c r="D13" s="81" t="s">
        <v>18</v>
      </c>
      <c r="E13" s="280">
        <f>+E9</f>
        <v>12</v>
      </c>
      <c r="F13" s="281">
        <f>+E13/$E$10</f>
        <v>3.5928143712574849E-2</v>
      </c>
      <c r="G13" s="282">
        <f>+G9</f>
        <v>1389</v>
      </c>
      <c r="H13" s="282">
        <f>+G13*E13</f>
        <v>16668</v>
      </c>
      <c r="I13" s="84">
        <f>I9</f>
        <v>2444.64</v>
      </c>
      <c r="J13" s="85">
        <f t="shared" si="0"/>
        <v>21.12</v>
      </c>
      <c r="K13" s="86">
        <f>+E13*I13*12</f>
        <v>352028.16000000003</v>
      </c>
    </row>
    <row r="14" spans="1:14" ht="16.2" thickBot="1" x14ac:dyDescent="0.35">
      <c r="A14" s="127" t="s">
        <v>44</v>
      </c>
      <c r="B14" s="269">
        <f>G10</f>
        <v>948.99101796407183</v>
      </c>
    </row>
    <row r="15" spans="1:14" ht="16.2" thickBot="1" x14ac:dyDescent="0.35">
      <c r="A15" s="127" t="s">
        <v>46</v>
      </c>
      <c r="B15" s="269">
        <v>546</v>
      </c>
      <c r="D15" s="96" t="s">
        <v>91</v>
      </c>
      <c r="E15" s="97"/>
      <c r="F15" s="98">
        <v>0.03</v>
      </c>
    </row>
    <row r="16" spans="1:14" ht="16.2" thickBot="1" x14ac:dyDescent="0.35">
      <c r="A16" s="193" t="s">
        <v>48</v>
      </c>
      <c r="B16" s="271">
        <v>100</v>
      </c>
    </row>
    <row r="17" spans="1:12" ht="16.2" thickBot="1" x14ac:dyDescent="0.35"/>
    <row r="18" spans="1:12" x14ac:dyDescent="0.3">
      <c r="A18" s="106" t="s">
        <v>50</v>
      </c>
      <c r="B18" s="262"/>
      <c r="D18" s="106" t="s">
        <v>20</v>
      </c>
      <c r="E18" s="164" t="s">
        <v>3</v>
      </c>
      <c r="F18" s="164" t="s">
        <v>21</v>
      </c>
      <c r="G18" s="164" t="s">
        <v>22</v>
      </c>
      <c r="H18" s="165" t="s">
        <v>23</v>
      </c>
    </row>
    <row r="19" spans="1:12" x14ac:dyDescent="0.3">
      <c r="A19" s="263" t="s">
        <v>51</v>
      </c>
      <c r="B19" s="264">
        <v>11</v>
      </c>
      <c r="D19" s="123" t="s">
        <v>25</v>
      </c>
      <c r="E19" s="7"/>
      <c r="F19" s="8"/>
      <c r="G19" s="8"/>
      <c r="H19" s="229"/>
    </row>
    <row r="20" spans="1:12" x14ac:dyDescent="0.3">
      <c r="A20" s="127" t="s">
        <v>52</v>
      </c>
      <c r="B20" s="287">
        <v>44927</v>
      </c>
      <c r="D20" s="152" t="s">
        <v>27</v>
      </c>
      <c r="E20" s="283">
        <v>0.34535045902908484</v>
      </c>
      <c r="F20" s="119">
        <v>30333254.896537438</v>
      </c>
      <c r="G20" s="119">
        <f>+F20/$E$10</f>
        <v>90818.128432746817</v>
      </c>
      <c r="H20" s="120">
        <f>+G20/$G$10</f>
        <v>95.699671244080349</v>
      </c>
    </row>
    <row r="21" spans="1:12" x14ac:dyDescent="0.3">
      <c r="A21" s="127" t="s">
        <v>53</v>
      </c>
      <c r="B21" s="288">
        <f>'Project 1 Financial Analysis'!O54</f>
        <v>7709771.1711948523</v>
      </c>
      <c r="C21" s="16"/>
      <c r="D21" s="284" t="s">
        <v>29</v>
      </c>
      <c r="E21" s="283">
        <v>0.31081541312617639</v>
      </c>
      <c r="F21" s="119">
        <v>27299929.406883694</v>
      </c>
      <c r="G21" s="119">
        <f>+F21/$E$10</f>
        <v>81736.315589472142</v>
      </c>
      <c r="H21" s="120">
        <f>+G21/$G$10</f>
        <v>86.129704119672311</v>
      </c>
    </row>
    <row r="22" spans="1:12" x14ac:dyDescent="0.3">
      <c r="A22" s="127" t="s">
        <v>54</v>
      </c>
      <c r="B22" s="289">
        <v>5.2499999999999998E-2</v>
      </c>
      <c r="D22" s="284" t="s">
        <v>31</v>
      </c>
      <c r="E22" s="283">
        <v>3.4535045902908484E-2</v>
      </c>
      <c r="F22" s="119">
        <v>3033325.4896537438</v>
      </c>
      <c r="G22" s="119">
        <f>+F22/$E$10</f>
        <v>9081.8128432746817</v>
      </c>
      <c r="H22" s="120">
        <f>+G22/$G$10</f>
        <v>9.5699671244080342</v>
      </c>
    </row>
    <row r="23" spans="1:12" x14ac:dyDescent="0.3">
      <c r="A23" s="127" t="s">
        <v>55</v>
      </c>
      <c r="B23" s="288">
        <f>+B21/B22</f>
        <v>146852784.21323529</v>
      </c>
      <c r="D23" s="285" t="s">
        <v>33</v>
      </c>
      <c r="E23" s="9">
        <v>0.6546495409709151</v>
      </c>
      <c r="F23" s="10">
        <f>52654771+F29</f>
        <v>57637499.957423717</v>
      </c>
      <c r="G23" s="119">
        <f>+F23/$E$10</f>
        <v>172567.36514198719</v>
      </c>
      <c r="H23" s="120">
        <f>+G23/$G$10</f>
        <v>181.84299100344117</v>
      </c>
    </row>
    <row r="24" spans="1:12" x14ac:dyDescent="0.3">
      <c r="A24" s="152" t="s">
        <v>56</v>
      </c>
      <c r="B24" s="288">
        <f>+B23/E10</f>
        <v>439678.99465040507</v>
      </c>
      <c r="D24" s="125" t="s">
        <v>35</v>
      </c>
      <c r="E24" s="11">
        <v>1</v>
      </c>
      <c r="F24" s="12">
        <f>SUM(F21:F23)</f>
        <v>87970754.853961155</v>
      </c>
      <c r="G24" s="12">
        <f>SUM(G21:G23)</f>
        <v>263385.49357473402</v>
      </c>
      <c r="H24" s="126">
        <f>SUM(H21:H23)</f>
        <v>277.54266224752155</v>
      </c>
      <c r="L24" s="6"/>
    </row>
    <row r="25" spans="1:12" x14ac:dyDescent="0.3">
      <c r="A25" s="152" t="s">
        <v>57</v>
      </c>
      <c r="B25" s="288">
        <f>+B23/H10</f>
        <v>463.31207179776595</v>
      </c>
      <c r="D25" s="123" t="s">
        <v>37</v>
      </c>
      <c r="E25" s="7"/>
      <c r="F25" s="13"/>
      <c r="G25" s="13"/>
      <c r="H25" s="135"/>
      <c r="L25" s="6"/>
    </row>
    <row r="26" spans="1:12" ht="16.2" thickBot="1" x14ac:dyDescent="0.35">
      <c r="A26" s="193" t="s">
        <v>58</v>
      </c>
      <c r="B26" s="290">
        <v>0.02</v>
      </c>
      <c r="D26" s="152" t="s">
        <v>39</v>
      </c>
      <c r="E26" s="14">
        <v>0.11407979827006284</v>
      </c>
      <c r="F26" s="119">
        <f>'Project 1 Financial Analysis'!B64*-1</f>
        <v>10157500</v>
      </c>
      <c r="G26" s="119">
        <v>30000</v>
      </c>
      <c r="H26" s="120">
        <v>31.612522597274761</v>
      </c>
      <c r="L26" s="6"/>
    </row>
    <row r="27" spans="1:12" x14ac:dyDescent="0.3">
      <c r="D27" s="152" t="s">
        <v>41</v>
      </c>
      <c r="E27" s="14">
        <v>0.64456738301100869</v>
      </c>
      <c r="F27" s="119">
        <f>+'Project 1 Financial Analysis'!B71*-1</f>
        <v>56614451.25</v>
      </c>
      <c r="G27" s="119">
        <v>169504.34505988023</v>
      </c>
      <c r="H27" s="120">
        <v>178.61533128472408</v>
      </c>
    </row>
    <row r="28" spans="1:12" ht="16.2" thickBot="1" x14ac:dyDescent="0.35">
      <c r="D28" s="152" t="s">
        <v>43</v>
      </c>
      <c r="E28" s="14">
        <v>0.18462340611440242</v>
      </c>
      <c r="F28" s="119">
        <f>+'Project 1 Financial Analysis'!B83*-1</f>
        <v>16216074.689113257</v>
      </c>
      <c r="G28" s="119">
        <v>48551.121823692389</v>
      </c>
      <c r="H28" s="120">
        <v>51.160781192483846</v>
      </c>
    </row>
    <row r="29" spans="1:12" x14ac:dyDescent="0.3">
      <c r="A29" s="106" t="s">
        <v>59</v>
      </c>
      <c r="B29" s="109"/>
      <c r="D29" s="285" t="s">
        <v>45</v>
      </c>
      <c r="E29" s="14">
        <v>5.6729412604526019E-2</v>
      </c>
      <c r="F29" s="10">
        <f>+B57</f>
        <v>4982728.9574237168</v>
      </c>
      <c r="G29" s="119">
        <v>14918.350171927295</v>
      </c>
      <c r="H29" s="227">
        <v>15.720222730803648</v>
      </c>
    </row>
    <row r="30" spans="1:12" ht="16.2" thickBot="1" x14ac:dyDescent="0.35">
      <c r="A30" s="127" t="s">
        <v>60</v>
      </c>
      <c r="B30" s="291">
        <v>57637500</v>
      </c>
      <c r="D30" s="128" t="s">
        <v>47</v>
      </c>
      <c r="E30" s="286">
        <v>1</v>
      </c>
      <c r="F30" s="131">
        <f>SUM(F26:F29)</f>
        <v>87970754.896536976</v>
      </c>
      <c r="G30" s="131">
        <f>SUM(G26:G29)</f>
        <v>262973.81705549994</v>
      </c>
      <c r="H30" s="153">
        <f>SUM(H26:H29)</f>
        <v>277.10885780528633</v>
      </c>
    </row>
    <row r="31" spans="1:12" x14ac:dyDescent="0.3">
      <c r="A31" s="152" t="s">
        <v>56</v>
      </c>
      <c r="B31" s="288">
        <f>+B30/E10</f>
        <v>172567.36526946106</v>
      </c>
      <c r="E31" s="1"/>
      <c r="F31" s="1"/>
      <c r="G31" s="1"/>
      <c r="H31" s="1"/>
    </row>
    <row r="32" spans="1:12" x14ac:dyDescent="0.3">
      <c r="A32" s="152" t="s">
        <v>57</v>
      </c>
      <c r="B32" s="292">
        <f>+B31/G10</f>
        <v>181.84299113776686</v>
      </c>
    </row>
    <row r="33" spans="1:2" x14ac:dyDescent="0.3">
      <c r="A33" s="125" t="s">
        <v>62</v>
      </c>
      <c r="B33" s="293"/>
    </row>
    <row r="34" spans="1:2" x14ac:dyDescent="0.3">
      <c r="A34" s="127" t="s">
        <v>155</v>
      </c>
      <c r="B34" s="288">
        <f>+'Project 1 Financial Analysis'!J94</f>
        <v>4888059.7165386938</v>
      </c>
    </row>
    <row r="35" spans="1:2" x14ac:dyDescent="0.3">
      <c r="A35" s="127" t="s">
        <v>63</v>
      </c>
      <c r="B35" s="289">
        <v>5.2499999999999998E-2</v>
      </c>
    </row>
    <row r="36" spans="1:2" x14ac:dyDescent="0.3">
      <c r="A36" s="127" t="s">
        <v>64</v>
      </c>
      <c r="B36" s="288">
        <f>'Project 1 Financial Analysis'!O90</f>
        <v>146852784.21323529</v>
      </c>
    </row>
    <row r="37" spans="1:2" x14ac:dyDescent="0.3">
      <c r="A37" s="127" t="s">
        <v>61</v>
      </c>
      <c r="B37" s="270">
        <f>+B30/B36</f>
        <v>0.39248489777564155</v>
      </c>
    </row>
    <row r="38" spans="1:2" x14ac:dyDescent="0.3">
      <c r="A38" s="127" t="s">
        <v>65</v>
      </c>
      <c r="B38" s="294">
        <f>+B34/B30</f>
        <v>8.4806935008261877E-2</v>
      </c>
    </row>
    <row r="39" spans="1:2" x14ac:dyDescent="0.3">
      <c r="A39" s="125" t="s">
        <v>66</v>
      </c>
      <c r="B39" s="293"/>
    </row>
    <row r="40" spans="1:2" x14ac:dyDescent="0.3">
      <c r="A40" s="127" t="s">
        <v>68</v>
      </c>
      <c r="B40" s="288">
        <f>'Project 1 Financial Analysis'!J51</f>
        <v>6687602.9086358855</v>
      </c>
    </row>
    <row r="41" spans="1:2" x14ac:dyDescent="0.3">
      <c r="A41" s="127" t="s">
        <v>63</v>
      </c>
      <c r="B41" s="289">
        <v>5.2499999999999998E-2</v>
      </c>
    </row>
    <row r="42" spans="1:2" x14ac:dyDescent="0.3">
      <c r="A42" s="127" t="s">
        <v>64</v>
      </c>
      <c r="B42" s="288">
        <f>+B36</f>
        <v>146852784.21323529</v>
      </c>
    </row>
    <row r="43" spans="1:2" x14ac:dyDescent="0.3">
      <c r="A43" s="127" t="s">
        <v>65</v>
      </c>
      <c r="B43" s="294">
        <f>+B40/B30</f>
        <v>0.11602867766013247</v>
      </c>
    </row>
    <row r="44" spans="1:2" x14ac:dyDescent="0.3">
      <c r="A44" s="125" t="s">
        <v>45</v>
      </c>
      <c r="B44" s="293"/>
    </row>
    <row r="45" spans="1:2" x14ac:dyDescent="0.3">
      <c r="A45" s="263" t="s">
        <v>69</v>
      </c>
      <c r="B45" s="295">
        <v>15000</v>
      </c>
    </row>
    <row r="46" spans="1:2" x14ac:dyDescent="0.3">
      <c r="A46" s="127" t="s">
        <v>70</v>
      </c>
      <c r="B46" s="288">
        <v>30000</v>
      </c>
    </row>
    <row r="47" spans="1:2" x14ac:dyDescent="0.3">
      <c r="A47" s="127" t="s">
        <v>71</v>
      </c>
      <c r="B47" s="288">
        <v>100000</v>
      </c>
    </row>
    <row r="48" spans="1:2" x14ac:dyDescent="0.3">
      <c r="A48" s="127" t="s">
        <v>72</v>
      </c>
      <c r="B48" s="288">
        <v>31050</v>
      </c>
    </row>
    <row r="49" spans="1:7" x14ac:dyDescent="0.3">
      <c r="A49" s="127" t="s">
        <v>73</v>
      </c>
      <c r="B49" s="288">
        <v>191475</v>
      </c>
    </row>
    <row r="50" spans="1:7" x14ac:dyDescent="0.3">
      <c r="A50" s="127" t="s">
        <v>74</v>
      </c>
      <c r="B50" s="288">
        <v>25000</v>
      </c>
    </row>
    <row r="51" spans="1:7" x14ac:dyDescent="0.3">
      <c r="A51" s="127" t="s">
        <v>75</v>
      </c>
      <c r="B51" s="288">
        <v>575000</v>
      </c>
    </row>
    <row r="52" spans="1:7" x14ac:dyDescent="0.3">
      <c r="A52" s="127" t="s">
        <v>76</v>
      </c>
      <c r="B52" s="288">
        <v>517500</v>
      </c>
      <c r="G52" s="6"/>
    </row>
    <row r="53" spans="1:7" x14ac:dyDescent="0.3">
      <c r="A53" s="127" t="s">
        <v>77</v>
      </c>
      <c r="B53" s="288">
        <v>245699.36466196374</v>
      </c>
      <c r="G53" s="17"/>
    </row>
    <row r="54" spans="1:7" x14ac:dyDescent="0.3">
      <c r="A54" s="127" t="s">
        <v>78</v>
      </c>
      <c r="B54" s="288">
        <v>86251</v>
      </c>
    </row>
    <row r="55" spans="1:7" x14ac:dyDescent="0.3">
      <c r="A55" s="127" t="s">
        <v>79</v>
      </c>
      <c r="B55" s="288">
        <v>11950</v>
      </c>
    </row>
    <row r="56" spans="1:7" x14ac:dyDescent="0.3">
      <c r="A56" s="207" t="s">
        <v>80</v>
      </c>
      <c r="B56" s="288">
        <v>3153803.5927617527</v>
      </c>
    </row>
    <row r="57" spans="1:7" ht="16.2" thickBot="1" x14ac:dyDescent="0.35">
      <c r="A57" s="128" t="s">
        <v>67</v>
      </c>
      <c r="B57" s="296">
        <v>4982728.9574237168</v>
      </c>
    </row>
  </sheetData>
  <pageMargins left="0.7" right="0.7" top="0.75" bottom="0.75" header="0.3" footer="0.3"/>
  <pageSetup scale="54" fitToHeight="0" orientation="portrait" horizontalDpi="300" verticalDpi="300" r:id="rId1"/>
  <headerFooter>
    <oddHeader>&amp;C&amp;"-,Bold"&amp;28&amp;A&amp;R&amp;"-,Bold"&amp;28&amp;P</oddHeader>
  </headerFooter>
  <colBreaks count="1" manualBreakCount="1">
    <brk id="3" max="56"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CB75-9F47-42CF-BED9-4C3BB7925623}">
  <sheetPr>
    <tabColor theme="6"/>
  </sheetPr>
  <dimension ref="A3:C9"/>
  <sheetViews>
    <sheetView workbookViewId="0">
      <selection activeCell="A3" sqref="A3:C9"/>
    </sheetView>
  </sheetViews>
  <sheetFormatPr defaultRowHeight="15.6" x14ac:dyDescent="0.3"/>
  <cols>
    <col min="1" max="1" width="20.3984375" customWidth="1"/>
    <col min="2" max="2" width="20.09765625" customWidth="1"/>
    <col min="3" max="3" width="16" customWidth="1"/>
  </cols>
  <sheetData>
    <row r="3" spans="1:3" x14ac:dyDescent="0.3">
      <c r="A3" s="340" t="s">
        <v>196</v>
      </c>
      <c r="B3" t="s">
        <v>194</v>
      </c>
      <c r="C3" t="s">
        <v>195</v>
      </c>
    </row>
    <row r="4" spans="1:3" x14ac:dyDescent="0.3">
      <c r="A4" s="341" t="s">
        <v>12</v>
      </c>
      <c r="B4" s="57">
        <v>2791020.96</v>
      </c>
      <c r="C4" s="3">
        <v>21.84</v>
      </c>
    </row>
    <row r="5" spans="1:3" x14ac:dyDescent="0.3">
      <c r="A5" s="341" t="s">
        <v>10</v>
      </c>
      <c r="B5" s="57">
        <v>2407357.92</v>
      </c>
      <c r="C5" s="3">
        <v>27.48</v>
      </c>
    </row>
    <row r="6" spans="1:3" x14ac:dyDescent="0.3">
      <c r="A6" s="341" t="s">
        <v>11</v>
      </c>
      <c r="B6" s="57">
        <v>1289176.5599999998</v>
      </c>
      <c r="C6" s="3">
        <v>23.279999999999998</v>
      </c>
    </row>
    <row r="7" spans="1:3" x14ac:dyDescent="0.3">
      <c r="A7" s="341" t="s">
        <v>13</v>
      </c>
      <c r="B7" s="57">
        <v>609292.79999999993</v>
      </c>
      <c r="C7" s="3">
        <v>20.639999999999997</v>
      </c>
    </row>
    <row r="8" spans="1:3" x14ac:dyDescent="0.3">
      <c r="A8" s="341" t="s">
        <v>14</v>
      </c>
      <c r="B8" s="57">
        <v>352028.16000000003</v>
      </c>
      <c r="C8" s="3">
        <v>21.12</v>
      </c>
    </row>
    <row r="9" spans="1:3" x14ac:dyDescent="0.3">
      <c r="A9" s="341" t="s">
        <v>197</v>
      </c>
      <c r="B9" s="57">
        <v>7448876.3999999994</v>
      </c>
      <c r="C9" s="3">
        <v>114.36</v>
      </c>
    </row>
  </sheetData>
  <pageMargins left="0.7" right="0.7" top="0.75" bottom="0.75" header="0.3" footer="0.3"/>
  <pageSetup orientation="portrait" horizontalDpi="300" verticalDpi="300" r:id="rId2"/>
  <headerFooter>
    <oddHeader>&amp;C&amp;"-,Bold"&amp;24&amp;A&amp;R&amp;"-,Bold"&amp;24&amp;P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886D-7AC5-CD40-8BD7-4ACEB17D4814}">
  <sheetPr>
    <tabColor theme="9" tint="0.59999389629810485"/>
    <pageSetUpPr autoPageBreaks="0" fitToPage="1"/>
  </sheetPr>
  <dimension ref="A1:O287"/>
  <sheetViews>
    <sheetView view="pageBreakPreview" zoomScale="60" zoomScaleNormal="85" workbookViewId="0">
      <pane ySplit="1" topLeftCell="A2" activePane="bottomLeft" state="frozen"/>
      <selection pane="bottomLeft" activeCell="R53" sqref="R53"/>
    </sheetView>
  </sheetViews>
  <sheetFormatPr defaultColWidth="11.09765625" defaultRowHeight="15.6" x14ac:dyDescent="0.3"/>
  <cols>
    <col min="1" max="1" width="34.59765625" customWidth="1"/>
    <col min="2" max="2" width="15.8984375" customWidth="1"/>
    <col min="3" max="3" width="14.09765625" customWidth="1"/>
    <col min="4" max="6" width="14.5" customWidth="1"/>
    <col min="7" max="11" width="13.3984375" customWidth="1"/>
    <col min="12" max="14" width="13.59765625" customWidth="1"/>
    <col min="15" max="15" width="14.69921875" customWidth="1"/>
  </cols>
  <sheetData>
    <row r="1" spans="1:15" x14ac:dyDescent="0.3">
      <c r="A1" s="19" t="s">
        <v>176</v>
      </c>
      <c r="B1" s="20"/>
      <c r="C1" s="18"/>
      <c r="D1" s="18"/>
      <c r="E1" s="18"/>
      <c r="F1" s="18"/>
      <c r="G1" s="18"/>
      <c r="H1" s="18"/>
      <c r="I1" s="18"/>
      <c r="J1" s="1"/>
      <c r="K1" s="1"/>
      <c r="L1" s="1"/>
      <c r="M1" s="1"/>
      <c r="N1" s="1"/>
      <c r="O1" s="1"/>
    </row>
    <row r="2" spans="1:15" x14ac:dyDescent="0.3">
      <c r="A2" s="21"/>
      <c r="C2" s="1"/>
      <c r="D2" s="1"/>
      <c r="E2" s="1"/>
      <c r="F2" s="1"/>
      <c r="G2" s="1"/>
      <c r="H2" s="1"/>
      <c r="I2" s="1" t="s">
        <v>9</v>
      </c>
      <c r="J2" s="1"/>
      <c r="K2" s="1"/>
      <c r="L2" s="1"/>
      <c r="M2" s="1"/>
      <c r="N2" s="1"/>
      <c r="O2" s="1"/>
    </row>
    <row r="3" spans="1:15" x14ac:dyDescent="0.3">
      <c r="A3" s="22" t="s">
        <v>84</v>
      </c>
      <c r="B3" s="23"/>
      <c r="C3" s="23"/>
      <c r="D3" s="23">
        <v>0</v>
      </c>
      <c r="E3" s="23">
        <v>1</v>
      </c>
      <c r="F3" s="23">
        <v>2</v>
      </c>
      <c r="G3" s="23">
        <v>3</v>
      </c>
      <c r="H3" s="23">
        <v>4</v>
      </c>
      <c r="I3" s="23">
        <v>5</v>
      </c>
      <c r="J3" s="23">
        <v>6</v>
      </c>
      <c r="K3" s="23">
        <v>7</v>
      </c>
      <c r="L3" s="23">
        <v>8</v>
      </c>
      <c r="M3" s="23">
        <v>9</v>
      </c>
      <c r="N3" s="23">
        <v>10</v>
      </c>
      <c r="O3" s="297">
        <v>11</v>
      </c>
    </row>
    <row r="4" spans="1:15" x14ac:dyDescent="0.3">
      <c r="A4" s="221" t="s">
        <v>85</v>
      </c>
      <c r="B4" s="113"/>
      <c r="C4" s="113"/>
      <c r="D4" s="113">
        <v>0</v>
      </c>
      <c r="E4" s="113">
        <v>12</v>
      </c>
      <c r="F4" s="113">
        <v>24</v>
      </c>
      <c r="G4" s="113">
        <v>36</v>
      </c>
      <c r="H4" s="113">
        <v>48</v>
      </c>
      <c r="I4" s="113">
        <v>60</v>
      </c>
      <c r="J4" s="113">
        <v>72</v>
      </c>
      <c r="K4" s="113">
        <v>84</v>
      </c>
      <c r="L4" s="113">
        <v>96</v>
      </c>
      <c r="M4" s="113">
        <v>108</v>
      </c>
      <c r="N4" s="113">
        <v>120</v>
      </c>
      <c r="O4" s="298">
        <v>132</v>
      </c>
    </row>
    <row r="5" spans="1:15" x14ac:dyDescent="0.3">
      <c r="A5" s="24" t="s">
        <v>86</v>
      </c>
      <c r="B5" s="25"/>
      <c r="C5" s="25"/>
      <c r="D5" s="26">
        <v>44927</v>
      </c>
      <c r="E5" s="26">
        <f>+D5+365</f>
        <v>45292</v>
      </c>
      <c r="F5" s="26">
        <f t="shared" ref="F5:O5" si="0">+E5+365</f>
        <v>45657</v>
      </c>
      <c r="G5" s="26">
        <f t="shared" si="0"/>
        <v>46022</v>
      </c>
      <c r="H5" s="26">
        <f t="shared" si="0"/>
        <v>46387</v>
      </c>
      <c r="I5" s="26">
        <f t="shared" si="0"/>
        <v>46752</v>
      </c>
      <c r="J5" s="26">
        <f t="shared" si="0"/>
        <v>47117</v>
      </c>
      <c r="K5" s="26">
        <f t="shared" si="0"/>
        <v>47482</v>
      </c>
      <c r="L5" s="26">
        <f t="shared" si="0"/>
        <v>47847</v>
      </c>
      <c r="M5" s="26">
        <f t="shared" si="0"/>
        <v>48212</v>
      </c>
      <c r="N5" s="26">
        <f t="shared" si="0"/>
        <v>48577</v>
      </c>
      <c r="O5" s="299">
        <f t="shared" si="0"/>
        <v>48942</v>
      </c>
    </row>
    <row r="6" spans="1:15" ht="16.2" thickBot="1" x14ac:dyDescent="0.35">
      <c r="A6" s="21"/>
      <c r="B6" s="1"/>
      <c r="C6" s="1"/>
      <c r="D6" s="1"/>
      <c r="E6" s="1"/>
      <c r="F6" s="1"/>
      <c r="G6" s="1"/>
      <c r="H6" s="1"/>
      <c r="I6" s="1"/>
      <c r="J6" s="1"/>
      <c r="K6" s="1"/>
      <c r="L6" s="1"/>
      <c r="M6" s="1"/>
      <c r="N6" s="1"/>
      <c r="O6" s="1"/>
    </row>
    <row r="7" spans="1:15" x14ac:dyDescent="0.3">
      <c r="A7" s="106" t="s">
        <v>87</v>
      </c>
      <c r="B7" s="163"/>
      <c r="C7" s="164"/>
      <c r="D7" s="164"/>
      <c r="E7" s="164"/>
      <c r="F7" s="164"/>
      <c r="G7" s="164"/>
      <c r="H7" s="164"/>
      <c r="I7" s="164"/>
      <c r="J7" s="164"/>
      <c r="K7" s="164"/>
      <c r="L7" s="164"/>
      <c r="M7" s="164"/>
      <c r="N7" s="164"/>
      <c r="O7" s="165"/>
    </row>
    <row r="8" spans="1:15" x14ac:dyDescent="0.3">
      <c r="A8" s="166" t="s">
        <v>42</v>
      </c>
      <c r="B8" s="27"/>
      <c r="C8" s="167"/>
      <c r="D8" s="28"/>
      <c r="E8" s="167"/>
      <c r="F8" s="167"/>
      <c r="G8" s="167"/>
      <c r="H8" s="167"/>
      <c r="I8" s="167"/>
      <c r="J8" s="167"/>
      <c r="K8" s="167"/>
      <c r="L8" s="167"/>
      <c r="M8" s="167"/>
      <c r="N8" s="167"/>
      <c r="O8" s="168"/>
    </row>
    <row r="9" spans="1:15" x14ac:dyDescent="0.3">
      <c r="A9" s="169" t="s">
        <v>88</v>
      </c>
      <c r="B9" s="170"/>
      <c r="C9" s="29"/>
      <c r="D9" s="171">
        <v>0</v>
      </c>
      <c r="E9" s="171">
        <v>0</v>
      </c>
      <c r="F9" s="171">
        <v>75</v>
      </c>
      <c r="G9" s="171">
        <v>225</v>
      </c>
      <c r="H9" s="171">
        <v>275</v>
      </c>
      <c r="I9" s="171">
        <v>334</v>
      </c>
      <c r="J9" s="171">
        <v>334</v>
      </c>
      <c r="K9" s="171">
        <v>334</v>
      </c>
      <c r="L9" s="171">
        <v>334</v>
      </c>
      <c r="M9" s="171">
        <v>334</v>
      </c>
      <c r="N9" s="171">
        <v>334</v>
      </c>
      <c r="O9" s="172">
        <v>334</v>
      </c>
    </row>
    <row r="10" spans="1:15" x14ac:dyDescent="0.3">
      <c r="A10" s="173" t="s">
        <v>89</v>
      </c>
      <c r="B10" s="30"/>
      <c r="C10" s="31"/>
      <c r="D10" s="32">
        <v>0</v>
      </c>
      <c r="E10" s="32">
        <v>0</v>
      </c>
      <c r="F10" s="32">
        <f>+F9/334</f>
        <v>0.22455089820359281</v>
      </c>
      <c r="G10" s="32">
        <f t="shared" ref="G10:O10" si="1">+G9/334</f>
        <v>0.67365269461077848</v>
      </c>
      <c r="H10" s="32">
        <f t="shared" si="1"/>
        <v>0.82335329341317365</v>
      </c>
      <c r="I10" s="32">
        <f t="shared" si="1"/>
        <v>1</v>
      </c>
      <c r="J10" s="32">
        <f t="shared" si="1"/>
        <v>1</v>
      </c>
      <c r="K10" s="32">
        <f t="shared" si="1"/>
        <v>1</v>
      </c>
      <c r="L10" s="32">
        <f t="shared" si="1"/>
        <v>1</v>
      </c>
      <c r="M10" s="32">
        <f t="shared" si="1"/>
        <v>1</v>
      </c>
      <c r="N10" s="32">
        <f t="shared" si="1"/>
        <v>1</v>
      </c>
      <c r="O10" s="174">
        <f t="shared" si="1"/>
        <v>1</v>
      </c>
    </row>
    <row r="11" spans="1:15" x14ac:dyDescent="0.3">
      <c r="A11" s="175" t="s">
        <v>1</v>
      </c>
      <c r="B11" s="113" t="s">
        <v>2</v>
      </c>
      <c r="C11" s="113" t="s">
        <v>4</v>
      </c>
      <c r="D11" s="176"/>
      <c r="E11" s="176"/>
      <c r="F11" s="176"/>
      <c r="G11" s="176"/>
      <c r="H11" s="176"/>
      <c r="I11" s="176"/>
      <c r="J11" s="176"/>
      <c r="K11" s="176"/>
      <c r="L11" s="176"/>
      <c r="M11" s="176"/>
      <c r="N11" s="176"/>
      <c r="O11" s="177"/>
    </row>
    <row r="12" spans="1:15" x14ac:dyDescent="0.3">
      <c r="A12" s="75" t="s">
        <v>10</v>
      </c>
      <c r="B12" s="1">
        <f>'Project 1'!E5</f>
        <v>121</v>
      </c>
      <c r="C12" s="178">
        <v>724</v>
      </c>
      <c r="D12" s="179">
        <v>0</v>
      </c>
      <c r="E12" s="179">
        <v>0</v>
      </c>
      <c r="F12" s="179">
        <v>25</v>
      </c>
      <c r="G12" s="179">
        <v>50</v>
      </c>
      <c r="H12" s="179">
        <v>100</v>
      </c>
      <c r="I12" s="179">
        <v>121</v>
      </c>
      <c r="J12" s="179">
        <v>121</v>
      </c>
      <c r="K12" s="179">
        <v>121</v>
      </c>
      <c r="L12" s="179">
        <v>121</v>
      </c>
      <c r="M12" s="179">
        <v>121</v>
      </c>
      <c r="N12" s="179">
        <v>121</v>
      </c>
      <c r="O12" s="180">
        <v>121</v>
      </c>
    </row>
    <row r="13" spans="1:15" x14ac:dyDescent="0.3">
      <c r="A13" s="75" t="s">
        <v>11</v>
      </c>
      <c r="B13" s="1">
        <f>'Project 1'!E6</f>
        <v>63</v>
      </c>
      <c r="C13" s="178">
        <v>879</v>
      </c>
      <c r="D13" s="179">
        <v>0</v>
      </c>
      <c r="E13" s="179">
        <v>0</v>
      </c>
      <c r="F13" s="179">
        <v>25</v>
      </c>
      <c r="G13" s="179">
        <v>63</v>
      </c>
      <c r="H13" s="179">
        <v>63</v>
      </c>
      <c r="I13" s="179">
        <v>63</v>
      </c>
      <c r="J13" s="179">
        <v>63</v>
      </c>
      <c r="K13" s="179">
        <v>63</v>
      </c>
      <c r="L13" s="179">
        <v>63</v>
      </c>
      <c r="M13" s="179">
        <v>63</v>
      </c>
      <c r="N13" s="179">
        <v>63</v>
      </c>
      <c r="O13" s="180">
        <v>63</v>
      </c>
    </row>
    <row r="14" spans="1:15" x14ac:dyDescent="0.3">
      <c r="A14" s="75" t="s">
        <v>12</v>
      </c>
      <c r="B14" s="1">
        <f>'Project 1'!E7</f>
        <v>114</v>
      </c>
      <c r="C14" s="178">
        <v>1121</v>
      </c>
      <c r="D14" s="179">
        <v>0</v>
      </c>
      <c r="E14" s="179">
        <v>0</v>
      </c>
      <c r="F14" s="179">
        <v>25</v>
      </c>
      <c r="G14" s="179">
        <v>76</v>
      </c>
      <c r="H14" s="179">
        <v>76</v>
      </c>
      <c r="I14" s="179">
        <v>114</v>
      </c>
      <c r="J14" s="179">
        <v>114</v>
      </c>
      <c r="K14" s="179">
        <v>114</v>
      </c>
      <c r="L14" s="179">
        <v>114</v>
      </c>
      <c r="M14" s="179">
        <v>114</v>
      </c>
      <c r="N14" s="179">
        <v>114</v>
      </c>
      <c r="O14" s="180">
        <v>114</v>
      </c>
    </row>
    <row r="15" spans="1:15" x14ac:dyDescent="0.3">
      <c r="A15" s="75" t="s">
        <v>13</v>
      </c>
      <c r="B15" s="1">
        <f>'Project 1'!E8</f>
        <v>24</v>
      </c>
      <c r="C15" s="178">
        <v>1230</v>
      </c>
      <c r="D15" s="179">
        <v>0</v>
      </c>
      <c r="E15" s="179">
        <v>0</v>
      </c>
      <c r="F15" s="179">
        <v>0</v>
      </c>
      <c r="G15" s="179">
        <v>24</v>
      </c>
      <c r="H15" s="179">
        <v>24</v>
      </c>
      <c r="I15" s="179">
        <v>24</v>
      </c>
      <c r="J15" s="179">
        <v>24</v>
      </c>
      <c r="K15" s="179">
        <v>24</v>
      </c>
      <c r="L15" s="179">
        <v>24</v>
      </c>
      <c r="M15" s="179">
        <v>24</v>
      </c>
      <c r="N15" s="179">
        <v>24</v>
      </c>
      <c r="O15" s="180">
        <v>24</v>
      </c>
    </row>
    <row r="16" spans="1:15" x14ac:dyDescent="0.3">
      <c r="A16" s="75" t="s">
        <v>14</v>
      </c>
      <c r="B16" s="1">
        <f>'Project 1'!E9</f>
        <v>12</v>
      </c>
      <c r="C16" s="178">
        <v>1389</v>
      </c>
      <c r="D16" s="179">
        <v>0</v>
      </c>
      <c r="E16" s="179">
        <v>0</v>
      </c>
      <c r="F16" s="179">
        <v>0</v>
      </c>
      <c r="G16" s="179">
        <v>12</v>
      </c>
      <c r="H16" s="179">
        <v>12</v>
      </c>
      <c r="I16" s="179">
        <v>12</v>
      </c>
      <c r="J16" s="179">
        <v>12</v>
      </c>
      <c r="K16" s="179">
        <v>12</v>
      </c>
      <c r="L16" s="179">
        <v>12</v>
      </c>
      <c r="M16" s="179">
        <v>12</v>
      </c>
      <c r="N16" s="179">
        <v>12</v>
      </c>
      <c r="O16" s="180">
        <v>12</v>
      </c>
    </row>
    <row r="17" spans="1:15" x14ac:dyDescent="0.3">
      <c r="A17" s="181" t="s">
        <v>90</v>
      </c>
      <c r="B17" s="182" t="s">
        <v>6</v>
      </c>
      <c r="C17" s="183" t="s">
        <v>7</v>
      </c>
      <c r="D17" s="184">
        <f>SUM(D12:D16)</f>
        <v>0</v>
      </c>
      <c r="E17" s="184">
        <f>SUM(E12:E16)</f>
        <v>0</v>
      </c>
      <c r="F17" s="184">
        <f>SUM(F12:F16)</f>
        <v>75</v>
      </c>
      <c r="G17" s="184">
        <f t="shared" ref="G17:O17" si="2">SUM(G12:G16)</f>
        <v>225</v>
      </c>
      <c r="H17" s="184">
        <f t="shared" si="2"/>
        <v>275</v>
      </c>
      <c r="I17" s="184">
        <f t="shared" si="2"/>
        <v>334</v>
      </c>
      <c r="J17" s="184">
        <f t="shared" si="2"/>
        <v>334</v>
      </c>
      <c r="K17" s="184">
        <f t="shared" si="2"/>
        <v>334</v>
      </c>
      <c r="L17" s="184">
        <f t="shared" si="2"/>
        <v>334</v>
      </c>
      <c r="M17" s="184">
        <f t="shared" si="2"/>
        <v>334</v>
      </c>
      <c r="N17" s="184">
        <f t="shared" si="2"/>
        <v>334</v>
      </c>
      <c r="O17" s="185">
        <f t="shared" si="2"/>
        <v>334</v>
      </c>
    </row>
    <row r="18" spans="1:15" x14ac:dyDescent="0.3">
      <c r="A18" s="186" t="s">
        <v>10</v>
      </c>
      <c r="B18" s="187">
        <v>1657.96</v>
      </c>
      <c r="C18" s="2">
        <f>+B18/C12</f>
        <v>2.29</v>
      </c>
      <c r="D18" s="188">
        <f>+D12*$B$18*12</f>
        <v>0</v>
      </c>
      <c r="E18" s="188">
        <f>+E12*$B$18*12</f>
        <v>0</v>
      </c>
      <c r="F18" s="188">
        <f>+F12*$B$18*12*(1+F$24)^F$27</f>
        <v>527678.92920000001</v>
      </c>
      <c r="G18" s="188">
        <f t="shared" ref="G18:O18" si="3">+G12*$B$18*12*(1+G$24)^G$27</f>
        <v>1087018.594152</v>
      </c>
      <c r="H18" s="188">
        <f t="shared" si="3"/>
        <v>2239258.30395312</v>
      </c>
      <c r="I18" s="188">
        <f t="shared" si="3"/>
        <v>2790787.6242167731</v>
      </c>
      <c r="J18" s="188">
        <f t="shared" si="3"/>
        <v>2874511.2529432764</v>
      </c>
      <c r="K18" s="188">
        <f t="shared" si="3"/>
        <v>2960746.590531575</v>
      </c>
      <c r="L18" s="188">
        <f t="shared" si="3"/>
        <v>3049568.9882475217</v>
      </c>
      <c r="M18" s="188">
        <f t="shared" si="3"/>
        <v>3141056.0578949475</v>
      </c>
      <c r="N18" s="188">
        <f t="shared" si="3"/>
        <v>3235287.7396317958</v>
      </c>
      <c r="O18" s="189">
        <f t="shared" si="3"/>
        <v>3332346.3718207497</v>
      </c>
    </row>
    <row r="19" spans="1:15" x14ac:dyDescent="0.3">
      <c r="A19" s="186" t="s">
        <v>11</v>
      </c>
      <c r="B19" s="187">
        <v>1705.26</v>
      </c>
      <c r="C19" s="2">
        <f>+B19/C13</f>
        <v>1.94</v>
      </c>
      <c r="D19" s="188">
        <f>+D13*$B$19*12</f>
        <v>0</v>
      </c>
      <c r="E19" s="188">
        <f>+E13*$B$19*12</f>
        <v>0</v>
      </c>
      <c r="F19" s="188">
        <f t="shared" ref="F19:O19" si="4">+F13*$B$19*12*(1+F$24)^F$27</f>
        <v>542733.10019999999</v>
      </c>
      <c r="G19" s="188">
        <f t="shared" si="4"/>
        <v>1408718.0348791201</v>
      </c>
      <c r="H19" s="188">
        <f t="shared" si="4"/>
        <v>1450979.5759254936</v>
      </c>
      <c r="I19" s="188">
        <f t="shared" si="4"/>
        <v>1494508.9632032583</v>
      </c>
      <c r="J19" s="188">
        <f t="shared" si="4"/>
        <v>1539344.2320993561</v>
      </c>
      <c r="K19" s="188">
        <f t="shared" si="4"/>
        <v>1585524.5590623368</v>
      </c>
      <c r="L19" s="188">
        <f t="shared" si="4"/>
        <v>1633090.2958342067</v>
      </c>
      <c r="M19" s="188">
        <f t="shared" si="4"/>
        <v>1682083.0047092331</v>
      </c>
      <c r="N19" s="188">
        <f t="shared" si="4"/>
        <v>1732545.49485051</v>
      </c>
      <c r="O19" s="189">
        <f t="shared" si="4"/>
        <v>1784521.8596960255</v>
      </c>
    </row>
    <row r="20" spans="1:15" x14ac:dyDescent="0.3">
      <c r="A20" s="186" t="s">
        <v>12</v>
      </c>
      <c r="B20" s="187">
        <v>2040.22</v>
      </c>
      <c r="C20" s="2">
        <f>+B20/C14</f>
        <v>1.82</v>
      </c>
      <c r="D20" s="188">
        <f>+D14*$B$20*12</f>
        <v>0</v>
      </c>
      <c r="E20" s="188">
        <f>+E14*$B$20*12</f>
        <v>0</v>
      </c>
      <c r="F20" s="188">
        <f t="shared" ref="F20:O20" si="5">+F14*$B$20*12*(1+F$24)^F$27</f>
        <v>649340.81939999992</v>
      </c>
      <c r="G20" s="188">
        <f t="shared" si="5"/>
        <v>2033215.9737052801</v>
      </c>
      <c r="H20" s="188">
        <f t="shared" si="5"/>
        <v>2094212.4529164385</v>
      </c>
      <c r="I20" s="188">
        <f t="shared" si="5"/>
        <v>3235558.2397558969</v>
      </c>
      <c r="J20" s="188">
        <f t="shared" si="5"/>
        <v>3332624.986948574</v>
      </c>
      <c r="K20" s="188">
        <f t="shared" si="5"/>
        <v>3432603.7365570315</v>
      </c>
      <c r="L20" s="188">
        <f t="shared" si="5"/>
        <v>3535581.8486537421</v>
      </c>
      <c r="M20" s="188">
        <f t="shared" si="5"/>
        <v>3641649.3041133541</v>
      </c>
      <c r="N20" s="188">
        <f t="shared" si="5"/>
        <v>3750898.7832367551</v>
      </c>
      <c r="O20" s="189">
        <f t="shared" si="5"/>
        <v>3863425.7467338578</v>
      </c>
    </row>
    <row r="21" spans="1:15" x14ac:dyDescent="0.3">
      <c r="A21" s="186" t="s">
        <v>13</v>
      </c>
      <c r="B21" s="187">
        <v>2115.6</v>
      </c>
      <c r="C21" s="2">
        <f>+B21/C15</f>
        <v>1.72</v>
      </c>
      <c r="D21" s="188">
        <f>+D15*$B$21*12</f>
        <v>0</v>
      </c>
      <c r="E21" s="188">
        <f>+E15*$B$21*12</f>
        <v>0</v>
      </c>
      <c r="F21" s="188">
        <f>+F15*$B$21*12*(1+F$24)^F$27</f>
        <v>0</v>
      </c>
      <c r="G21" s="188">
        <f t="shared" ref="G21:O21" si="6">+G15*$B$21*12*(1+G$24)^G$27</f>
        <v>665790.69346559991</v>
      </c>
      <c r="H21" s="188">
        <f t="shared" si="6"/>
        <v>685764.41426956782</v>
      </c>
      <c r="I21" s="188">
        <f t="shared" si="6"/>
        <v>706337.34669765481</v>
      </c>
      <c r="J21" s="188">
        <f t="shared" si="6"/>
        <v>727527.46709858452</v>
      </c>
      <c r="K21" s="188">
        <f t="shared" si="6"/>
        <v>749353.29111154214</v>
      </c>
      <c r="L21" s="188">
        <f t="shared" si="6"/>
        <v>771833.88984488836</v>
      </c>
      <c r="M21" s="188">
        <f t="shared" si="6"/>
        <v>794988.90654023504</v>
      </c>
      <c r="N21" s="188">
        <f t="shared" si="6"/>
        <v>818838.57373644202</v>
      </c>
      <c r="O21" s="189">
        <f t="shared" si="6"/>
        <v>843403.73094853538</v>
      </c>
    </row>
    <row r="22" spans="1:15" x14ac:dyDescent="0.3">
      <c r="A22" s="186" t="s">
        <v>14</v>
      </c>
      <c r="B22" s="187">
        <v>2444.64</v>
      </c>
      <c r="C22" s="2">
        <f>+B22/C16</f>
        <v>1.76</v>
      </c>
      <c r="D22" s="188">
        <f>+D16*$B$22*12</f>
        <v>0</v>
      </c>
      <c r="E22" s="188">
        <f>+E16*$B$22*12</f>
        <v>0</v>
      </c>
      <c r="F22" s="188">
        <f t="shared" ref="F22:O22" si="7">+F16*$B$22*12*(1+F$24)^F$27</f>
        <v>0</v>
      </c>
      <c r="G22" s="188">
        <f t="shared" si="7"/>
        <v>384670.67519232002</v>
      </c>
      <c r="H22" s="188">
        <f t="shared" si="7"/>
        <v>396210.7954480896</v>
      </c>
      <c r="I22" s="188">
        <f t="shared" si="7"/>
        <v>408097.1193115323</v>
      </c>
      <c r="J22" s="188">
        <f t="shared" si="7"/>
        <v>420340.03289087827</v>
      </c>
      <c r="K22" s="188">
        <f t="shared" si="7"/>
        <v>432950.23387760465</v>
      </c>
      <c r="L22" s="188">
        <f t="shared" si="7"/>
        <v>445938.7408939327</v>
      </c>
      <c r="M22" s="188">
        <f t="shared" si="7"/>
        <v>459316.90312075074</v>
      </c>
      <c r="N22" s="188">
        <f t="shared" si="7"/>
        <v>473096.41021437326</v>
      </c>
      <c r="O22" s="189">
        <f t="shared" si="7"/>
        <v>487289.30252080446</v>
      </c>
    </row>
    <row r="23" spans="1:15" x14ac:dyDescent="0.3">
      <c r="A23" s="190" t="s">
        <v>143</v>
      </c>
      <c r="B23" s="1"/>
      <c r="C23" s="33"/>
      <c r="D23" s="191">
        <v>0</v>
      </c>
      <c r="E23" s="191">
        <v>0</v>
      </c>
      <c r="F23" s="191">
        <f>SUM(F18:F22)/F17/12</f>
        <v>1910.8364986666666</v>
      </c>
      <c r="G23" s="191">
        <f>SUM(G18:G22)/G17/12</f>
        <v>2066.4496190349332</v>
      </c>
      <c r="H23" s="191">
        <f t="shared" ref="H23:O23" si="8">SUM(H18:H22)/H17/12</f>
        <v>2080.7350128826392</v>
      </c>
      <c r="I23" s="191">
        <f t="shared" si="8"/>
        <v>2154.513296702873</v>
      </c>
      <c r="J23" s="191">
        <f t="shared" si="8"/>
        <v>2219.1486956039598</v>
      </c>
      <c r="K23" s="191">
        <f t="shared" si="8"/>
        <v>2285.7231564720782</v>
      </c>
      <c r="L23" s="191">
        <f t="shared" si="8"/>
        <v>2354.2948511662403</v>
      </c>
      <c r="M23" s="191">
        <f t="shared" si="8"/>
        <v>2424.9236967012275</v>
      </c>
      <c r="N23" s="191">
        <f t="shared" si="8"/>
        <v>2497.6714076022645</v>
      </c>
      <c r="O23" s="192">
        <f t="shared" si="8"/>
        <v>2572.6015498303323</v>
      </c>
    </row>
    <row r="24" spans="1:15" ht="16.2" thickBot="1" x14ac:dyDescent="0.35">
      <c r="A24" s="193" t="s">
        <v>91</v>
      </c>
      <c r="B24" s="194"/>
      <c r="C24" s="195"/>
      <c r="D24" s="196">
        <v>0</v>
      </c>
      <c r="E24" s="196">
        <f>'Project 1'!$F$15</f>
        <v>0.03</v>
      </c>
      <c r="F24" s="196">
        <f>'Project 1'!$F$15</f>
        <v>0.03</v>
      </c>
      <c r="G24" s="196">
        <f>'Project 1'!$F$15</f>
        <v>0.03</v>
      </c>
      <c r="H24" s="196">
        <f>'Project 1'!$F$15</f>
        <v>0.03</v>
      </c>
      <c r="I24" s="196">
        <f>'Project 1'!$F$15</f>
        <v>0.03</v>
      </c>
      <c r="J24" s="196">
        <f>'Project 1'!$F$15</f>
        <v>0.03</v>
      </c>
      <c r="K24" s="196">
        <f>'Project 1'!$F$15</f>
        <v>0.03</v>
      </c>
      <c r="L24" s="196">
        <f>'Project 1'!$F$15</f>
        <v>0.03</v>
      </c>
      <c r="M24" s="196">
        <f>'Project 1'!$F$15</f>
        <v>0.03</v>
      </c>
      <c r="N24" s="196">
        <f>'Project 1'!$F$15</f>
        <v>0.03</v>
      </c>
      <c r="O24" s="197">
        <f>'Project 1'!$F$15</f>
        <v>0.03</v>
      </c>
    </row>
    <row r="25" spans="1:15" ht="16.2" thickBot="1" x14ac:dyDescent="0.35">
      <c r="A25" s="211"/>
      <c r="B25" s="212"/>
      <c r="C25" s="213"/>
      <c r="D25" s="214"/>
      <c r="E25" s="214"/>
      <c r="F25" s="214"/>
      <c r="G25" s="214"/>
      <c r="H25" s="214"/>
      <c r="I25" s="214"/>
      <c r="J25" s="214"/>
      <c r="K25" s="214"/>
      <c r="L25" s="214"/>
      <c r="M25" s="214"/>
      <c r="N25" s="214"/>
      <c r="O25" s="214"/>
    </row>
    <row r="26" spans="1:15" x14ac:dyDescent="0.3">
      <c r="A26" s="106" t="s">
        <v>92</v>
      </c>
      <c r="B26" s="154" t="s">
        <v>93</v>
      </c>
      <c r="C26" s="155"/>
      <c r="D26" s="156"/>
      <c r="E26" s="156"/>
      <c r="F26" s="156"/>
      <c r="G26" s="156"/>
      <c r="H26" s="156"/>
      <c r="I26" s="156"/>
      <c r="J26" s="156"/>
      <c r="K26" s="156"/>
      <c r="L26" s="156"/>
      <c r="M26" s="156"/>
      <c r="N26" s="156"/>
      <c r="O26" s="157"/>
    </row>
    <row r="27" spans="1:15" x14ac:dyDescent="0.3">
      <c r="A27" s="110" t="s">
        <v>84</v>
      </c>
      <c r="B27" s="23"/>
      <c r="C27" s="23"/>
      <c r="D27" s="23">
        <v>0</v>
      </c>
      <c r="E27" s="23">
        <v>1</v>
      </c>
      <c r="F27" s="23">
        <v>2</v>
      </c>
      <c r="G27" s="23">
        <v>3</v>
      </c>
      <c r="H27" s="23">
        <v>4</v>
      </c>
      <c r="I27" s="23">
        <v>5</v>
      </c>
      <c r="J27" s="23">
        <v>6</v>
      </c>
      <c r="K27" s="23">
        <v>7</v>
      </c>
      <c r="L27" s="23">
        <v>8</v>
      </c>
      <c r="M27" s="23">
        <v>9</v>
      </c>
      <c r="N27" s="23">
        <v>10</v>
      </c>
      <c r="O27" s="111">
        <v>11</v>
      </c>
    </row>
    <row r="28" spans="1:15" x14ac:dyDescent="0.3">
      <c r="A28" s="112" t="s">
        <v>85</v>
      </c>
      <c r="B28" s="113"/>
      <c r="C28" s="113"/>
      <c r="D28" s="113">
        <v>0</v>
      </c>
      <c r="E28" s="113">
        <v>12</v>
      </c>
      <c r="F28" s="113">
        <v>24</v>
      </c>
      <c r="G28" s="113">
        <v>36</v>
      </c>
      <c r="H28" s="113">
        <v>48</v>
      </c>
      <c r="I28" s="113">
        <v>60</v>
      </c>
      <c r="J28" s="113">
        <v>72</v>
      </c>
      <c r="K28" s="113">
        <v>84</v>
      </c>
      <c r="L28" s="113">
        <v>96</v>
      </c>
      <c r="M28" s="113">
        <v>108</v>
      </c>
      <c r="N28" s="113">
        <v>120</v>
      </c>
      <c r="O28" s="114">
        <v>132</v>
      </c>
    </row>
    <row r="29" spans="1:15" x14ac:dyDescent="0.3">
      <c r="A29" s="158" t="s">
        <v>86</v>
      </c>
      <c r="B29" s="25"/>
      <c r="C29" s="25"/>
      <c r="D29" s="26">
        <v>44927</v>
      </c>
      <c r="E29" s="26">
        <f>+D29+365</f>
        <v>45292</v>
      </c>
      <c r="F29" s="26">
        <f t="shared" ref="F29:O29" si="9">+E29+365</f>
        <v>45657</v>
      </c>
      <c r="G29" s="26">
        <f t="shared" si="9"/>
        <v>46022</v>
      </c>
      <c r="H29" s="26">
        <f t="shared" si="9"/>
        <v>46387</v>
      </c>
      <c r="I29" s="26">
        <f t="shared" si="9"/>
        <v>46752</v>
      </c>
      <c r="J29" s="26">
        <f t="shared" si="9"/>
        <v>47117</v>
      </c>
      <c r="K29" s="26">
        <f t="shared" si="9"/>
        <v>47482</v>
      </c>
      <c r="L29" s="26">
        <f t="shared" si="9"/>
        <v>47847</v>
      </c>
      <c r="M29" s="26">
        <f t="shared" si="9"/>
        <v>48212</v>
      </c>
      <c r="N29" s="26">
        <f t="shared" si="9"/>
        <v>48577</v>
      </c>
      <c r="O29" s="115">
        <f t="shared" si="9"/>
        <v>48942</v>
      </c>
    </row>
    <row r="30" spans="1:15" x14ac:dyDescent="0.3">
      <c r="A30" s="118" t="s">
        <v>94</v>
      </c>
      <c r="B30" s="37"/>
      <c r="C30" s="38"/>
      <c r="D30" s="38"/>
      <c r="E30" s="38"/>
      <c r="F30" s="159"/>
      <c r="G30" s="159"/>
      <c r="H30" s="159"/>
      <c r="I30" s="39"/>
      <c r="J30" s="38"/>
      <c r="K30" s="38"/>
      <c r="L30" s="38"/>
      <c r="M30" s="38"/>
      <c r="N30" s="38"/>
      <c r="O30" s="124"/>
    </row>
    <row r="31" spans="1:15" x14ac:dyDescent="0.3">
      <c r="A31" s="152" t="s">
        <v>95</v>
      </c>
      <c r="B31" s="37">
        <f>SUM(D31:O31)</f>
        <v>80333169.992255569</v>
      </c>
      <c r="C31" s="38"/>
      <c r="D31" s="119">
        <v>0</v>
      </c>
      <c r="E31" s="119">
        <v>0</v>
      </c>
      <c r="F31" s="119">
        <f>SUM(F18:F22)</f>
        <v>1719752.8487999998</v>
      </c>
      <c r="G31" s="119">
        <f>SUM(G18:G22)</f>
        <v>5579413.97139432</v>
      </c>
      <c r="H31" s="119">
        <f t="shared" ref="H31:O31" si="10">SUM(H18:H22)</f>
        <v>6866425.5425127093</v>
      </c>
      <c r="I31" s="119">
        <f t="shared" si="10"/>
        <v>8635289.2931851149</v>
      </c>
      <c r="J31" s="119">
        <f t="shared" si="10"/>
        <v>8894347.9719806705</v>
      </c>
      <c r="K31" s="119">
        <f t="shared" si="10"/>
        <v>9161178.4111400899</v>
      </c>
      <c r="L31" s="119">
        <f t="shared" si="10"/>
        <v>9436013.7634742912</v>
      </c>
      <c r="M31" s="119">
        <f t="shared" si="10"/>
        <v>9719094.1763785202</v>
      </c>
      <c r="N31" s="119">
        <f t="shared" si="10"/>
        <v>10010667.001669876</v>
      </c>
      <c r="O31" s="120">
        <f t="shared" si="10"/>
        <v>10310987.011719972</v>
      </c>
    </row>
    <row r="32" spans="1:15" x14ac:dyDescent="0.3">
      <c r="A32" s="152" t="s">
        <v>144</v>
      </c>
      <c r="B32" s="37">
        <f t="shared" ref="B32:B39" si="11">SUM(D32:O32)</f>
        <v>4016658.499612778</v>
      </c>
      <c r="C32" s="38"/>
      <c r="D32" s="119">
        <v>0</v>
      </c>
      <c r="E32" s="119">
        <v>0</v>
      </c>
      <c r="F32" s="119">
        <f>+F31*0.05</f>
        <v>85987.642439999996</v>
      </c>
      <c r="G32" s="119">
        <f t="shared" ref="G32:O32" si="12">+G31*0.05</f>
        <v>278970.69856971601</v>
      </c>
      <c r="H32" s="119">
        <f t="shared" si="12"/>
        <v>343321.27712563548</v>
      </c>
      <c r="I32" s="119">
        <f t="shared" si="12"/>
        <v>431764.46465925575</v>
      </c>
      <c r="J32" s="119">
        <f t="shared" si="12"/>
        <v>444717.39859903353</v>
      </c>
      <c r="K32" s="119">
        <f t="shared" si="12"/>
        <v>458058.92055700452</v>
      </c>
      <c r="L32" s="119">
        <f t="shared" si="12"/>
        <v>471800.68817371456</v>
      </c>
      <c r="M32" s="119">
        <f t="shared" si="12"/>
        <v>485954.70881892601</v>
      </c>
      <c r="N32" s="119">
        <f t="shared" si="12"/>
        <v>500533.35008349386</v>
      </c>
      <c r="O32" s="120">
        <f t="shared" si="12"/>
        <v>515549.35058599862</v>
      </c>
    </row>
    <row r="33" spans="1:15" x14ac:dyDescent="0.3">
      <c r="A33" s="152" t="s">
        <v>145</v>
      </c>
      <c r="B33" s="37">
        <f t="shared" si="11"/>
        <v>1606663.3998451114</v>
      </c>
      <c r="C33" s="38"/>
      <c r="D33" s="119">
        <v>0</v>
      </c>
      <c r="E33" s="119">
        <v>0</v>
      </c>
      <c r="F33" s="119">
        <f>+F31*0.02</f>
        <v>34395.056976</v>
      </c>
      <c r="G33" s="119">
        <f t="shared" ref="G33:O33" si="13">+G31*0.02</f>
        <v>111588.2794278864</v>
      </c>
      <c r="H33" s="119">
        <f t="shared" si="13"/>
        <v>137328.51085025418</v>
      </c>
      <c r="I33" s="119">
        <f t="shared" si="13"/>
        <v>172705.7858637023</v>
      </c>
      <c r="J33" s="119">
        <f t="shared" si="13"/>
        <v>177886.95943961342</v>
      </c>
      <c r="K33" s="119">
        <f t="shared" si="13"/>
        <v>183223.56822280181</v>
      </c>
      <c r="L33" s="119">
        <f t="shared" si="13"/>
        <v>188720.27526948584</v>
      </c>
      <c r="M33" s="119">
        <f t="shared" si="13"/>
        <v>194381.8835275704</v>
      </c>
      <c r="N33" s="119">
        <f t="shared" si="13"/>
        <v>200213.34003339754</v>
      </c>
      <c r="O33" s="120">
        <f t="shared" si="13"/>
        <v>206219.74023439945</v>
      </c>
    </row>
    <row r="34" spans="1:15" x14ac:dyDescent="0.3">
      <c r="A34" s="152"/>
      <c r="B34" s="42"/>
      <c r="C34" s="38"/>
      <c r="D34" s="119"/>
      <c r="E34" s="119"/>
      <c r="F34" s="119"/>
      <c r="G34" s="119"/>
      <c r="H34" s="119"/>
      <c r="I34" s="119"/>
      <c r="J34" s="119"/>
      <c r="K34" s="119"/>
      <c r="L34" s="119"/>
      <c r="M34" s="119"/>
      <c r="N34" s="119"/>
      <c r="O34" s="120"/>
    </row>
    <row r="35" spans="1:15" x14ac:dyDescent="0.3">
      <c r="A35" s="123" t="s">
        <v>96</v>
      </c>
      <c r="B35" s="37">
        <f t="shared" si="11"/>
        <v>85956491.891713455</v>
      </c>
      <c r="C35" s="13"/>
      <c r="D35" s="13">
        <v>0</v>
      </c>
      <c r="E35" s="13">
        <v>0</v>
      </c>
      <c r="F35" s="13">
        <f>SUM(F31:F33)</f>
        <v>1840135.548216</v>
      </c>
      <c r="G35" s="13">
        <f t="shared" ref="G35:O35" si="14">SUM(G31:G33)</f>
        <v>5969972.949391922</v>
      </c>
      <c r="H35" s="13">
        <f t="shared" si="14"/>
        <v>7347075.3304885989</v>
      </c>
      <c r="I35" s="13">
        <f t="shared" si="14"/>
        <v>9239759.543708073</v>
      </c>
      <c r="J35" s="13">
        <f t="shared" si="14"/>
        <v>9516952.3300193176</v>
      </c>
      <c r="K35" s="13">
        <f t="shared" si="14"/>
        <v>9802460.8999198973</v>
      </c>
      <c r="L35" s="13">
        <f t="shared" si="14"/>
        <v>10096534.726917492</v>
      </c>
      <c r="M35" s="13">
        <f t="shared" si="14"/>
        <v>10399430.768725015</v>
      </c>
      <c r="N35" s="13">
        <f t="shared" si="14"/>
        <v>10711413.691786768</v>
      </c>
      <c r="O35" s="135">
        <f t="shared" si="14"/>
        <v>11032756.10254037</v>
      </c>
    </row>
    <row r="36" spans="1:15" x14ac:dyDescent="0.3">
      <c r="A36" s="152" t="s">
        <v>146</v>
      </c>
      <c r="B36" s="37">
        <f t="shared" si="11"/>
        <v>1719129.837834269</v>
      </c>
      <c r="C36" s="38"/>
      <c r="D36" s="119">
        <v>0</v>
      </c>
      <c r="E36" s="119">
        <v>0</v>
      </c>
      <c r="F36" s="119">
        <f>+F35*0.02</f>
        <v>36802.710964320002</v>
      </c>
      <c r="G36" s="119">
        <f t="shared" ref="G36:O36" si="15">+G35*0.02</f>
        <v>119399.45898783844</v>
      </c>
      <c r="H36" s="119">
        <f t="shared" si="15"/>
        <v>146941.50660977198</v>
      </c>
      <c r="I36" s="119">
        <f t="shared" si="15"/>
        <v>184795.19087416146</v>
      </c>
      <c r="J36" s="119">
        <f t="shared" si="15"/>
        <v>190339.04660038635</v>
      </c>
      <c r="K36" s="119">
        <f t="shared" si="15"/>
        <v>196049.21799839794</v>
      </c>
      <c r="L36" s="119">
        <f t="shared" si="15"/>
        <v>201930.69453834984</v>
      </c>
      <c r="M36" s="119">
        <f t="shared" si="15"/>
        <v>207988.61537450031</v>
      </c>
      <c r="N36" s="119">
        <f t="shared" si="15"/>
        <v>214228.27383573537</v>
      </c>
      <c r="O36" s="120">
        <f t="shared" si="15"/>
        <v>220655.1220508074</v>
      </c>
    </row>
    <row r="37" spans="1:15" x14ac:dyDescent="0.3">
      <c r="A37" s="152" t="s">
        <v>147</v>
      </c>
      <c r="B37" s="37">
        <f t="shared" si="11"/>
        <v>80333.169992255585</v>
      </c>
      <c r="C37" s="38"/>
      <c r="D37" s="119">
        <v>0</v>
      </c>
      <c r="E37" s="119">
        <v>0</v>
      </c>
      <c r="F37" s="119">
        <f>+F32*0.02</f>
        <v>1719.7528488</v>
      </c>
      <c r="G37" s="119">
        <f t="shared" ref="G37:O37" si="16">+G32*0.02</f>
        <v>5579.4139713943205</v>
      </c>
      <c r="H37" s="119">
        <f t="shared" si="16"/>
        <v>6866.4255425127094</v>
      </c>
      <c r="I37" s="119">
        <f t="shared" si="16"/>
        <v>8635.2892931851147</v>
      </c>
      <c r="J37" s="119">
        <f t="shared" si="16"/>
        <v>8894.347971980671</v>
      </c>
      <c r="K37" s="119">
        <f t="shared" si="16"/>
        <v>9161.1784111400902</v>
      </c>
      <c r="L37" s="119">
        <f t="shared" si="16"/>
        <v>9436.0137634742914</v>
      </c>
      <c r="M37" s="119">
        <f t="shared" si="16"/>
        <v>9719.0941763785213</v>
      </c>
      <c r="N37" s="119">
        <f t="shared" si="16"/>
        <v>10010.667001669877</v>
      </c>
      <c r="O37" s="120">
        <f t="shared" si="16"/>
        <v>10310.987011719973</v>
      </c>
    </row>
    <row r="38" spans="1:15" x14ac:dyDescent="0.3">
      <c r="A38" s="152" t="s">
        <v>148</v>
      </c>
      <c r="B38" s="42">
        <f t="shared" si="11"/>
        <v>32133.267996902228</v>
      </c>
      <c r="C38" s="38"/>
      <c r="D38" s="119">
        <v>0</v>
      </c>
      <c r="E38" s="119">
        <v>0</v>
      </c>
      <c r="F38" s="119">
        <f>+F33*0.02</f>
        <v>687.90113952000002</v>
      </c>
      <c r="G38" s="119">
        <f t="shared" ref="G38:O38" si="17">+G33*0.02</f>
        <v>2231.7655885577283</v>
      </c>
      <c r="H38" s="119">
        <f t="shared" si="17"/>
        <v>2746.5702170050836</v>
      </c>
      <c r="I38" s="119">
        <f t="shared" si="17"/>
        <v>3454.1157172740459</v>
      </c>
      <c r="J38" s="119">
        <f t="shared" si="17"/>
        <v>3557.7391887922686</v>
      </c>
      <c r="K38" s="119">
        <f t="shared" si="17"/>
        <v>3664.4713644560361</v>
      </c>
      <c r="L38" s="119">
        <f t="shared" si="17"/>
        <v>3774.4055053897168</v>
      </c>
      <c r="M38" s="119">
        <f t="shared" si="17"/>
        <v>3887.6376705514081</v>
      </c>
      <c r="N38" s="119">
        <f t="shared" si="17"/>
        <v>4004.266800667951</v>
      </c>
      <c r="O38" s="120">
        <f t="shared" si="17"/>
        <v>4124.3948046879887</v>
      </c>
    </row>
    <row r="39" spans="1:15" x14ac:dyDescent="0.3">
      <c r="A39" s="123" t="s">
        <v>97</v>
      </c>
      <c r="B39" s="314">
        <f t="shared" si="11"/>
        <v>84124895.615890026</v>
      </c>
      <c r="C39" s="8"/>
      <c r="D39" s="8">
        <v>0</v>
      </c>
      <c r="E39" s="8">
        <v>0</v>
      </c>
      <c r="F39" s="8">
        <f>+F35-F36-F37-F38</f>
        <v>1800925.1832633598</v>
      </c>
      <c r="G39" s="8">
        <f>+G35-G36-G37-G38</f>
        <v>5842762.3108441317</v>
      </c>
      <c r="H39" s="8">
        <f t="shared" ref="H39:O39" si="18">+H35-H36-H37-H38</f>
        <v>7190520.8281193087</v>
      </c>
      <c r="I39" s="8">
        <f t="shared" si="18"/>
        <v>9042874.9478234537</v>
      </c>
      <c r="J39" s="8">
        <f t="shared" si="18"/>
        <v>9314161.1962581575</v>
      </c>
      <c r="K39" s="8">
        <f t="shared" si="18"/>
        <v>9593586.0321459044</v>
      </c>
      <c r="L39" s="8">
        <f t="shared" si="18"/>
        <v>9881393.6131102797</v>
      </c>
      <c r="M39" s="8">
        <f t="shared" si="18"/>
        <v>10177835.421503587</v>
      </c>
      <c r="N39" s="8">
        <f t="shared" si="18"/>
        <v>10483170.484148694</v>
      </c>
      <c r="O39" s="229">
        <f t="shared" si="18"/>
        <v>10797665.598673156</v>
      </c>
    </row>
    <row r="40" spans="1:15" x14ac:dyDescent="0.3">
      <c r="A40" s="127"/>
      <c r="B40" s="314"/>
      <c r="C40" s="228"/>
      <c r="D40" s="228"/>
      <c r="E40" s="228"/>
      <c r="F40" s="228"/>
      <c r="G40" s="228"/>
      <c r="H40" s="228"/>
      <c r="I40" s="228"/>
      <c r="J40" s="228"/>
      <c r="K40" s="228"/>
      <c r="L40" s="228"/>
      <c r="M40" s="228"/>
      <c r="N40" s="228"/>
      <c r="O40" s="316"/>
    </row>
    <row r="41" spans="1:15" x14ac:dyDescent="0.3">
      <c r="A41" s="118" t="s">
        <v>98</v>
      </c>
      <c r="B41" s="314"/>
      <c r="C41" s="228"/>
      <c r="D41" s="228"/>
      <c r="E41" s="228"/>
      <c r="F41" s="228"/>
      <c r="G41" s="228"/>
      <c r="H41" s="228"/>
      <c r="I41" s="228"/>
      <c r="J41" s="228"/>
      <c r="K41" s="228"/>
      <c r="L41" s="228"/>
      <c r="M41" s="228"/>
      <c r="N41" s="228"/>
      <c r="O41" s="316"/>
    </row>
    <row r="42" spans="1:15" x14ac:dyDescent="0.3">
      <c r="A42" s="152" t="s">
        <v>99</v>
      </c>
      <c r="B42" s="314">
        <f t="shared" ref="B42:B48" si="19">SUM(D42:O42)</f>
        <v>-9161691.7272411417</v>
      </c>
      <c r="C42" s="228"/>
      <c r="D42" s="122">
        <v>0</v>
      </c>
      <c r="E42" s="122">
        <v>0</v>
      </c>
      <c r="F42" s="122">
        <v>-350843.75</v>
      </c>
      <c r="G42" s="122">
        <v>-867285.75</v>
      </c>
      <c r="H42" s="122">
        <v>-893304.32249999989</v>
      </c>
      <c r="I42" s="122">
        <v>-920103.4521750001</v>
      </c>
      <c r="J42" s="122">
        <v>-947706.55574024969</v>
      </c>
      <c r="K42" s="122">
        <v>-976137.75241245714</v>
      </c>
      <c r="L42" s="122">
        <v>-1005421.8849848314</v>
      </c>
      <c r="M42" s="122">
        <v>-1035584.541534376</v>
      </c>
      <c r="N42" s="122">
        <v>-1066652.0777804076</v>
      </c>
      <c r="O42" s="77">
        <v>-1098651.6401138196</v>
      </c>
    </row>
    <row r="43" spans="1:15" x14ac:dyDescent="0.3">
      <c r="A43" s="152" t="s">
        <v>100</v>
      </c>
      <c r="B43" s="314">
        <f t="shared" si="19"/>
        <v>-5409724.0065422617</v>
      </c>
      <c r="C43" s="228"/>
      <c r="D43" s="122">
        <v>0</v>
      </c>
      <c r="E43" s="122">
        <v>0</v>
      </c>
      <c r="F43" s="122">
        <v>-207163.47083333333</v>
      </c>
      <c r="G43" s="122">
        <v>-512108.09990000003</v>
      </c>
      <c r="H43" s="122">
        <v>-527471.34289700014</v>
      </c>
      <c r="I43" s="122">
        <v>-543295.48318391002</v>
      </c>
      <c r="J43" s="122">
        <v>-559594.34767942724</v>
      </c>
      <c r="K43" s="122">
        <v>-576382.17810981011</v>
      </c>
      <c r="L43" s="122">
        <v>-593673.64345310442</v>
      </c>
      <c r="M43" s="122">
        <v>-611483.85275669745</v>
      </c>
      <c r="N43" s="122">
        <v>-629828.36833939841</v>
      </c>
      <c r="O43" s="77">
        <v>-648723.21938958054</v>
      </c>
    </row>
    <row r="44" spans="1:15" x14ac:dyDescent="0.3">
      <c r="A44" s="152" t="s">
        <v>101</v>
      </c>
      <c r="B44" s="314">
        <f t="shared" si="19"/>
        <v>-916169.17272411415</v>
      </c>
      <c r="C44" s="228"/>
      <c r="D44" s="122">
        <v>0</v>
      </c>
      <c r="E44" s="122">
        <v>0</v>
      </c>
      <c r="F44" s="122">
        <v>-35084.375</v>
      </c>
      <c r="G44" s="122">
        <v>-86728.575000000012</v>
      </c>
      <c r="H44" s="122">
        <v>-89330.432249999998</v>
      </c>
      <c r="I44" s="122">
        <v>-92010.345217499998</v>
      </c>
      <c r="J44" s="122">
        <v>-94770.65557402499</v>
      </c>
      <c r="K44" s="122">
        <v>-97613.775241245748</v>
      </c>
      <c r="L44" s="122">
        <v>-100542.1884984831</v>
      </c>
      <c r="M44" s="122">
        <v>-103558.45415343757</v>
      </c>
      <c r="N44" s="122">
        <v>-106665.20777804077</v>
      </c>
      <c r="O44" s="77">
        <v>-109865.16401138196</v>
      </c>
    </row>
    <row r="45" spans="1:15" x14ac:dyDescent="0.3">
      <c r="A45" s="152" t="s">
        <v>102</v>
      </c>
      <c r="B45" s="314">
        <f t="shared" si="19"/>
        <v>-2477321.4430460045</v>
      </c>
      <c r="C45" s="228"/>
      <c r="D45" s="122">
        <v>0</v>
      </c>
      <c r="E45" s="122">
        <v>0</v>
      </c>
      <c r="F45" s="122">
        <v>-94868.150000000009</v>
      </c>
      <c r="G45" s="122">
        <v>-234514.0668</v>
      </c>
      <c r="H45" s="122">
        <v>-241549.48880399999</v>
      </c>
      <c r="I45" s="122">
        <v>-248795.97346811998</v>
      </c>
      <c r="J45" s="122">
        <v>-256259.85267216354</v>
      </c>
      <c r="K45" s="122">
        <v>-263947.64825232857</v>
      </c>
      <c r="L45" s="122">
        <v>-271866.07769989833</v>
      </c>
      <c r="M45" s="122">
        <v>-280022.06003089529</v>
      </c>
      <c r="N45" s="122">
        <v>-288422.72183182213</v>
      </c>
      <c r="O45" s="77">
        <v>-297075.40348677675</v>
      </c>
    </row>
    <row r="46" spans="1:15" x14ac:dyDescent="0.3">
      <c r="A46" s="152" t="s">
        <v>103</v>
      </c>
      <c r="B46" s="314">
        <f t="shared" si="19"/>
        <v>-3749726.328227384</v>
      </c>
      <c r="C46" s="228"/>
      <c r="D46" s="122">
        <v>0</v>
      </c>
      <c r="E46" s="122">
        <v>0</v>
      </c>
      <c r="F46" s="122">
        <v>-143594.44583333333</v>
      </c>
      <c r="G46" s="122">
        <v>-354965.47009999998</v>
      </c>
      <c r="H46" s="122">
        <v>-365614.43420300004</v>
      </c>
      <c r="I46" s="122">
        <v>-376582.86722909001</v>
      </c>
      <c r="J46" s="122">
        <v>-387880.35324596264</v>
      </c>
      <c r="K46" s="122">
        <v>-399516.76384334167</v>
      </c>
      <c r="L46" s="122">
        <v>-411502.26675864187</v>
      </c>
      <c r="M46" s="122">
        <v>-423847.334761401</v>
      </c>
      <c r="N46" s="122">
        <v>-436562.7548042431</v>
      </c>
      <c r="O46" s="77">
        <v>-449659.6374483704</v>
      </c>
    </row>
    <row r="47" spans="1:15" x14ac:dyDescent="0.3">
      <c r="A47" s="152" t="s">
        <v>104</v>
      </c>
      <c r="B47" s="314">
        <f t="shared" si="19"/>
        <v>-1960602.0296296044</v>
      </c>
      <c r="C47" s="228"/>
      <c r="D47" s="122">
        <v>0</v>
      </c>
      <c r="E47" s="122">
        <v>0</v>
      </c>
      <c r="F47" s="122">
        <v>-75080.5625</v>
      </c>
      <c r="G47" s="122">
        <v>-185599.15049999999</v>
      </c>
      <c r="H47" s="122">
        <v>-191167.12501500003</v>
      </c>
      <c r="I47" s="122">
        <v>-196902.13876544998</v>
      </c>
      <c r="J47" s="122">
        <v>-202809.20292841343</v>
      </c>
      <c r="K47" s="122">
        <v>-208893.47901626595</v>
      </c>
      <c r="L47" s="122">
        <v>-215160.28338675387</v>
      </c>
      <c r="M47" s="122">
        <v>-221615.09188835649</v>
      </c>
      <c r="N47" s="122">
        <v>-228263.54464500712</v>
      </c>
      <c r="O47" s="77">
        <v>-235111.45098435736</v>
      </c>
    </row>
    <row r="48" spans="1:15" x14ac:dyDescent="0.3">
      <c r="A48" s="152" t="s">
        <v>105</v>
      </c>
      <c r="B48" s="315">
        <f t="shared" si="19"/>
        <v>-1716293.0699082366</v>
      </c>
      <c r="C48" s="228"/>
      <c r="D48" s="122">
        <v>0</v>
      </c>
      <c r="E48" s="122">
        <v>0</v>
      </c>
      <c r="F48" s="122">
        <v>-65724.837145000012</v>
      </c>
      <c r="G48" s="122">
        <v>-162471.79742243994</v>
      </c>
      <c r="H48" s="122">
        <v>-167345.95134511322</v>
      </c>
      <c r="I48" s="122">
        <v>-172366.32988546658</v>
      </c>
      <c r="J48" s="122">
        <v>-177537.31978203054</v>
      </c>
      <c r="K48" s="122">
        <v>-182863.43937549155</v>
      </c>
      <c r="L48" s="122">
        <v>-188349.34255675625</v>
      </c>
      <c r="M48" s="122">
        <v>-193999.82283345889</v>
      </c>
      <c r="N48" s="122">
        <v>-199819.81751846278</v>
      </c>
      <c r="O48" s="77">
        <v>-205814.41204401656</v>
      </c>
    </row>
    <row r="49" spans="1:15" x14ac:dyDescent="0.3">
      <c r="A49" s="123" t="s">
        <v>106</v>
      </c>
      <c r="B49" s="314">
        <f>SUM(D49:O49)</f>
        <v>-25391527.777318742</v>
      </c>
      <c r="C49" s="8"/>
      <c r="D49" s="8">
        <v>0</v>
      </c>
      <c r="E49" s="8">
        <v>0</v>
      </c>
      <c r="F49" s="8">
        <f>SUM(F42:F48)</f>
        <v>-972359.59131166665</v>
      </c>
      <c r="G49" s="8">
        <f t="shared" ref="G49:O49" si="20">SUM(G42:G48)</f>
        <v>-2403672.9097224399</v>
      </c>
      <c r="H49" s="8">
        <f t="shared" si="20"/>
        <v>-2475783.0970141133</v>
      </c>
      <c r="I49" s="8">
        <f t="shared" si="20"/>
        <v>-2550056.5899245366</v>
      </c>
      <c r="J49" s="8">
        <f t="shared" si="20"/>
        <v>-2626558.287622272</v>
      </c>
      <c r="K49" s="8">
        <f t="shared" si="20"/>
        <v>-2705355.0362509405</v>
      </c>
      <c r="L49" s="8">
        <f t="shared" si="20"/>
        <v>-2786515.6873384691</v>
      </c>
      <c r="M49" s="8">
        <f t="shared" si="20"/>
        <v>-2870111.157958623</v>
      </c>
      <c r="N49" s="8">
        <f t="shared" si="20"/>
        <v>-2956214.4926973823</v>
      </c>
      <c r="O49" s="229">
        <f t="shared" si="20"/>
        <v>-3044900.9274783032</v>
      </c>
    </row>
    <row r="50" spans="1:15" x14ac:dyDescent="0.3">
      <c r="A50" s="127"/>
      <c r="B50" s="42"/>
      <c r="C50" s="38"/>
      <c r="D50" s="38"/>
      <c r="E50" s="38"/>
      <c r="F50" s="38"/>
      <c r="G50" s="38"/>
      <c r="H50" s="38"/>
      <c r="I50" s="38"/>
      <c r="J50" s="38"/>
      <c r="K50" s="38"/>
      <c r="L50" s="38"/>
      <c r="M50" s="38"/>
      <c r="N50" s="38"/>
      <c r="O50" s="124"/>
    </row>
    <row r="51" spans="1:15" x14ac:dyDescent="0.3">
      <c r="A51" s="123" t="s">
        <v>171</v>
      </c>
      <c r="B51" s="37">
        <f>SUM(D51:O51)</f>
        <v>58733367.83857128</v>
      </c>
      <c r="C51" s="13"/>
      <c r="D51" s="13">
        <v>0</v>
      </c>
      <c r="E51" s="13">
        <v>0</v>
      </c>
      <c r="F51" s="13">
        <f>+F39+F49</f>
        <v>828565.59195169318</v>
      </c>
      <c r="G51" s="13">
        <f t="shared" ref="G51:O51" si="21">+G39+G49</f>
        <v>3439089.4011216918</v>
      </c>
      <c r="H51" s="13">
        <f t="shared" si="21"/>
        <v>4714737.7311051954</v>
      </c>
      <c r="I51" s="13">
        <f t="shared" si="21"/>
        <v>6492818.357898917</v>
      </c>
      <c r="J51" s="13">
        <f t="shared" si="21"/>
        <v>6687602.9086358855</v>
      </c>
      <c r="K51" s="13">
        <f t="shared" si="21"/>
        <v>6888230.9958949639</v>
      </c>
      <c r="L51" s="13">
        <f t="shared" si="21"/>
        <v>7094877.9257718101</v>
      </c>
      <c r="M51" s="13">
        <f t="shared" si="21"/>
        <v>7307724.2635449637</v>
      </c>
      <c r="N51" s="13">
        <f t="shared" si="21"/>
        <v>7526955.9914513119</v>
      </c>
      <c r="O51" s="135">
        <f t="shared" si="21"/>
        <v>7752764.6711948523</v>
      </c>
    </row>
    <row r="52" spans="1:15" x14ac:dyDescent="0.3">
      <c r="A52" s="127" t="s">
        <v>174</v>
      </c>
      <c r="B52" s="37"/>
      <c r="C52" s="38"/>
      <c r="D52" s="38">
        <v>0</v>
      </c>
      <c r="E52" s="38">
        <v>0</v>
      </c>
      <c r="F52" s="161">
        <f>+F51/F39</f>
        <v>0.46007774206938123</v>
      </c>
      <c r="G52" s="161">
        <f t="shared" ref="G52:O52" si="22">+G51/G39</f>
        <v>0.58860676134963807</v>
      </c>
      <c r="H52" s="161">
        <f t="shared" si="22"/>
        <v>0.65568793190441843</v>
      </c>
      <c r="I52" s="161">
        <f t="shared" si="22"/>
        <v>0.71800377594093412</v>
      </c>
      <c r="J52" s="161">
        <f t="shared" si="22"/>
        <v>0.71800377594093412</v>
      </c>
      <c r="K52" s="161">
        <f t="shared" si="22"/>
        <v>0.71800377594093423</v>
      </c>
      <c r="L52" s="161">
        <f t="shared" si="22"/>
        <v>0.71800377594093401</v>
      </c>
      <c r="M52" s="161">
        <f t="shared" si="22"/>
        <v>0.71800377594093412</v>
      </c>
      <c r="N52" s="161">
        <f t="shared" si="22"/>
        <v>0.71800377594093401</v>
      </c>
      <c r="O52" s="162">
        <f t="shared" si="22"/>
        <v>0.71800377594093412</v>
      </c>
    </row>
    <row r="53" spans="1:15" x14ac:dyDescent="0.3">
      <c r="A53" s="152" t="s">
        <v>107</v>
      </c>
      <c r="B53" s="315">
        <f>SUM(D53:O53)</f>
        <v>-429980</v>
      </c>
      <c r="C53" s="228"/>
      <c r="D53" s="122">
        <v>0</v>
      </c>
      <c r="E53" s="122">
        <v>0</v>
      </c>
      <c r="F53" s="122">
        <v>-43002.5</v>
      </c>
      <c r="G53" s="122">
        <v>-43001.5</v>
      </c>
      <c r="H53" s="122">
        <v>-43000.5</v>
      </c>
      <c r="I53" s="122">
        <v>-42999.5</v>
      </c>
      <c r="J53" s="122">
        <v>-42998.5</v>
      </c>
      <c r="K53" s="122">
        <v>-42997.5</v>
      </c>
      <c r="L53" s="122">
        <v>-42996.5</v>
      </c>
      <c r="M53" s="122">
        <v>-42995.5</v>
      </c>
      <c r="N53" s="122">
        <v>-42994.5</v>
      </c>
      <c r="O53" s="77">
        <v>-42993.5</v>
      </c>
    </row>
    <row r="54" spans="1:15" ht="16.2" thickBot="1" x14ac:dyDescent="0.35">
      <c r="A54" s="128" t="s">
        <v>108</v>
      </c>
      <c r="B54" s="131">
        <f>SUM(D54:O54)</f>
        <v>58303387.83857128</v>
      </c>
      <c r="C54" s="131"/>
      <c r="D54" s="131">
        <v>0</v>
      </c>
      <c r="E54" s="131">
        <v>0</v>
      </c>
      <c r="F54" s="131">
        <f>+F51+F53</f>
        <v>785563.09195169318</v>
      </c>
      <c r="G54" s="131">
        <f t="shared" ref="G54:O54" si="23">+G51+G53</f>
        <v>3396087.9011216918</v>
      </c>
      <c r="H54" s="131">
        <f t="shared" si="23"/>
        <v>4671737.2311051954</v>
      </c>
      <c r="I54" s="131">
        <f t="shared" si="23"/>
        <v>6449818.857898917</v>
      </c>
      <c r="J54" s="131">
        <f t="shared" si="23"/>
        <v>6644604.4086358855</v>
      </c>
      <c r="K54" s="131">
        <f t="shared" si="23"/>
        <v>6845233.4958949639</v>
      </c>
      <c r="L54" s="131">
        <f t="shared" si="23"/>
        <v>7051881.4257718101</v>
      </c>
      <c r="M54" s="131">
        <f t="shared" si="23"/>
        <v>7264728.7635449637</v>
      </c>
      <c r="N54" s="131">
        <f t="shared" si="23"/>
        <v>7483961.4914513119</v>
      </c>
      <c r="O54" s="153">
        <f t="shared" si="23"/>
        <v>7709771.1711948523</v>
      </c>
    </row>
    <row r="55" spans="1:15" x14ac:dyDescent="0.3">
      <c r="A55" s="140" t="s">
        <v>84</v>
      </c>
      <c r="B55" s="141"/>
      <c r="C55" s="141"/>
      <c r="D55" s="141">
        <v>0</v>
      </c>
      <c r="E55" s="141">
        <v>1</v>
      </c>
      <c r="F55" s="141">
        <v>2</v>
      </c>
      <c r="G55" s="141">
        <v>3</v>
      </c>
      <c r="H55" s="141">
        <v>4</v>
      </c>
      <c r="I55" s="141">
        <v>5</v>
      </c>
      <c r="J55" s="141">
        <v>6</v>
      </c>
      <c r="K55" s="141">
        <v>7</v>
      </c>
      <c r="L55" s="141">
        <v>8</v>
      </c>
      <c r="M55" s="141">
        <v>9</v>
      </c>
      <c r="N55" s="141">
        <v>10</v>
      </c>
      <c r="O55" s="142">
        <v>11</v>
      </c>
    </row>
    <row r="56" spans="1:15" x14ac:dyDescent="0.3">
      <c r="A56" s="151" t="s">
        <v>109</v>
      </c>
      <c r="B56" s="41" t="s">
        <v>110</v>
      </c>
      <c r="C56" s="35"/>
      <c r="D56" s="26">
        <v>44927</v>
      </c>
      <c r="E56" s="26">
        <f>+D56+365</f>
        <v>45292</v>
      </c>
      <c r="F56" s="26">
        <f t="shared" ref="F56:O56" si="24">+E56+365</f>
        <v>45657</v>
      </c>
      <c r="G56" s="26">
        <f t="shared" si="24"/>
        <v>46022</v>
      </c>
      <c r="H56" s="26">
        <f t="shared" si="24"/>
        <v>46387</v>
      </c>
      <c r="I56" s="26">
        <f t="shared" si="24"/>
        <v>46752</v>
      </c>
      <c r="J56" s="26">
        <f t="shared" si="24"/>
        <v>47117</v>
      </c>
      <c r="K56" s="26">
        <f t="shared" si="24"/>
        <v>47482</v>
      </c>
      <c r="L56" s="26">
        <f t="shared" si="24"/>
        <v>47847</v>
      </c>
      <c r="M56" s="26">
        <f t="shared" si="24"/>
        <v>48212</v>
      </c>
      <c r="N56" s="26">
        <f t="shared" si="24"/>
        <v>48577</v>
      </c>
      <c r="O56" s="115">
        <f t="shared" si="24"/>
        <v>48942</v>
      </c>
    </row>
    <row r="57" spans="1:15" x14ac:dyDescent="0.3">
      <c r="A57" s="118" t="s">
        <v>111</v>
      </c>
      <c r="B57" s="314"/>
      <c r="C57" s="228"/>
      <c r="D57" s="228"/>
      <c r="E57" s="228"/>
      <c r="F57" s="228"/>
      <c r="G57" s="228"/>
      <c r="H57" s="228"/>
      <c r="I57" s="228"/>
      <c r="J57" s="228"/>
      <c r="K57" s="228"/>
      <c r="L57" s="228"/>
      <c r="M57" s="228"/>
      <c r="N57" s="228"/>
      <c r="O57" s="316"/>
    </row>
    <row r="58" spans="1:15" x14ac:dyDescent="0.3">
      <c r="A58" s="152" t="s">
        <v>112</v>
      </c>
      <c r="B58" s="314">
        <f t="shared" ref="B58:B63" si="25">SUM(D58:O58)</f>
        <v>-10020000</v>
      </c>
      <c r="C58" s="228"/>
      <c r="D58" s="122">
        <v>-10020000</v>
      </c>
      <c r="E58" s="122">
        <v>0</v>
      </c>
      <c r="F58" s="122">
        <v>0</v>
      </c>
      <c r="G58" s="122">
        <v>0</v>
      </c>
      <c r="H58" s="122">
        <v>0</v>
      </c>
      <c r="I58" s="122">
        <v>0</v>
      </c>
      <c r="J58" s="122">
        <v>0</v>
      </c>
      <c r="K58" s="122">
        <v>0</v>
      </c>
      <c r="L58" s="122">
        <v>0</v>
      </c>
      <c r="M58" s="122">
        <v>0</v>
      </c>
      <c r="N58" s="122">
        <v>0</v>
      </c>
      <c r="O58" s="77">
        <v>0</v>
      </c>
    </row>
    <row r="59" spans="1:15" x14ac:dyDescent="0.3">
      <c r="A59" s="152" t="s">
        <v>113</v>
      </c>
      <c r="B59" s="314">
        <f t="shared" si="25"/>
        <v>-25000</v>
      </c>
      <c r="C59" s="228"/>
      <c r="D59" s="122">
        <v>-25000</v>
      </c>
      <c r="E59" s="122">
        <v>0</v>
      </c>
      <c r="F59" s="122">
        <v>0</v>
      </c>
      <c r="G59" s="122">
        <v>0</v>
      </c>
      <c r="H59" s="122">
        <v>0</v>
      </c>
      <c r="I59" s="122">
        <v>0</v>
      </c>
      <c r="J59" s="122">
        <v>0</v>
      </c>
      <c r="K59" s="122">
        <v>0</v>
      </c>
      <c r="L59" s="122">
        <v>0</v>
      </c>
      <c r="M59" s="122">
        <v>0</v>
      </c>
      <c r="N59" s="122">
        <v>0</v>
      </c>
      <c r="O59" s="77">
        <v>0</v>
      </c>
    </row>
    <row r="60" spans="1:15" x14ac:dyDescent="0.3">
      <c r="A60" s="152" t="s">
        <v>114</v>
      </c>
      <c r="B60" s="314">
        <f t="shared" si="25"/>
        <v>-30000</v>
      </c>
      <c r="C60" s="228"/>
      <c r="D60" s="122">
        <v>-30000</v>
      </c>
      <c r="E60" s="122">
        <v>0</v>
      </c>
      <c r="F60" s="122">
        <v>0</v>
      </c>
      <c r="G60" s="122">
        <v>0</v>
      </c>
      <c r="H60" s="122">
        <v>0</v>
      </c>
      <c r="I60" s="122">
        <v>0</v>
      </c>
      <c r="J60" s="122">
        <v>0</v>
      </c>
      <c r="K60" s="122">
        <v>0</v>
      </c>
      <c r="L60" s="122">
        <v>0</v>
      </c>
      <c r="M60" s="122">
        <v>0</v>
      </c>
      <c r="N60" s="122">
        <v>0</v>
      </c>
      <c r="O60" s="77">
        <v>0</v>
      </c>
    </row>
    <row r="61" spans="1:15" x14ac:dyDescent="0.3">
      <c r="A61" s="152" t="s">
        <v>115</v>
      </c>
      <c r="B61" s="314">
        <f t="shared" si="25"/>
        <v>-5000</v>
      </c>
      <c r="C61" s="228"/>
      <c r="D61" s="122">
        <v>-5000</v>
      </c>
      <c r="E61" s="122">
        <v>0</v>
      </c>
      <c r="F61" s="122">
        <v>0</v>
      </c>
      <c r="G61" s="122">
        <v>0</v>
      </c>
      <c r="H61" s="122">
        <v>0</v>
      </c>
      <c r="I61" s="122">
        <v>0</v>
      </c>
      <c r="J61" s="122">
        <v>0</v>
      </c>
      <c r="K61" s="122">
        <v>0</v>
      </c>
      <c r="L61" s="122">
        <v>0</v>
      </c>
      <c r="M61" s="122">
        <v>0</v>
      </c>
      <c r="N61" s="122">
        <v>0</v>
      </c>
      <c r="O61" s="77">
        <v>0</v>
      </c>
    </row>
    <row r="62" spans="1:15" x14ac:dyDescent="0.3">
      <c r="A62" s="152" t="s">
        <v>116</v>
      </c>
      <c r="B62" s="314">
        <f t="shared" si="25"/>
        <v>-75000</v>
      </c>
      <c r="C62" s="228"/>
      <c r="D62" s="122">
        <v>-75000</v>
      </c>
      <c r="E62" s="122">
        <v>0</v>
      </c>
      <c r="F62" s="122">
        <v>0</v>
      </c>
      <c r="G62" s="122">
        <v>0</v>
      </c>
      <c r="H62" s="122">
        <v>0</v>
      </c>
      <c r="I62" s="122">
        <v>0</v>
      </c>
      <c r="J62" s="122">
        <v>0</v>
      </c>
      <c r="K62" s="122">
        <v>0</v>
      </c>
      <c r="L62" s="122">
        <v>0</v>
      </c>
      <c r="M62" s="122">
        <v>0</v>
      </c>
      <c r="N62" s="122">
        <v>0</v>
      </c>
      <c r="O62" s="77">
        <v>0</v>
      </c>
    </row>
    <row r="63" spans="1:15" x14ac:dyDescent="0.3">
      <c r="A63" s="152" t="s">
        <v>117</v>
      </c>
      <c r="B63" s="315">
        <f t="shared" si="25"/>
        <v>-2500</v>
      </c>
      <c r="C63" s="228"/>
      <c r="D63" s="122">
        <v>-2500</v>
      </c>
      <c r="E63" s="122">
        <v>0</v>
      </c>
      <c r="F63" s="122">
        <v>0</v>
      </c>
      <c r="G63" s="122">
        <v>0</v>
      </c>
      <c r="H63" s="122">
        <v>0</v>
      </c>
      <c r="I63" s="122">
        <v>0</v>
      </c>
      <c r="J63" s="122">
        <v>0</v>
      </c>
      <c r="K63" s="122">
        <v>0</v>
      </c>
      <c r="L63" s="122">
        <v>0</v>
      </c>
      <c r="M63" s="122">
        <v>0</v>
      </c>
      <c r="N63" s="122">
        <v>0</v>
      </c>
      <c r="O63" s="77">
        <v>0</v>
      </c>
    </row>
    <row r="64" spans="1:15" x14ac:dyDescent="0.3">
      <c r="A64" s="123" t="s">
        <v>118</v>
      </c>
      <c r="B64" s="87">
        <f>SUM(B58:B63)</f>
        <v>-10157500</v>
      </c>
      <c r="C64" s="8"/>
      <c r="D64" s="8">
        <f>SUM(D58:D63)</f>
        <v>-10157500</v>
      </c>
      <c r="E64" s="8">
        <f t="shared" ref="E64:O64" si="26">SUM(E58:E63)</f>
        <v>0</v>
      </c>
      <c r="F64" s="8">
        <f t="shared" si="26"/>
        <v>0</v>
      </c>
      <c r="G64" s="8">
        <f t="shared" si="26"/>
        <v>0</v>
      </c>
      <c r="H64" s="8">
        <f t="shared" si="26"/>
        <v>0</v>
      </c>
      <c r="I64" s="8">
        <f t="shared" si="26"/>
        <v>0</v>
      </c>
      <c r="J64" s="8">
        <f t="shared" si="26"/>
        <v>0</v>
      </c>
      <c r="K64" s="8">
        <f t="shared" si="26"/>
        <v>0</v>
      </c>
      <c r="L64" s="8">
        <f t="shared" si="26"/>
        <v>0</v>
      </c>
      <c r="M64" s="8">
        <f t="shared" si="26"/>
        <v>0</v>
      </c>
      <c r="N64" s="8">
        <f t="shared" si="26"/>
        <v>0</v>
      </c>
      <c r="O64" s="229">
        <f t="shared" si="26"/>
        <v>0</v>
      </c>
    </row>
    <row r="65" spans="1:15" x14ac:dyDescent="0.3">
      <c r="A65" s="127"/>
      <c r="B65" s="314"/>
      <c r="C65" s="228"/>
      <c r="D65" s="228"/>
      <c r="E65" s="228"/>
      <c r="F65" s="228"/>
      <c r="G65" s="228"/>
      <c r="H65" s="228"/>
      <c r="I65" s="228"/>
      <c r="J65" s="228"/>
      <c r="K65" s="228"/>
      <c r="L65" s="228"/>
      <c r="M65" s="228"/>
      <c r="N65" s="228"/>
      <c r="O65" s="316"/>
    </row>
    <row r="66" spans="1:15" x14ac:dyDescent="0.3">
      <c r="A66" s="118" t="s">
        <v>41</v>
      </c>
      <c r="B66" s="314"/>
      <c r="C66" s="228"/>
      <c r="D66" s="228"/>
      <c r="E66" s="228"/>
      <c r="F66" s="228"/>
      <c r="G66" s="228"/>
      <c r="H66" s="228"/>
      <c r="I66" s="228"/>
      <c r="J66" s="228"/>
      <c r="K66" s="228"/>
      <c r="L66" s="228"/>
      <c r="M66" s="228"/>
      <c r="N66" s="228"/>
      <c r="O66" s="316"/>
    </row>
    <row r="67" spans="1:15" x14ac:dyDescent="0.3">
      <c r="A67" s="152" t="s">
        <v>119</v>
      </c>
      <c r="B67" s="314">
        <f>SUM(D67:O67)</f>
        <v>-43351270</v>
      </c>
      <c r="C67" s="228"/>
      <c r="D67" s="122">
        <v>0</v>
      </c>
      <c r="E67" s="122">
        <v>-17719703.430671114</v>
      </c>
      <c r="F67" s="122">
        <v>-25390227.793981619</v>
      </c>
      <c r="G67" s="122">
        <v>-241338.77534726216</v>
      </c>
      <c r="H67" s="122">
        <v>0</v>
      </c>
      <c r="I67" s="122">
        <v>0</v>
      </c>
      <c r="J67" s="122">
        <v>0</v>
      </c>
      <c r="K67" s="122">
        <v>0</v>
      </c>
      <c r="L67" s="122">
        <v>0</v>
      </c>
      <c r="M67" s="122">
        <v>0</v>
      </c>
      <c r="N67" s="122">
        <v>0</v>
      </c>
      <c r="O67" s="77">
        <v>0</v>
      </c>
    </row>
    <row r="68" spans="1:15" x14ac:dyDescent="0.3">
      <c r="A68" s="152" t="s">
        <v>120</v>
      </c>
      <c r="B68" s="314">
        <f>SUM(D68:O68)</f>
        <v>-7985768</v>
      </c>
      <c r="C68" s="228"/>
      <c r="D68" s="122">
        <v>0</v>
      </c>
      <c r="E68" s="122">
        <v>-3264159.0575349606</v>
      </c>
      <c r="F68" s="122">
        <v>-4677151.7565665096</v>
      </c>
      <c r="G68" s="122">
        <v>-44457.185898529729</v>
      </c>
      <c r="H68" s="122">
        <v>0</v>
      </c>
      <c r="I68" s="122">
        <v>0</v>
      </c>
      <c r="J68" s="122">
        <v>0</v>
      </c>
      <c r="K68" s="122">
        <v>0</v>
      </c>
      <c r="L68" s="122">
        <v>0</v>
      </c>
      <c r="M68" s="122">
        <v>0</v>
      </c>
      <c r="N68" s="122">
        <v>0</v>
      </c>
      <c r="O68" s="77">
        <v>0</v>
      </c>
    </row>
    <row r="69" spans="1:15" x14ac:dyDescent="0.3">
      <c r="A69" s="152" t="s">
        <v>121</v>
      </c>
      <c r="B69" s="314">
        <f>SUM(D69:O69)</f>
        <v>-2581486.9999999995</v>
      </c>
      <c r="C69" s="228"/>
      <c r="D69" s="122">
        <v>0</v>
      </c>
      <c r="E69" s="122">
        <v>-1055175.1782619723</v>
      </c>
      <c r="F69" s="122">
        <v>-1511940.5493126782</v>
      </c>
      <c r="G69" s="122">
        <v>-14371.272425349425</v>
      </c>
      <c r="H69" s="122">
        <v>0</v>
      </c>
      <c r="I69" s="122">
        <v>0</v>
      </c>
      <c r="J69" s="122">
        <v>0</v>
      </c>
      <c r="K69" s="122">
        <v>0</v>
      </c>
      <c r="L69" s="122">
        <v>0</v>
      </c>
      <c r="M69" s="122">
        <v>0</v>
      </c>
      <c r="N69" s="122">
        <v>0</v>
      </c>
      <c r="O69" s="77">
        <v>0</v>
      </c>
    </row>
    <row r="70" spans="1:15" x14ac:dyDescent="0.3">
      <c r="A70" s="152" t="s">
        <v>122</v>
      </c>
      <c r="B70" s="315">
        <f>SUM(D70:O70)</f>
        <v>-2695926.25</v>
      </c>
      <c r="C70" s="228"/>
      <c r="D70" s="122">
        <v>0</v>
      </c>
      <c r="E70" s="122">
        <v>-1101951.8833234024</v>
      </c>
      <c r="F70" s="122">
        <v>-1578966.0049930403</v>
      </c>
      <c r="G70" s="122">
        <v>-15008.361683557066</v>
      </c>
      <c r="H70" s="122">
        <v>0</v>
      </c>
      <c r="I70" s="122">
        <v>0</v>
      </c>
      <c r="J70" s="122">
        <v>0</v>
      </c>
      <c r="K70" s="122">
        <v>0</v>
      </c>
      <c r="L70" s="122">
        <v>0</v>
      </c>
      <c r="M70" s="122">
        <v>0</v>
      </c>
      <c r="N70" s="122">
        <v>0</v>
      </c>
      <c r="O70" s="77">
        <v>0</v>
      </c>
    </row>
    <row r="71" spans="1:15" x14ac:dyDescent="0.3">
      <c r="A71" s="123" t="s">
        <v>123</v>
      </c>
      <c r="B71" s="87">
        <f>SUM(B65:B70)</f>
        <v>-56614451.25</v>
      </c>
      <c r="C71" s="8"/>
      <c r="D71" s="8">
        <v>0</v>
      </c>
      <c r="E71" s="8">
        <f>SUM(E67:E70)</f>
        <v>-23140989.549791448</v>
      </c>
      <c r="F71" s="8">
        <f t="shared" ref="F71:O71" si="27">SUM(F67:F70)</f>
        <v>-33158286.104853846</v>
      </c>
      <c r="G71" s="8">
        <f t="shared" si="27"/>
        <v>-315175.59535469837</v>
      </c>
      <c r="H71" s="8">
        <f t="shared" si="27"/>
        <v>0</v>
      </c>
      <c r="I71" s="8">
        <f t="shared" si="27"/>
        <v>0</v>
      </c>
      <c r="J71" s="8">
        <f t="shared" si="27"/>
        <v>0</v>
      </c>
      <c r="K71" s="8">
        <f t="shared" si="27"/>
        <v>0</v>
      </c>
      <c r="L71" s="8">
        <f t="shared" si="27"/>
        <v>0</v>
      </c>
      <c r="M71" s="8">
        <f t="shared" si="27"/>
        <v>0</v>
      </c>
      <c r="N71" s="8">
        <f t="shared" si="27"/>
        <v>0</v>
      </c>
      <c r="O71" s="229">
        <f t="shared" si="27"/>
        <v>0</v>
      </c>
    </row>
    <row r="72" spans="1:15" x14ac:dyDescent="0.3">
      <c r="A72" s="127"/>
      <c r="B72" s="314"/>
      <c r="C72" s="228"/>
      <c r="D72" s="228"/>
      <c r="E72" s="228"/>
      <c r="F72" s="228"/>
      <c r="G72" s="228"/>
      <c r="H72" s="228"/>
      <c r="I72" s="228"/>
      <c r="J72" s="228"/>
      <c r="K72" s="228"/>
      <c r="L72" s="228"/>
      <c r="M72" s="228"/>
      <c r="N72" s="228"/>
      <c r="O72" s="316"/>
    </row>
    <row r="73" spans="1:15" x14ac:dyDescent="0.3">
      <c r="A73" s="118" t="s">
        <v>43</v>
      </c>
      <c r="B73" s="314"/>
      <c r="C73" s="228"/>
      <c r="D73" s="228"/>
      <c r="E73" s="228"/>
      <c r="F73" s="228"/>
      <c r="G73" s="228"/>
      <c r="H73" s="228"/>
      <c r="I73" s="228"/>
      <c r="J73" s="228"/>
      <c r="K73" s="228"/>
      <c r="L73" s="228"/>
      <c r="M73" s="228"/>
      <c r="N73" s="228"/>
      <c r="O73" s="316"/>
    </row>
    <row r="74" spans="1:15" x14ac:dyDescent="0.3">
      <c r="A74" s="152" t="s">
        <v>124</v>
      </c>
      <c r="B74" s="314">
        <f t="shared" ref="B74:B82" si="28">SUM(D74:O74)</f>
        <v>-250000.00000000003</v>
      </c>
      <c r="C74" s="228"/>
      <c r="D74" s="122">
        <v>0</v>
      </c>
      <c r="E74" s="122">
        <v>-102186.76079542258</v>
      </c>
      <c r="F74" s="122">
        <v>-146421.4761988612</v>
      </c>
      <c r="G74" s="122">
        <v>-1391.7630057162232</v>
      </c>
      <c r="H74" s="122">
        <v>0</v>
      </c>
      <c r="I74" s="122">
        <v>0</v>
      </c>
      <c r="J74" s="122">
        <v>0</v>
      </c>
      <c r="K74" s="122">
        <v>0</v>
      </c>
      <c r="L74" s="122">
        <v>0</v>
      </c>
      <c r="M74" s="122">
        <v>0</v>
      </c>
      <c r="N74" s="122">
        <v>0</v>
      </c>
      <c r="O74" s="77">
        <v>0</v>
      </c>
    </row>
    <row r="75" spans="1:15" x14ac:dyDescent="0.3">
      <c r="A75" s="152" t="s">
        <v>125</v>
      </c>
      <c r="B75" s="314">
        <f t="shared" si="28"/>
        <v>-9423458</v>
      </c>
      <c r="C75" s="228"/>
      <c r="D75" s="122">
        <v>0</v>
      </c>
      <c r="E75" s="122">
        <v>-3851810.5940468451</v>
      </c>
      <c r="F75" s="122">
        <v>-5519186.5250318721</v>
      </c>
      <c r="G75" s="122">
        <v>-52460.880921282362</v>
      </c>
      <c r="H75" s="122">
        <v>0</v>
      </c>
      <c r="I75" s="122">
        <v>0</v>
      </c>
      <c r="J75" s="122">
        <v>0</v>
      </c>
      <c r="K75" s="122">
        <v>0</v>
      </c>
      <c r="L75" s="122">
        <v>0</v>
      </c>
      <c r="M75" s="122">
        <v>0</v>
      </c>
      <c r="N75" s="122">
        <v>0</v>
      </c>
      <c r="O75" s="77">
        <v>0</v>
      </c>
    </row>
    <row r="76" spans="1:15" x14ac:dyDescent="0.3">
      <c r="A76" s="152" t="s">
        <v>126</v>
      </c>
      <c r="B76" s="314">
        <f t="shared" si="28"/>
        <v>-2000000.0000000002</v>
      </c>
      <c r="C76" s="228"/>
      <c r="D76" s="122">
        <v>0</v>
      </c>
      <c r="E76" s="122">
        <v>-817494.08636338066</v>
      </c>
      <c r="F76" s="122">
        <v>-1171371.8095908896</v>
      </c>
      <c r="G76" s="122">
        <v>-11134.104045729786</v>
      </c>
      <c r="H76" s="122">
        <v>0</v>
      </c>
      <c r="I76" s="122">
        <v>0</v>
      </c>
      <c r="J76" s="122">
        <v>0</v>
      </c>
      <c r="K76" s="122">
        <v>0</v>
      </c>
      <c r="L76" s="122">
        <v>0</v>
      </c>
      <c r="M76" s="122">
        <v>0</v>
      </c>
      <c r="N76" s="122">
        <v>0</v>
      </c>
      <c r="O76" s="77">
        <v>0</v>
      </c>
    </row>
    <row r="77" spans="1:15" x14ac:dyDescent="0.3">
      <c r="A77" s="152" t="s">
        <v>127</v>
      </c>
      <c r="B77" s="314">
        <f t="shared" si="28"/>
        <v>-400000</v>
      </c>
      <c r="C77" s="228"/>
      <c r="D77" s="122">
        <v>0</v>
      </c>
      <c r="E77" s="122">
        <v>-163498.81727267613</v>
      </c>
      <c r="F77" s="122">
        <v>-234274.36191817789</v>
      </c>
      <c r="G77" s="122">
        <v>-2226.8208091459574</v>
      </c>
      <c r="H77" s="122">
        <v>0</v>
      </c>
      <c r="I77" s="122">
        <v>0</v>
      </c>
      <c r="J77" s="122">
        <v>0</v>
      </c>
      <c r="K77" s="122">
        <v>0</v>
      </c>
      <c r="L77" s="122">
        <v>0</v>
      </c>
      <c r="M77" s="122">
        <v>0</v>
      </c>
      <c r="N77" s="122">
        <v>0</v>
      </c>
      <c r="O77" s="77">
        <v>0</v>
      </c>
    </row>
    <row r="78" spans="1:15" x14ac:dyDescent="0.3">
      <c r="A78" s="152" t="s">
        <v>128</v>
      </c>
      <c r="B78" s="314">
        <f t="shared" si="28"/>
        <v>-300000</v>
      </c>
      <c r="C78" s="228"/>
      <c r="D78" s="122">
        <v>0</v>
      </c>
      <c r="E78" s="122">
        <v>-122624.11295450709</v>
      </c>
      <c r="F78" s="122">
        <v>-175705.77143863344</v>
      </c>
      <c r="G78" s="122">
        <v>-1670.115606859468</v>
      </c>
      <c r="H78" s="122">
        <v>0</v>
      </c>
      <c r="I78" s="122">
        <v>0</v>
      </c>
      <c r="J78" s="122">
        <v>0</v>
      </c>
      <c r="K78" s="122">
        <v>0</v>
      </c>
      <c r="L78" s="122">
        <v>0</v>
      </c>
      <c r="M78" s="122">
        <v>0</v>
      </c>
      <c r="N78" s="122">
        <v>0</v>
      </c>
      <c r="O78" s="77">
        <v>0</v>
      </c>
    </row>
    <row r="79" spans="1:15" x14ac:dyDescent="0.3">
      <c r="A79" s="152" t="s">
        <v>129</v>
      </c>
      <c r="B79" s="314">
        <f t="shared" si="28"/>
        <v>-137500</v>
      </c>
      <c r="C79" s="228"/>
      <c r="D79" s="122">
        <v>0</v>
      </c>
      <c r="E79" s="122">
        <v>-56202.718437482414</v>
      </c>
      <c r="F79" s="122">
        <v>-80531.81190937366</v>
      </c>
      <c r="G79" s="122">
        <v>-765.46965314392287</v>
      </c>
      <c r="H79" s="122">
        <v>0</v>
      </c>
      <c r="I79" s="122">
        <v>0</v>
      </c>
      <c r="J79" s="122">
        <v>0</v>
      </c>
      <c r="K79" s="122">
        <v>0</v>
      </c>
      <c r="L79" s="122">
        <v>0</v>
      </c>
      <c r="M79" s="122">
        <v>0</v>
      </c>
      <c r="N79" s="122">
        <v>0</v>
      </c>
      <c r="O79" s="77">
        <v>0</v>
      </c>
    </row>
    <row r="80" spans="1:15" x14ac:dyDescent="0.3">
      <c r="A80" s="152" t="s">
        <v>130</v>
      </c>
      <c r="B80" s="314">
        <f t="shared" si="28"/>
        <v>-539185.25000000012</v>
      </c>
      <c r="C80" s="228"/>
      <c r="D80" s="122">
        <v>0</v>
      </c>
      <c r="E80" s="122">
        <v>-220390.37666468052</v>
      </c>
      <c r="F80" s="122">
        <v>-315793.20099860814</v>
      </c>
      <c r="G80" s="122">
        <v>-3001.6723367114132</v>
      </c>
      <c r="H80" s="122">
        <v>0</v>
      </c>
      <c r="I80" s="122">
        <v>0</v>
      </c>
      <c r="J80" s="122"/>
      <c r="K80" s="122"/>
      <c r="L80" s="122"/>
      <c r="M80" s="122"/>
      <c r="N80" s="122"/>
      <c r="O80" s="77"/>
    </row>
    <row r="81" spans="1:15" x14ac:dyDescent="0.3">
      <c r="A81" s="152" t="s">
        <v>131</v>
      </c>
      <c r="B81" s="314">
        <f t="shared" si="28"/>
        <v>-2540383.5391132575</v>
      </c>
      <c r="C81" s="228"/>
      <c r="D81" s="122">
        <v>0</v>
      </c>
      <c r="E81" s="122">
        <v>-1038374.2601599818</v>
      </c>
      <c r="F81" s="122">
        <v>-1487866.8316330025</v>
      </c>
      <c r="G81" s="122">
        <v>-14142.447320273135</v>
      </c>
      <c r="H81" s="122">
        <v>0</v>
      </c>
      <c r="I81" s="122">
        <v>0</v>
      </c>
      <c r="J81" s="122"/>
      <c r="K81" s="122"/>
      <c r="L81" s="122"/>
      <c r="M81" s="122"/>
      <c r="N81" s="122"/>
      <c r="O81" s="77"/>
    </row>
    <row r="82" spans="1:15" x14ac:dyDescent="0.3">
      <c r="A82" s="152" t="s">
        <v>132</v>
      </c>
      <c r="B82" s="314">
        <f t="shared" si="28"/>
        <v>-625547.90000000014</v>
      </c>
      <c r="C82" s="228"/>
      <c r="D82" s="122">
        <v>0</v>
      </c>
      <c r="E82" s="122">
        <v>-255690.85449351571</v>
      </c>
      <c r="F82" s="122">
        <v>-366374.58780439052</v>
      </c>
      <c r="G82" s="122">
        <v>-3482.4577020938859</v>
      </c>
      <c r="H82" s="122">
        <v>0</v>
      </c>
      <c r="I82" s="122">
        <v>0</v>
      </c>
      <c r="J82" s="122">
        <v>0</v>
      </c>
      <c r="K82" s="122">
        <v>0</v>
      </c>
      <c r="L82" s="122">
        <v>0</v>
      </c>
      <c r="M82" s="122">
        <v>0</v>
      </c>
      <c r="N82" s="122">
        <v>0</v>
      </c>
      <c r="O82" s="77">
        <v>0</v>
      </c>
    </row>
    <row r="83" spans="1:15" x14ac:dyDescent="0.3">
      <c r="A83" s="123" t="s">
        <v>133</v>
      </c>
      <c r="B83" s="337">
        <f>SUM(B74:B82)</f>
        <v>-16216074.689113257</v>
      </c>
      <c r="C83" s="337"/>
      <c r="D83" s="8">
        <f>SUM(D74:D82)</f>
        <v>0</v>
      </c>
      <c r="E83" s="8">
        <f t="shared" ref="E83:O83" si="29">SUM(E74:E82)</f>
        <v>-6628272.5811884906</v>
      </c>
      <c r="F83" s="8">
        <f t="shared" si="29"/>
        <v>-9497526.3765238076</v>
      </c>
      <c r="G83" s="8">
        <f t="shared" si="29"/>
        <v>-90275.731400956167</v>
      </c>
      <c r="H83" s="8">
        <f t="shared" si="29"/>
        <v>0</v>
      </c>
      <c r="I83" s="8">
        <f t="shared" si="29"/>
        <v>0</v>
      </c>
      <c r="J83" s="8">
        <f t="shared" si="29"/>
        <v>0</v>
      </c>
      <c r="K83" s="8">
        <f t="shared" si="29"/>
        <v>0</v>
      </c>
      <c r="L83" s="8">
        <f t="shared" si="29"/>
        <v>0</v>
      </c>
      <c r="M83" s="8">
        <f t="shared" si="29"/>
        <v>0</v>
      </c>
      <c r="N83" s="8">
        <f t="shared" si="29"/>
        <v>0</v>
      </c>
      <c r="O83" s="229">
        <f t="shared" si="29"/>
        <v>0</v>
      </c>
    </row>
    <row r="84" spans="1:15" x14ac:dyDescent="0.3">
      <c r="A84" s="127"/>
      <c r="B84" s="314"/>
      <c r="C84" s="228"/>
      <c r="D84" s="228"/>
      <c r="E84" s="228"/>
      <c r="F84" s="228"/>
      <c r="G84" s="228"/>
      <c r="H84" s="228"/>
      <c r="I84" s="228"/>
      <c r="J84" s="228"/>
      <c r="K84" s="228"/>
      <c r="L84" s="228"/>
      <c r="M84" s="228"/>
      <c r="N84" s="228"/>
      <c r="O84" s="316"/>
    </row>
    <row r="85" spans="1:15" ht="16.2" thickBot="1" x14ac:dyDescent="0.35">
      <c r="A85" s="128" t="s">
        <v>134</v>
      </c>
      <c r="B85" s="334">
        <f>+B83+B71+B64</f>
        <v>-82988025.939113259</v>
      </c>
      <c r="C85" s="230"/>
      <c r="D85" s="230">
        <f>+D83+D71+D64</f>
        <v>-10157500</v>
      </c>
      <c r="E85" s="230">
        <f t="shared" ref="E85:O85" si="30">+E83+E71+E64</f>
        <v>-29769262.13097994</v>
      </c>
      <c r="F85" s="230">
        <f t="shared" si="30"/>
        <v>-42655812.481377654</v>
      </c>
      <c r="G85" s="230">
        <f t="shared" si="30"/>
        <v>-405451.32675565453</v>
      </c>
      <c r="H85" s="230">
        <f t="shared" si="30"/>
        <v>0</v>
      </c>
      <c r="I85" s="230">
        <f t="shared" si="30"/>
        <v>0</v>
      </c>
      <c r="J85" s="230">
        <f t="shared" si="30"/>
        <v>0</v>
      </c>
      <c r="K85" s="230">
        <f t="shared" si="30"/>
        <v>0</v>
      </c>
      <c r="L85" s="230">
        <f t="shared" si="30"/>
        <v>0</v>
      </c>
      <c r="M85" s="230">
        <f t="shared" si="30"/>
        <v>0</v>
      </c>
      <c r="N85" s="230">
        <f t="shared" si="30"/>
        <v>0</v>
      </c>
      <c r="O85" s="335">
        <f t="shared" si="30"/>
        <v>0</v>
      </c>
    </row>
    <row r="86" spans="1:15" x14ac:dyDescent="0.3">
      <c r="A86" s="140" t="s">
        <v>84</v>
      </c>
      <c r="B86" s="141"/>
      <c r="C86" s="141"/>
      <c r="D86" s="141">
        <v>0</v>
      </c>
      <c r="E86" s="141">
        <v>1</v>
      </c>
      <c r="F86" s="141">
        <v>2</v>
      </c>
      <c r="G86" s="141">
        <v>3</v>
      </c>
      <c r="H86" s="141">
        <v>4</v>
      </c>
      <c r="I86" s="141">
        <v>5</v>
      </c>
      <c r="J86" s="141">
        <v>6</v>
      </c>
      <c r="K86" s="141">
        <v>7</v>
      </c>
      <c r="L86" s="141">
        <v>8</v>
      </c>
      <c r="M86" s="141">
        <v>9</v>
      </c>
      <c r="N86" s="141">
        <v>10</v>
      </c>
      <c r="O86" s="142">
        <v>11</v>
      </c>
    </row>
    <row r="87" spans="1:15" x14ac:dyDescent="0.3">
      <c r="A87" s="143" t="s">
        <v>135</v>
      </c>
      <c r="B87" s="41" t="s">
        <v>110</v>
      </c>
      <c r="C87" s="35"/>
      <c r="D87" s="26">
        <v>44927</v>
      </c>
      <c r="E87" s="26">
        <f>+D87+365</f>
        <v>45292</v>
      </c>
      <c r="F87" s="26">
        <f t="shared" ref="F87:O87" si="31">+E87+365</f>
        <v>45657</v>
      </c>
      <c r="G87" s="26">
        <f t="shared" si="31"/>
        <v>46022</v>
      </c>
      <c r="H87" s="26">
        <f t="shared" si="31"/>
        <v>46387</v>
      </c>
      <c r="I87" s="26">
        <f t="shared" si="31"/>
        <v>46752</v>
      </c>
      <c r="J87" s="26">
        <f t="shared" si="31"/>
        <v>47117</v>
      </c>
      <c r="K87" s="26">
        <f t="shared" si="31"/>
        <v>47482</v>
      </c>
      <c r="L87" s="26">
        <f t="shared" si="31"/>
        <v>47847</v>
      </c>
      <c r="M87" s="26">
        <f t="shared" si="31"/>
        <v>48212</v>
      </c>
      <c r="N87" s="26">
        <f t="shared" si="31"/>
        <v>48577</v>
      </c>
      <c r="O87" s="115">
        <f t="shared" si="31"/>
        <v>48942</v>
      </c>
    </row>
    <row r="88" spans="1:15" x14ac:dyDescent="0.3">
      <c r="A88" s="144" t="s">
        <v>108</v>
      </c>
      <c r="B88" s="87">
        <f>SUM(D88:O88)</f>
        <v>-24684638.100541975</v>
      </c>
      <c r="C88" s="228"/>
      <c r="D88" s="122">
        <f>+D54+D85</f>
        <v>-10157500</v>
      </c>
      <c r="E88" s="122">
        <f t="shared" ref="E88:O88" si="32">+E54+E85</f>
        <v>-29769262.13097994</v>
      </c>
      <c r="F88" s="122">
        <f t="shared" si="32"/>
        <v>-41870249.389425963</v>
      </c>
      <c r="G88" s="122">
        <f t="shared" si="32"/>
        <v>2990636.5743660373</v>
      </c>
      <c r="H88" s="122">
        <f t="shared" si="32"/>
        <v>4671737.2311051954</v>
      </c>
      <c r="I88" s="122">
        <f t="shared" si="32"/>
        <v>6449818.857898917</v>
      </c>
      <c r="J88" s="122">
        <f t="shared" si="32"/>
        <v>6644604.4086358855</v>
      </c>
      <c r="K88" s="122">
        <f t="shared" si="32"/>
        <v>6845233.4958949639</v>
      </c>
      <c r="L88" s="122">
        <f t="shared" si="32"/>
        <v>7051881.4257718101</v>
      </c>
      <c r="M88" s="122">
        <f t="shared" si="32"/>
        <v>7264728.7635449637</v>
      </c>
      <c r="N88" s="122">
        <f t="shared" si="32"/>
        <v>7483961.4914513119</v>
      </c>
      <c r="O88" s="77">
        <f t="shared" si="32"/>
        <v>7709771.1711948523</v>
      </c>
    </row>
    <row r="89" spans="1:15" x14ac:dyDescent="0.3">
      <c r="A89" s="144" t="s">
        <v>150</v>
      </c>
      <c r="B89" s="314"/>
      <c r="C89" s="228"/>
      <c r="D89" s="122">
        <v>5.2499999999999998E-2</v>
      </c>
      <c r="E89" s="122">
        <v>5.2499999999999998E-2</v>
      </c>
      <c r="F89" s="122">
        <v>5.2499999999999998E-2</v>
      </c>
      <c r="G89" s="122">
        <v>5.2499999999999998E-2</v>
      </c>
      <c r="H89" s="122">
        <v>5.2499999999999998E-2</v>
      </c>
      <c r="I89" s="122">
        <v>5.2499999999999998E-2</v>
      </c>
      <c r="J89" s="122">
        <v>5.2499999999999998E-2</v>
      </c>
      <c r="K89" s="122">
        <v>5.2499999999999998E-2</v>
      </c>
      <c r="L89" s="122">
        <v>5.2499999999999998E-2</v>
      </c>
      <c r="M89" s="122">
        <v>5.2499999999999998E-2</v>
      </c>
      <c r="N89" s="122">
        <v>5.2499999999999998E-2</v>
      </c>
      <c r="O89" s="77">
        <v>5.2499999999999998E-2</v>
      </c>
    </row>
    <row r="90" spans="1:15" x14ac:dyDescent="0.3">
      <c r="A90" s="145" t="s">
        <v>151</v>
      </c>
      <c r="B90" s="314">
        <f>SUM(D90:O90)</f>
        <v>146852784.21323529</v>
      </c>
      <c r="C90" s="228"/>
      <c r="D90" s="122">
        <v>0</v>
      </c>
      <c r="E90" s="122">
        <v>0</v>
      </c>
      <c r="F90" s="122">
        <v>0</v>
      </c>
      <c r="G90" s="122">
        <v>0</v>
      </c>
      <c r="H90" s="122">
        <v>0</v>
      </c>
      <c r="I90" s="122">
        <v>0</v>
      </c>
      <c r="J90" s="122">
        <v>0</v>
      </c>
      <c r="K90" s="122">
        <v>0</v>
      </c>
      <c r="L90" s="122">
        <v>0</v>
      </c>
      <c r="M90" s="122">
        <v>0</v>
      </c>
      <c r="N90" s="122">
        <v>0</v>
      </c>
      <c r="O90" s="77">
        <f>'Project 1'!B23</f>
        <v>146852784.21323529</v>
      </c>
    </row>
    <row r="91" spans="1:15" x14ac:dyDescent="0.3">
      <c r="A91" s="145" t="s">
        <v>136</v>
      </c>
      <c r="B91" s="315">
        <f>SUM(D91:O91)</f>
        <v>2937055.684264706</v>
      </c>
      <c r="C91" s="228"/>
      <c r="D91" s="122">
        <v>0</v>
      </c>
      <c r="E91" s="122">
        <v>0</v>
      </c>
      <c r="F91" s="122">
        <v>0</v>
      </c>
      <c r="G91" s="122">
        <v>0</v>
      </c>
      <c r="H91" s="122">
        <v>0</v>
      </c>
      <c r="I91" s="122">
        <v>0</v>
      </c>
      <c r="J91" s="122">
        <v>0</v>
      </c>
      <c r="K91" s="122">
        <v>0</v>
      </c>
      <c r="L91" s="122">
        <v>0</v>
      </c>
      <c r="M91" s="122">
        <v>0</v>
      </c>
      <c r="N91" s="122">
        <v>0</v>
      </c>
      <c r="O91" s="77">
        <f>+O90*0.02</f>
        <v>2937055.684264706</v>
      </c>
    </row>
    <row r="92" spans="1:15" x14ac:dyDescent="0.3">
      <c r="A92" s="146" t="s">
        <v>137</v>
      </c>
      <c r="B92" s="100">
        <f>SUM(B88:B91)</f>
        <v>125105201.79695801</v>
      </c>
      <c r="C92" s="88"/>
      <c r="D92" s="88">
        <f>+D88+D90+D91</f>
        <v>-10157500</v>
      </c>
      <c r="E92" s="88">
        <f>+E88+E90+E91</f>
        <v>-29769262.13097994</v>
      </c>
      <c r="F92" s="88">
        <f t="shared" ref="F92:O92" si="33">+F88+F90+F91</f>
        <v>-41870249.389425963</v>
      </c>
      <c r="G92" s="88">
        <f t="shared" si="33"/>
        <v>2990636.5743660373</v>
      </c>
      <c r="H92" s="88">
        <f t="shared" si="33"/>
        <v>4671737.2311051954</v>
      </c>
      <c r="I92" s="88">
        <f t="shared" si="33"/>
        <v>6449818.857898917</v>
      </c>
      <c r="J92" s="88">
        <f t="shared" si="33"/>
        <v>6644604.4086358855</v>
      </c>
      <c r="K92" s="88">
        <f t="shared" si="33"/>
        <v>6845233.4958949639</v>
      </c>
      <c r="L92" s="88">
        <f t="shared" si="33"/>
        <v>7051881.4257718101</v>
      </c>
      <c r="M92" s="88">
        <f t="shared" si="33"/>
        <v>7264728.7635449637</v>
      </c>
      <c r="N92" s="88">
        <f t="shared" si="33"/>
        <v>7483961.4914513119</v>
      </c>
      <c r="O92" s="277">
        <f t="shared" si="33"/>
        <v>157499611.06869486</v>
      </c>
    </row>
    <row r="93" spans="1:15" x14ac:dyDescent="0.3">
      <c r="A93" s="144"/>
      <c r="B93" s="8"/>
      <c r="C93" s="228"/>
      <c r="D93" s="228"/>
      <c r="E93" s="228"/>
      <c r="F93" s="228"/>
      <c r="G93" s="228"/>
      <c r="H93" s="228"/>
      <c r="I93" s="228"/>
      <c r="J93" s="228"/>
      <c r="K93" s="228"/>
      <c r="L93" s="228"/>
      <c r="M93" s="228"/>
      <c r="N93" s="228"/>
      <c r="O93" s="316"/>
    </row>
    <row r="94" spans="1:15" x14ac:dyDescent="0.3">
      <c r="A94" s="110" t="s">
        <v>149</v>
      </c>
      <c r="B94" s="317">
        <f>SUM(D94:O94)</f>
        <v>48261715.223541968</v>
      </c>
      <c r="C94" s="318"/>
      <c r="D94" s="318">
        <f>D92/(1+D89)^D86</f>
        <v>-10157500</v>
      </c>
      <c r="E94" s="318">
        <f t="shared" ref="E94:O94" si="34">E92/(1+E89)^E86</f>
        <v>-28284334.566251725</v>
      </c>
      <c r="F94" s="318">
        <f t="shared" si="34"/>
        <v>-37797348.820578501</v>
      </c>
      <c r="G94" s="318">
        <f t="shared" si="34"/>
        <v>2565058.8097686227</v>
      </c>
      <c r="H94" s="318">
        <f t="shared" si="34"/>
        <v>3807062.3473842149</v>
      </c>
      <c r="I94" s="318">
        <f t="shared" si="34"/>
        <v>4993867.26941936</v>
      </c>
      <c r="J94" s="318">
        <f t="shared" si="34"/>
        <v>4888059.7165386938</v>
      </c>
      <c r="K94" s="318">
        <f t="shared" si="34"/>
        <v>4784466.6894307993</v>
      </c>
      <c r="L94" s="318">
        <f t="shared" si="34"/>
        <v>4683043.2117773639</v>
      </c>
      <c r="M94" s="318">
        <f t="shared" si="34"/>
        <v>4583745.1507234015</v>
      </c>
      <c r="N94" s="318">
        <f t="shared" si="34"/>
        <v>4486529.2047358248</v>
      </c>
      <c r="O94" s="319">
        <f t="shared" si="34"/>
        <v>89709066.210593909</v>
      </c>
    </row>
    <row r="95" spans="1:15" ht="16.2" thickBot="1" x14ac:dyDescent="0.35">
      <c r="A95" s="147" t="s">
        <v>152</v>
      </c>
      <c r="B95" s="148">
        <f>NPV(D89,E92:O92)+D92</f>
        <v>48261715.223541968</v>
      </c>
      <c r="C95" s="149"/>
      <c r="D95" s="149"/>
      <c r="E95" s="149"/>
      <c r="F95" s="149"/>
      <c r="G95" s="149"/>
      <c r="H95" s="149"/>
      <c r="I95" s="149"/>
      <c r="J95" s="149"/>
      <c r="K95" s="149"/>
      <c r="L95" s="149"/>
      <c r="M95" s="149"/>
      <c r="N95" s="149"/>
      <c r="O95" s="150"/>
    </row>
    <row r="96" spans="1:15" ht="16.2" thickBot="1" x14ac:dyDescent="0.35">
      <c r="A96" s="21"/>
      <c r="B96" s="43"/>
      <c r="C96" s="1"/>
      <c r="D96" s="1"/>
      <c r="E96" s="1"/>
      <c r="F96" s="1"/>
      <c r="G96" s="1"/>
      <c r="H96" s="1"/>
      <c r="I96" s="1"/>
      <c r="J96" s="1"/>
      <c r="K96" s="1"/>
      <c r="L96" s="1"/>
      <c r="M96" s="1"/>
      <c r="N96" s="1"/>
      <c r="O96" s="1"/>
    </row>
    <row r="97" spans="1:15" x14ac:dyDescent="0.3">
      <c r="A97" s="106" t="s">
        <v>153</v>
      </c>
      <c r="B97" s="134"/>
      <c r="C97" s="1"/>
      <c r="D97" s="1"/>
      <c r="E97" s="1"/>
      <c r="F97" s="1"/>
      <c r="G97" s="1"/>
      <c r="H97" s="1"/>
      <c r="I97" s="1"/>
      <c r="J97" s="1"/>
      <c r="K97" s="1"/>
      <c r="L97" s="1"/>
      <c r="M97" s="1"/>
      <c r="N97" s="1"/>
      <c r="O97" s="1"/>
    </row>
    <row r="98" spans="1:15" x14ac:dyDescent="0.3">
      <c r="A98" s="123" t="s">
        <v>152</v>
      </c>
      <c r="B98" s="135">
        <f>NPV(D89,E92:O92)+D92</f>
        <v>48261715.223541968</v>
      </c>
      <c r="C98" s="1"/>
      <c r="D98" s="1"/>
      <c r="E98" s="1"/>
      <c r="F98" s="1"/>
      <c r="G98" s="1"/>
      <c r="H98" s="1"/>
      <c r="I98" s="1"/>
      <c r="J98" s="1"/>
      <c r="K98" s="1"/>
      <c r="L98" s="1"/>
      <c r="M98" s="1"/>
      <c r="N98" s="1"/>
      <c r="O98" s="1"/>
    </row>
    <row r="99" spans="1:15" x14ac:dyDescent="0.3">
      <c r="A99" s="118" t="s">
        <v>49</v>
      </c>
      <c r="B99" s="136">
        <f>IRR(D92:O92)</f>
        <v>0.11654588822705647</v>
      </c>
      <c r="C99" s="1"/>
      <c r="D99" s="1"/>
      <c r="E99" s="34"/>
      <c r="F99" s="1"/>
      <c r="G99" s="1"/>
      <c r="H99" s="1"/>
      <c r="I99" s="1"/>
      <c r="J99" s="1"/>
      <c r="K99" s="1"/>
      <c r="L99" s="1"/>
      <c r="M99" s="1"/>
      <c r="N99" s="1"/>
      <c r="O99" s="1"/>
    </row>
    <row r="100" spans="1:15" x14ac:dyDescent="0.3">
      <c r="A100" s="118" t="s">
        <v>138</v>
      </c>
      <c r="B100" s="137">
        <f>+B98/'Project 1'!F20</f>
        <v>1.5910496710015474</v>
      </c>
      <c r="C100" s="1"/>
      <c r="D100" s="1"/>
      <c r="E100" s="1"/>
      <c r="F100" s="1"/>
      <c r="G100" s="1"/>
      <c r="H100" s="1"/>
      <c r="I100" s="1"/>
      <c r="J100" s="1"/>
      <c r="L100" s="1"/>
      <c r="M100" s="1"/>
      <c r="N100" s="1"/>
      <c r="O100" s="1"/>
    </row>
    <row r="101" spans="1:15" x14ac:dyDescent="0.3">
      <c r="A101" s="118" t="s">
        <v>139</v>
      </c>
      <c r="B101" s="124">
        <f>+B92</f>
        <v>125105201.79695801</v>
      </c>
      <c r="C101" s="1"/>
      <c r="D101" s="1"/>
      <c r="E101" s="1"/>
      <c r="F101" s="1"/>
      <c r="G101" s="1"/>
      <c r="H101" s="1"/>
      <c r="I101" s="1"/>
      <c r="J101" s="1"/>
      <c r="L101" s="1"/>
      <c r="M101" s="1"/>
      <c r="N101" s="1"/>
      <c r="O101" s="1"/>
    </row>
    <row r="102" spans="1:15" ht="16.2" thickBot="1" x14ac:dyDescent="0.35">
      <c r="A102" s="138" t="s">
        <v>154</v>
      </c>
      <c r="B102" s="139">
        <f>+B54/B101</f>
        <v>0.46603488105311502</v>
      </c>
      <c r="C102" s="1"/>
      <c r="D102" s="1"/>
      <c r="E102" s="1"/>
      <c r="F102" s="1"/>
      <c r="G102" s="1"/>
      <c r="H102" s="1"/>
      <c r="I102" s="1"/>
      <c r="J102" s="1"/>
      <c r="K102" s="1"/>
      <c r="L102" s="1"/>
      <c r="M102" s="1"/>
      <c r="N102" s="1"/>
      <c r="O102" s="1"/>
    </row>
    <row r="103" spans="1:15" ht="16.2" thickBot="1" x14ac:dyDescent="0.35">
      <c r="A103" s="36"/>
      <c r="B103" s="38"/>
      <c r="C103" s="1"/>
      <c r="D103" s="1"/>
      <c r="E103" s="1"/>
      <c r="F103" s="1"/>
      <c r="G103" s="1"/>
      <c r="H103" s="1"/>
      <c r="I103" s="1"/>
      <c r="J103" s="1"/>
      <c r="K103" s="1"/>
      <c r="L103" s="1"/>
      <c r="M103" s="1"/>
      <c r="N103" s="1"/>
      <c r="O103" s="1"/>
    </row>
    <row r="104" spans="1:15" x14ac:dyDescent="0.3">
      <c r="A104" s="106" t="s">
        <v>140</v>
      </c>
      <c r="B104" s="107" t="s">
        <v>110</v>
      </c>
      <c r="C104" s="108"/>
      <c r="D104" s="108"/>
      <c r="E104" s="108"/>
      <c r="F104" s="108"/>
      <c r="G104" s="108"/>
      <c r="H104" s="108"/>
      <c r="I104" s="108"/>
      <c r="J104" s="108"/>
      <c r="K104" s="108"/>
      <c r="L104" s="108"/>
      <c r="M104" s="108"/>
      <c r="N104" s="108"/>
      <c r="O104" s="109"/>
    </row>
    <row r="105" spans="1:15" x14ac:dyDescent="0.3">
      <c r="A105" s="110" t="s">
        <v>84</v>
      </c>
      <c r="B105" s="23"/>
      <c r="C105" s="23"/>
      <c r="D105" s="23">
        <v>0</v>
      </c>
      <c r="E105" s="23">
        <v>1</v>
      </c>
      <c r="F105" s="23">
        <v>2</v>
      </c>
      <c r="G105" s="23">
        <v>3</v>
      </c>
      <c r="H105" s="23">
        <v>4</v>
      </c>
      <c r="I105" s="23">
        <v>5</v>
      </c>
      <c r="J105" s="23">
        <v>6</v>
      </c>
      <c r="K105" s="23">
        <v>7</v>
      </c>
      <c r="L105" s="23">
        <v>8</v>
      </c>
      <c r="M105" s="23">
        <v>9</v>
      </c>
      <c r="N105" s="23">
        <v>10</v>
      </c>
      <c r="O105" s="111">
        <v>11</v>
      </c>
    </row>
    <row r="106" spans="1:15" x14ac:dyDescent="0.3">
      <c r="A106" s="112" t="s">
        <v>85</v>
      </c>
      <c r="B106" s="113"/>
      <c r="C106" s="113"/>
      <c r="D106" s="113">
        <v>0</v>
      </c>
      <c r="E106" s="113">
        <v>12</v>
      </c>
      <c r="F106" s="113">
        <v>24</v>
      </c>
      <c r="G106" s="113">
        <v>36</v>
      </c>
      <c r="H106" s="113">
        <v>48</v>
      </c>
      <c r="I106" s="113">
        <v>60</v>
      </c>
      <c r="J106" s="113">
        <v>72</v>
      </c>
      <c r="K106" s="113">
        <v>84</v>
      </c>
      <c r="L106" s="113">
        <v>96</v>
      </c>
      <c r="M106" s="113">
        <v>108</v>
      </c>
      <c r="N106" s="113">
        <v>120</v>
      </c>
      <c r="O106" s="114">
        <v>132</v>
      </c>
    </row>
    <row r="107" spans="1:15" ht="16.2" thickBot="1" x14ac:dyDescent="0.35">
      <c r="A107" s="112" t="s">
        <v>86</v>
      </c>
      <c r="B107" s="113"/>
      <c r="C107" s="113"/>
      <c r="D107" s="26">
        <v>44927</v>
      </c>
      <c r="E107" s="26">
        <f>+D107+365</f>
        <v>45292</v>
      </c>
      <c r="F107" s="26">
        <f t="shared" ref="F107:O107" si="35">+E107+365</f>
        <v>45657</v>
      </c>
      <c r="G107" s="26">
        <f t="shared" si="35"/>
        <v>46022</v>
      </c>
      <c r="H107" s="26">
        <f t="shared" si="35"/>
        <v>46387</v>
      </c>
      <c r="I107" s="26">
        <f t="shared" si="35"/>
        <v>46752</v>
      </c>
      <c r="J107" s="26">
        <f t="shared" si="35"/>
        <v>47117</v>
      </c>
      <c r="K107" s="26">
        <f t="shared" si="35"/>
        <v>47482</v>
      </c>
      <c r="L107" s="26">
        <f t="shared" si="35"/>
        <v>47847</v>
      </c>
      <c r="M107" s="26">
        <f t="shared" si="35"/>
        <v>48212</v>
      </c>
      <c r="N107" s="26">
        <f t="shared" si="35"/>
        <v>48577</v>
      </c>
      <c r="O107" s="115">
        <f t="shared" si="35"/>
        <v>48942</v>
      </c>
    </row>
    <row r="108" spans="1:15" ht="16.2" thickBot="1" x14ac:dyDescent="0.35">
      <c r="A108" s="347" t="s">
        <v>165</v>
      </c>
      <c r="B108" s="348"/>
      <c r="C108" s="348"/>
      <c r="D108" s="59">
        <f>'Project 1'!B30</f>
        <v>57637500</v>
      </c>
      <c r="E108" s="116"/>
      <c r="F108" s="116"/>
      <c r="G108" s="116"/>
      <c r="H108" s="116"/>
      <c r="I108" s="116"/>
      <c r="J108" s="116"/>
      <c r="K108" s="116"/>
      <c r="L108" s="116"/>
      <c r="M108" s="116"/>
      <c r="N108" s="116"/>
      <c r="O108" s="117"/>
    </row>
    <row r="109" spans="1:15" x14ac:dyDescent="0.3">
      <c r="A109" s="118" t="s">
        <v>141</v>
      </c>
      <c r="B109" s="37"/>
      <c r="C109" s="1"/>
      <c r="D109" s="119"/>
      <c r="E109" s="119"/>
      <c r="F109" s="119"/>
      <c r="G109" s="119"/>
      <c r="H109" s="119"/>
      <c r="I109" s="119"/>
      <c r="J109" s="119"/>
      <c r="K109" s="119"/>
      <c r="L109" s="119"/>
      <c r="M109" s="119"/>
      <c r="N109" s="119"/>
      <c r="O109" s="120"/>
    </row>
    <row r="110" spans="1:15" s="57" customFormat="1" x14ac:dyDescent="0.3">
      <c r="A110" s="121" t="s">
        <v>172</v>
      </c>
      <c r="B110" s="315"/>
      <c r="C110" s="122"/>
      <c r="D110" s="122">
        <v>0</v>
      </c>
      <c r="E110" s="122">
        <f>C126</f>
        <v>-3025968.75</v>
      </c>
      <c r="F110" s="122">
        <f>C127</f>
        <v>-2788183.5281095034</v>
      </c>
      <c r="G110" s="122">
        <f>C128</f>
        <v>-2537914.582069756</v>
      </c>
      <c r="H110" s="240">
        <v>-2274506.5163629213</v>
      </c>
      <c r="I110" s="240">
        <v>-1997269.5272064782</v>
      </c>
      <c r="J110" s="240">
        <v>-1705477.5961193219</v>
      </c>
      <c r="K110" s="240">
        <v>-1398366.5886500897</v>
      </c>
      <c r="L110" s="240">
        <v>-1075132.2532887228</v>
      </c>
      <c r="M110" s="240">
        <v>-734928.11532088439</v>
      </c>
      <c r="N110" s="240">
        <v>-376863.26010973431</v>
      </c>
      <c r="O110" s="77">
        <v>0</v>
      </c>
    </row>
    <row r="111" spans="1:15" x14ac:dyDescent="0.3">
      <c r="A111" s="123" t="s">
        <v>142</v>
      </c>
      <c r="B111" s="314">
        <f>SUM(D111:N111)</f>
        <v>-17914610.717237413</v>
      </c>
      <c r="C111" s="338"/>
      <c r="D111" s="8">
        <v>0</v>
      </c>
      <c r="E111" s="8">
        <f>E110</f>
        <v>-3025968.75</v>
      </c>
      <c r="F111" s="8">
        <f>F110</f>
        <v>-2788183.5281095034</v>
      </c>
      <c r="G111" s="8">
        <f t="shared" ref="G111:O111" si="36">G110</f>
        <v>-2537914.582069756</v>
      </c>
      <c r="H111" s="8">
        <f t="shared" si="36"/>
        <v>-2274506.5163629213</v>
      </c>
      <c r="I111" s="8">
        <f t="shared" si="36"/>
        <v>-1997269.5272064782</v>
      </c>
      <c r="J111" s="8">
        <f t="shared" si="36"/>
        <v>-1705477.5961193219</v>
      </c>
      <c r="K111" s="8">
        <f t="shared" si="36"/>
        <v>-1398366.5886500897</v>
      </c>
      <c r="L111" s="8">
        <f t="shared" si="36"/>
        <v>-1075132.2532887228</v>
      </c>
      <c r="M111" s="8">
        <f t="shared" si="36"/>
        <v>-734928.11532088439</v>
      </c>
      <c r="N111" s="8">
        <f t="shared" si="36"/>
        <v>-376863.26010973431</v>
      </c>
      <c r="O111" s="229">
        <f t="shared" si="36"/>
        <v>0</v>
      </c>
    </row>
    <row r="112" spans="1:15" x14ac:dyDescent="0.3">
      <c r="A112" s="118"/>
      <c r="B112" s="314"/>
      <c r="C112" s="228"/>
      <c r="D112" s="228"/>
      <c r="E112" s="228"/>
      <c r="F112" s="228"/>
      <c r="G112" s="228"/>
      <c r="H112" s="228"/>
      <c r="I112" s="228"/>
      <c r="J112" s="228"/>
      <c r="K112" s="228"/>
      <c r="L112" s="228"/>
      <c r="M112" s="228"/>
      <c r="N112" s="228"/>
      <c r="O112" s="316"/>
    </row>
    <row r="113" spans="1:15" x14ac:dyDescent="0.3">
      <c r="A113" s="125" t="s">
        <v>168</v>
      </c>
      <c r="B113" s="100">
        <f>B112</f>
        <v>0</v>
      </c>
      <c r="C113" s="88"/>
      <c r="D113" s="88">
        <f>+D111+D51</f>
        <v>0</v>
      </c>
      <c r="E113" s="88">
        <f>+E111+E51</f>
        <v>-3025968.75</v>
      </c>
      <c r="F113" s="88">
        <f t="shared" ref="F113:O113" si="37">+F111+F51</f>
        <v>-1959617.9361578103</v>
      </c>
      <c r="G113" s="88">
        <f t="shared" si="37"/>
        <v>901174.8190519358</v>
      </c>
      <c r="H113" s="88">
        <f t="shared" si="37"/>
        <v>2440231.214742274</v>
      </c>
      <c r="I113" s="88">
        <f t="shared" si="37"/>
        <v>4495548.8306924384</v>
      </c>
      <c r="J113" s="88">
        <f t="shared" si="37"/>
        <v>4982125.3125165636</v>
      </c>
      <c r="K113" s="88">
        <f t="shared" si="37"/>
        <v>5489864.4072448742</v>
      </c>
      <c r="L113" s="88">
        <f t="shared" si="37"/>
        <v>6019745.6724830875</v>
      </c>
      <c r="M113" s="88">
        <f t="shared" si="37"/>
        <v>6572796.1482240791</v>
      </c>
      <c r="N113" s="88">
        <f t="shared" si="37"/>
        <v>7150092.7313415771</v>
      </c>
      <c r="O113" s="277">
        <f t="shared" si="37"/>
        <v>7752764.6711948523</v>
      </c>
    </row>
    <row r="114" spans="1:15" x14ac:dyDescent="0.3">
      <c r="A114" s="127" t="s">
        <v>175</v>
      </c>
      <c r="B114" s="314"/>
      <c r="C114" s="122"/>
      <c r="D114" s="122"/>
      <c r="E114" s="122">
        <f>+E113*0.21</f>
        <v>-635453.4375</v>
      </c>
      <c r="F114" s="122">
        <f t="shared" ref="F114:O114" si="38">+F113*0.21</f>
        <v>-411519.76659314014</v>
      </c>
      <c r="G114" s="122">
        <f t="shared" si="38"/>
        <v>189246.71200090653</v>
      </c>
      <c r="H114" s="122">
        <f t="shared" si="38"/>
        <v>512448.5550958775</v>
      </c>
      <c r="I114" s="122">
        <f t="shared" si="38"/>
        <v>944065.25444541208</v>
      </c>
      <c r="J114" s="122">
        <f t="shared" si="38"/>
        <v>1046246.3156284783</v>
      </c>
      <c r="K114" s="122">
        <f t="shared" si="38"/>
        <v>1152871.5255214234</v>
      </c>
      <c r="L114" s="122">
        <f t="shared" si="38"/>
        <v>1264146.5912214483</v>
      </c>
      <c r="M114" s="122">
        <f t="shared" si="38"/>
        <v>1380287.1911270565</v>
      </c>
      <c r="N114" s="122">
        <f t="shared" si="38"/>
        <v>1501519.4735817311</v>
      </c>
      <c r="O114" s="77">
        <f t="shared" si="38"/>
        <v>1628080.5809509188</v>
      </c>
    </row>
    <row r="115" spans="1:15" x14ac:dyDescent="0.3">
      <c r="A115" s="127" t="s">
        <v>170</v>
      </c>
      <c r="B115" s="314"/>
      <c r="C115" s="122"/>
      <c r="D115" s="122"/>
      <c r="E115" s="122">
        <f>+E113-E114</f>
        <v>-2390515.3125</v>
      </c>
      <c r="F115" s="122">
        <f t="shared" ref="F115:N115" si="39">+F113-F114</f>
        <v>-1548098.1695646702</v>
      </c>
      <c r="G115" s="122">
        <f t="shared" si="39"/>
        <v>711928.10705102934</v>
      </c>
      <c r="H115" s="122">
        <f t="shared" si="39"/>
        <v>1927782.6596463965</v>
      </c>
      <c r="I115" s="122">
        <f t="shared" si="39"/>
        <v>3551483.5762470262</v>
      </c>
      <c r="J115" s="122">
        <f t="shared" si="39"/>
        <v>3935878.9968880853</v>
      </c>
      <c r="K115" s="122">
        <f t="shared" si="39"/>
        <v>4336992.8817234505</v>
      </c>
      <c r="L115" s="122">
        <f t="shared" si="39"/>
        <v>4755599.0812616395</v>
      </c>
      <c r="M115" s="122">
        <f t="shared" si="39"/>
        <v>5192508.9570970228</v>
      </c>
      <c r="N115" s="122">
        <f t="shared" si="39"/>
        <v>5648573.2577598458</v>
      </c>
      <c r="O115" s="77">
        <f>+O113-O114</f>
        <v>6124684.0902439337</v>
      </c>
    </row>
    <row r="116" spans="1:15" ht="16.2" thickBot="1" x14ac:dyDescent="0.35">
      <c r="A116" s="128" t="s">
        <v>173</v>
      </c>
      <c r="B116" s="129" t="s">
        <v>169</v>
      </c>
      <c r="C116" s="130"/>
      <c r="D116" s="131" t="s">
        <v>169</v>
      </c>
      <c r="E116" s="132">
        <v>0</v>
      </c>
      <c r="F116" s="132">
        <f>+F115/F39</f>
        <v>-0.8596127057090982</v>
      </c>
      <c r="G116" s="132">
        <f t="shared" ref="G116:O116" si="40">+G115/G39</f>
        <v>0.12184786393410101</v>
      </c>
      <c r="H116" s="132">
        <f t="shared" si="40"/>
        <v>0.26810055985201992</v>
      </c>
      <c r="I116" s="132">
        <f t="shared" si="40"/>
        <v>0.39273832677536247</v>
      </c>
      <c r="J116" s="132">
        <f t="shared" si="40"/>
        <v>0.42256934510316113</v>
      </c>
      <c r="K116" s="132">
        <f t="shared" si="40"/>
        <v>0.45207213102495597</v>
      </c>
      <c r="L116" s="132">
        <f t="shared" si="40"/>
        <v>0.48126805463473094</v>
      </c>
      <c r="M116" s="132">
        <f t="shared" si="40"/>
        <v>0.51017812158038667</v>
      </c>
      <c r="N116" s="132">
        <f t="shared" si="40"/>
        <v>0.53882298931424355</v>
      </c>
      <c r="O116" s="133">
        <f t="shared" si="40"/>
        <v>0.56722298299333795</v>
      </c>
    </row>
    <row r="117" spans="1:15" ht="16.2" thickBot="1" x14ac:dyDescent="0.35">
      <c r="A117" s="21"/>
      <c r="C117" s="1"/>
      <c r="D117" s="1"/>
      <c r="E117" s="1"/>
      <c r="F117" s="1"/>
      <c r="G117" s="1"/>
      <c r="H117" s="1"/>
      <c r="I117" s="1"/>
      <c r="J117" s="1"/>
      <c r="K117" s="1"/>
      <c r="L117" s="1"/>
      <c r="M117" s="1"/>
      <c r="N117" s="1"/>
      <c r="O117" s="1"/>
    </row>
    <row r="118" spans="1:15" x14ac:dyDescent="0.3">
      <c r="A118" s="106" t="s">
        <v>166</v>
      </c>
      <c r="B118" s="241"/>
      <c r="C118" s="242"/>
      <c r="D118" s="242"/>
      <c r="E118" s="243"/>
      <c r="F118" s="1"/>
      <c r="G118" s="1"/>
      <c r="H118" s="1"/>
      <c r="I118" s="1"/>
      <c r="J118" s="1"/>
      <c r="K118" s="1"/>
      <c r="L118" s="1"/>
      <c r="M118" s="1"/>
      <c r="N118" s="1"/>
      <c r="O118" s="1"/>
    </row>
    <row r="119" spans="1:15" x14ac:dyDescent="0.3">
      <c r="A119" s="47"/>
      <c r="B119" s="345" t="s">
        <v>156</v>
      </c>
      <c r="C119" s="349"/>
      <c r="D119" s="49">
        <f>D108</f>
        <v>57637500</v>
      </c>
      <c r="E119" s="48"/>
      <c r="F119" s="1"/>
      <c r="G119" s="1"/>
      <c r="H119" s="1"/>
      <c r="I119" s="1"/>
      <c r="J119" s="1"/>
      <c r="K119" s="1"/>
      <c r="L119" s="1"/>
      <c r="M119" s="1"/>
      <c r="N119" s="1"/>
      <c r="O119" s="1"/>
    </row>
    <row r="120" spans="1:15" x14ac:dyDescent="0.3">
      <c r="A120" s="47"/>
      <c r="B120" s="345" t="s">
        <v>157</v>
      </c>
      <c r="C120" s="349"/>
      <c r="D120" s="51">
        <f>'Project 1'!B22</f>
        <v>5.2499999999999998E-2</v>
      </c>
      <c r="E120" s="48"/>
      <c r="F120" s="1"/>
      <c r="G120" s="1"/>
      <c r="H120" s="1"/>
      <c r="I120" s="1"/>
      <c r="J120" s="1"/>
      <c r="K120" s="1"/>
      <c r="L120" s="1"/>
      <c r="M120" s="1"/>
      <c r="N120" s="1"/>
      <c r="O120" s="1"/>
    </row>
    <row r="121" spans="1:15" x14ac:dyDescent="0.3">
      <c r="A121" s="47"/>
      <c r="B121" s="345" t="s">
        <v>158</v>
      </c>
      <c r="C121" s="349"/>
      <c r="D121" s="44">
        <v>10</v>
      </c>
      <c r="E121" s="48"/>
      <c r="F121" s="1"/>
      <c r="G121" s="1"/>
      <c r="H121" s="1"/>
      <c r="I121" s="1"/>
      <c r="J121" s="1"/>
      <c r="K121" s="1"/>
      <c r="L121" s="1"/>
      <c r="M121" s="1"/>
      <c r="N121" s="1"/>
      <c r="O121" s="1"/>
    </row>
    <row r="122" spans="1:15" x14ac:dyDescent="0.3">
      <c r="A122" s="47"/>
      <c r="B122" s="350" t="s">
        <v>159</v>
      </c>
      <c r="C122" s="351"/>
      <c r="D122" s="44">
        <v>1</v>
      </c>
      <c r="E122" s="48"/>
      <c r="F122" s="1"/>
      <c r="G122" s="1"/>
      <c r="H122" s="1"/>
      <c r="I122" s="1"/>
      <c r="J122" s="1"/>
      <c r="K122" s="1"/>
      <c r="L122" s="1"/>
      <c r="M122" s="1"/>
      <c r="N122" s="1"/>
      <c r="O122" s="1"/>
    </row>
    <row r="123" spans="1:15" x14ac:dyDescent="0.3">
      <c r="A123" s="47"/>
      <c r="B123" s="345" t="s">
        <v>160</v>
      </c>
      <c r="C123" s="346"/>
      <c r="D123" s="54"/>
      <c r="E123" s="52"/>
      <c r="F123" s="1"/>
      <c r="G123" s="1"/>
      <c r="H123" s="1"/>
      <c r="I123" s="1"/>
      <c r="J123" s="1"/>
      <c r="K123" s="1"/>
      <c r="L123" s="1"/>
      <c r="M123" s="1"/>
      <c r="N123" s="1"/>
      <c r="O123" s="1"/>
    </row>
    <row r="124" spans="1:15" ht="31.2" x14ac:dyDescent="0.3">
      <c r="A124" s="53" t="s">
        <v>84</v>
      </c>
      <c r="B124" s="55" t="s">
        <v>167</v>
      </c>
      <c r="C124" s="55" t="s">
        <v>161</v>
      </c>
      <c r="D124" s="55" t="s">
        <v>162</v>
      </c>
      <c r="E124" s="244" t="s">
        <v>163</v>
      </c>
      <c r="F124" s="1"/>
      <c r="G124" s="1"/>
      <c r="H124" s="1"/>
      <c r="I124" s="1"/>
      <c r="J124" s="1"/>
      <c r="K124" s="1"/>
      <c r="L124" s="1"/>
      <c r="M124" s="1"/>
      <c r="N124" s="1"/>
      <c r="O124" s="1"/>
    </row>
    <row r="125" spans="1:15" x14ac:dyDescent="0.3">
      <c r="A125" s="45">
        <v>0</v>
      </c>
      <c r="B125" s="46"/>
      <c r="C125" s="50"/>
      <c r="D125" s="46"/>
      <c r="E125" s="58">
        <f>D119</f>
        <v>57637500</v>
      </c>
      <c r="F125" s="1"/>
      <c r="G125" s="1"/>
      <c r="H125" s="1"/>
      <c r="I125" s="1"/>
      <c r="J125" s="1"/>
      <c r="K125" s="1"/>
      <c r="L125" s="1"/>
      <c r="M125" s="1"/>
      <c r="N125" s="1"/>
      <c r="O125" s="1"/>
    </row>
    <row r="126" spans="1:15" x14ac:dyDescent="0.3">
      <c r="A126" s="45">
        <v>1</v>
      </c>
      <c r="B126" s="46">
        <f>+PMT($D$120,$D$121,$D$119)</f>
        <v>-7555211.0717237424</v>
      </c>
      <c r="C126" s="46">
        <f>+$D$120*E125*-1</f>
        <v>-3025968.75</v>
      </c>
      <c r="D126" s="46">
        <f>+B126-C126</f>
        <v>-4529242.3217237424</v>
      </c>
      <c r="E126" s="56">
        <f>+E125+D126</f>
        <v>53108257.678276256</v>
      </c>
      <c r="F126" s="1"/>
      <c r="G126" s="1"/>
      <c r="H126" s="1"/>
      <c r="I126" s="1"/>
      <c r="J126" s="1"/>
      <c r="K126" s="1"/>
      <c r="L126" s="1"/>
      <c r="M126" s="1"/>
      <c r="N126" s="1"/>
      <c r="O126" s="1"/>
    </row>
    <row r="127" spans="1:15" ht="15.6" customHeight="1" x14ac:dyDescent="0.3">
      <c r="A127" s="45">
        <v>2</v>
      </c>
      <c r="B127" s="46">
        <f t="shared" ref="B127:B135" si="41">+PMT($D$120,$D$121,$D$119)</f>
        <v>-7555211.0717237424</v>
      </c>
      <c r="C127" s="46">
        <f t="shared" ref="C127:C135" si="42">+$D$120*E126*-1</f>
        <v>-2788183.5281095034</v>
      </c>
      <c r="D127" s="46">
        <f t="shared" ref="D127:D135" si="43">+B127-C127</f>
        <v>-4767027.5436142385</v>
      </c>
      <c r="E127" s="56">
        <f>+E126+D127</f>
        <v>48341230.134662017</v>
      </c>
      <c r="F127" s="336"/>
      <c r="G127" s="336"/>
      <c r="H127" s="1"/>
      <c r="I127" s="1"/>
      <c r="J127" s="1"/>
      <c r="K127" s="1"/>
      <c r="L127" s="1"/>
      <c r="M127" s="1"/>
      <c r="N127" s="1"/>
      <c r="O127" s="1"/>
    </row>
    <row r="128" spans="1:15" x14ac:dyDescent="0.3">
      <c r="A128" s="45">
        <v>3</v>
      </c>
      <c r="B128" s="46">
        <f t="shared" si="41"/>
        <v>-7555211.0717237424</v>
      </c>
      <c r="C128" s="46">
        <f t="shared" si="42"/>
        <v>-2537914.582069756</v>
      </c>
      <c r="D128" s="46">
        <f t="shared" si="43"/>
        <v>-5017296.4896539859</v>
      </c>
      <c r="E128" s="56">
        <f t="shared" ref="E128:E134" si="44">+E127+D128</f>
        <v>43323933.645008028</v>
      </c>
      <c r="H128" s="1"/>
      <c r="I128" s="1"/>
      <c r="J128" s="1"/>
      <c r="K128" s="1"/>
      <c r="L128" s="1"/>
      <c r="M128" s="1"/>
      <c r="N128" s="1"/>
      <c r="O128" s="1"/>
    </row>
    <row r="129" spans="1:15" x14ac:dyDescent="0.3">
      <c r="A129" s="45">
        <v>4</v>
      </c>
      <c r="B129" s="46">
        <f t="shared" si="41"/>
        <v>-7555211.0717237424</v>
      </c>
      <c r="C129" s="46">
        <f t="shared" si="42"/>
        <v>-2274506.5163629213</v>
      </c>
      <c r="D129" s="46">
        <f t="shared" si="43"/>
        <v>-5280704.5553608211</v>
      </c>
      <c r="E129" s="56">
        <f t="shared" si="44"/>
        <v>38043229.089647204</v>
      </c>
      <c r="H129" s="1"/>
      <c r="I129" s="1"/>
      <c r="J129" s="1"/>
      <c r="K129" s="1"/>
      <c r="L129" s="1"/>
      <c r="M129" s="1"/>
      <c r="N129" s="1"/>
      <c r="O129" s="1"/>
    </row>
    <row r="130" spans="1:15" x14ac:dyDescent="0.3">
      <c r="A130" s="45">
        <v>5</v>
      </c>
      <c r="B130" s="46">
        <f t="shared" si="41"/>
        <v>-7555211.0717237424</v>
      </c>
      <c r="C130" s="46">
        <f t="shared" si="42"/>
        <v>-1997269.5272064782</v>
      </c>
      <c r="D130" s="46">
        <f t="shared" si="43"/>
        <v>-5557941.5445172638</v>
      </c>
      <c r="E130" s="56">
        <f t="shared" si="44"/>
        <v>32485287.54512994</v>
      </c>
      <c r="H130" s="1"/>
      <c r="I130" s="1"/>
      <c r="J130" s="1"/>
      <c r="K130" s="1"/>
      <c r="L130" s="1"/>
      <c r="M130" s="1"/>
      <c r="N130" s="1"/>
      <c r="O130" s="1"/>
    </row>
    <row r="131" spans="1:15" x14ac:dyDescent="0.3">
      <c r="A131" s="45">
        <v>6</v>
      </c>
      <c r="B131" s="46">
        <f t="shared" si="41"/>
        <v>-7555211.0717237424</v>
      </c>
      <c r="C131" s="46">
        <f t="shared" si="42"/>
        <v>-1705477.5961193219</v>
      </c>
      <c r="D131" s="46">
        <f t="shared" si="43"/>
        <v>-5849733.4756044205</v>
      </c>
      <c r="E131" s="56">
        <f t="shared" si="44"/>
        <v>26635554.069525518</v>
      </c>
      <c r="H131" s="1"/>
      <c r="I131" s="1"/>
      <c r="J131" s="1"/>
      <c r="K131" s="1"/>
      <c r="L131" s="1"/>
      <c r="M131" s="1"/>
      <c r="N131" s="1"/>
      <c r="O131" s="1"/>
    </row>
    <row r="132" spans="1:15" x14ac:dyDescent="0.3">
      <c r="A132" s="45">
        <v>7</v>
      </c>
      <c r="B132" s="46">
        <f t="shared" si="41"/>
        <v>-7555211.0717237424</v>
      </c>
      <c r="C132" s="46">
        <f t="shared" si="42"/>
        <v>-1398366.5886500897</v>
      </c>
      <c r="D132" s="46">
        <f t="shared" si="43"/>
        <v>-6156844.4830736527</v>
      </c>
      <c r="E132" s="56">
        <f t="shared" si="44"/>
        <v>20478709.586451866</v>
      </c>
      <c r="H132" s="1"/>
      <c r="I132" s="1"/>
      <c r="J132" s="1"/>
      <c r="K132" s="1"/>
      <c r="L132" s="1"/>
      <c r="M132" s="1"/>
      <c r="N132" s="1"/>
      <c r="O132" s="1"/>
    </row>
    <row r="133" spans="1:15" x14ac:dyDescent="0.3">
      <c r="A133" s="45">
        <v>8</v>
      </c>
      <c r="B133" s="46">
        <f t="shared" si="41"/>
        <v>-7555211.0717237424</v>
      </c>
      <c r="C133" s="46">
        <f t="shared" si="42"/>
        <v>-1075132.2532887228</v>
      </c>
      <c r="D133" s="46">
        <f t="shared" si="43"/>
        <v>-6480078.8184350198</v>
      </c>
      <c r="E133" s="56">
        <f t="shared" si="44"/>
        <v>13998630.768016845</v>
      </c>
      <c r="H133" s="1"/>
      <c r="I133" s="1"/>
      <c r="J133" s="1"/>
      <c r="K133" s="1"/>
      <c r="L133" s="1"/>
      <c r="M133" s="1"/>
      <c r="N133" s="1"/>
      <c r="O133" s="1"/>
    </row>
    <row r="134" spans="1:15" x14ac:dyDescent="0.3">
      <c r="A134" s="45">
        <v>9</v>
      </c>
      <c r="B134" s="46">
        <f t="shared" si="41"/>
        <v>-7555211.0717237424</v>
      </c>
      <c r="C134" s="46">
        <f t="shared" si="42"/>
        <v>-734928.11532088439</v>
      </c>
      <c r="D134" s="46">
        <f t="shared" si="43"/>
        <v>-6820282.9564028578</v>
      </c>
      <c r="E134" s="56">
        <f t="shared" si="44"/>
        <v>7178347.8116139872</v>
      </c>
      <c r="H134" s="1"/>
      <c r="I134" s="1"/>
      <c r="J134" s="1"/>
      <c r="K134" s="1"/>
      <c r="L134" s="1"/>
      <c r="M134" s="1"/>
      <c r="N134" s="1"/>
      <c r="O134" s="1"/>
    </row>
    <row r="135" spans="1:15" x14ac:dyDescent="0.3">
      <c r="A135" s="45">
        <v>10</v>
      </c>
      <c r="B135" s="46">
        <f t="shared" si="41"/>
        <v>-7555211.0717237424</v>
      </c>
      <c r="C135" s="46">
        <f t="shared" si="42"/>
        <v>-376863.26010973431</v>
      </c>
      <c r="D135" s="46">
        <f t="shared" si="43"/>
        <v>-7178347.8116140077</v>
      </c>
      <c r="E135" s="56">
        <f>+E134+D135</f>
        <v>-2.0489096641540527E-8</v>
      </c>
      <c r="H135" s="1"/>
      <c r="I135" s="1"/>
      <c r="J135" s="1"/>
      <c r="K135" s="1"/>
      <c r="L135" s="1"/>
      <c r="M135" s="1"/>
      <c r="N135" s="1"/>
      <c r="O135" s="1"/>
    </row>
    <row r="136" spans="1:15" ht="16.2" thickBot="1" x14ac:dyDescent="0.35">
      <c r="A136" s="245" t="s">
        <v>164</v>
      </c>
      <c r="B136" s="246">
        <f>SUM(B126:B135)</f>
        <v>-75552110.717237428</v>
      </c>
      <c r="C136" s="246">
        <f>SUM(C126:C135)</f>
        <v>-17914610.717237413</v>
      </c>
      <c r="D136" s="246">
        <f>SUM(D126:D135)</f>
        <v>-57637500.000000015</v>
      </c>
      <c r="E136" s="339"/>
      <c r="H136" s="1"/>
      <c r="I136" s="1"/>
      <c r="J136" s="1"/>
      <c r="K136" s="1"/>
      <c r="L136" s="1"/>
      <c r="M136" s="1"/>
      <c r="N136" s="1"/>
      <c r="O136" s="1"/>
    </row>
    <row r="137" spans="1:15" x14ac:dyDescent="0.3">
      <c r="A137" s="21"/>
      <c r="H137" s="1"/>
      <c r="I137" s="1"/>
      <c r="J137" s="1"/>
      <c r="K137" s="1"/>
      <c r="L137" s="1"/>
      <c r="M137" s="1"/>
      <c r="N137" s="1"/>
      <c r="O137" s="1"/>
    </row>
    <row r="138" spans="1:15" x14ac:dyDescent="0.3">
      <c r="A138" s="21"/>
      <c r="H138" s="1"/>
      <c r="I138" s="1"/>
      <c r="J138" s="1"/>
      <c r="K138" s="1"/>
      <c r="L138" s="1"/>
      <c r="M138" s="1"/>
      <c r="N138" s="1"/>
      <c r="O138" s="1"/>
    </row>
    <row r="139" spans="1:15" x14ac:dyDescent="0.3">
      <c r="A139" s="21"/>
      <c r="H139" s="1"/>
      <c r="I139" s="1"/>
      <c r="J139" s="1"/>
      <c r="K139" s="1"/>
      <c r="L139" s="1"/>
      <c r="M139" s="1"/>
      <c r="N139" s="1"/>
      <c r="O139" s="1"/>
    </row>
    <row r="140" spans="1:15" x14ac:dyDescent="0.3">
      <c r="A140" s="21"/>
      <c r="H140" s="1"/>
      <c r="I140" s="1"/>
      <c r="J140" s="1"/>
      <c r="K140" s="1"/>
      <c r="L140" s="1"/>
      <c r="M140" s="1"/>
      <c r="N140" s="1"/>
      <c r="O140" s="1"/>
    </row>
    <row r="141" spans="1:15" x14ac:dyDescent="0.3">
      <c r="A141" s="21"/>
      <c r="H141" s="1"/>
      <c r="I141" s="1"/>
      <c r="J141" s="1"/>
      <c r="K141" s="1"/>
      <c r="L141" s="1"/>
      <c r="M141" s="1"/>
      <c r="N141" s="1"/>
      <c r="O141" s="1"/>
    </row>
    <row r="142" spans="1:15" x14ac:dyDescent="0.3">
      <c r="A142" s="21"/>
      <c r="H142" s="1"/>
      <c r="I142" s="1"/>
      <c r="J142" s="1"/>
      <c r="K142" s="1"/>
      <c r="L142" s="1"/>
      <c r="M142" s="1"/>
      <c r="N142" s="1"/>
      <c r="O142" s="1"/>
    </row>
    <row r="143" spans="1:15" x14ac:dyDescent="0.3">
      <c r="A143" s="21"/>
      <c r="H143" s="1"/>
      <c r="I143" s="1"/>
      <c r="J143" s="1"/>
      <c r="K143" s="1"/>
      <c r="L143" s="1"/>
      <c r="M143" s="1"/>
      <c r="N143" s="1"/>
      <c r="O143" s="1"/>
    </row>
    <row r="144" spans="1:15" x14ac:dyDescent="0.3">
      <c r="A144" s="21"/>
      <c r="H144" s="1"/>
      <c r="I144" s="1"/>
      <c r="J144" s="1"/>
      <c r="K144" s="1"/>
      <c r="L144" s="1"/>
      <c r="M144" s="1"/>
      <c r="N144" s="1"/>
      <c r="O144" s="1"/>
    </row>
    <row r="145" spans="1:15" x14ac:dyDescent="0.3">
      <c r="A145" s="21"/>
      <c r="H145" s="1"/>
      <c r="I145" s="1"/>
      <c r="J145" s="1"/>
      <c r="K145" s="1"/>
      <c r="L145" s="1"/>
      <c r="M145" s="1"/>
      <c r="N145" s="1"/>
      <c r="O145" s="1"/>
    </row>
    <row r="146" spans="1:15" x14ac:dyDescent="0.3">
      <c r="A146" s="21"/>
      <c r="C146" s="1"/>
      <c r="D146" s="1"/>
      <c r="E146" s="1"/>
      <c r="F146" s="1"/>
      <c r="G146" s="1"/>
      <c r="H146" s="1"/>
      <c r="I146" s="1"/>
      <c r="J146" s="1"/>
      <c r="K146" s="1"/>
      <c r="L146" s="1"/>
      <c r="M146" s="1"/>
      <c r="N146" s="1"/>
      <c r="O146" s="1"/>
    </row>
    <row r="147" spans="1:15" x14ac:dyDescent="0.3">
      <c r="A147" s="21"/>
      <c r="C147" s="1"/>
      <c r="D147" s="1"/>
      <c r="E147" s="1"/>
      <c r="F147" s="1"/>
      <c r="G147" s="1"/>
      <c r="H147" s="1"/>
      <c r="I147" s="1"/>
      <c r="J147" s="1"/>
      <c r="K147" s="1"/>
      <c r="L147" s="1"/>
      <c r="M147" s="1"/>
      <c r="N147" s="1"/>
      <c r="O147" s="1"/>
    </row>
    <row r="148" spans="1:15" x14ac:dyDescent="0.3">
      <c r="A148" s="21"/>
      <c r="C148" s="1"/>
      <c r="D148" s="1"/>
      <c r="E148" s="1"/>
      <c r="F148" s="1"/>
      <c r="G148" s="1"/>
      <c r="H148" s="1"/>
      <c r="I148" s="1"/>
      <c r="J148" s="1"/>
      <c r="K148" s="1"/>
      <c r="L148" s="1"/>
      <c r="M148" s="1"/>
      <c r="N148" s="1"/>
      <c r="O148" s="1"/>
    </row>
    <row r="149" spans="1:15" x14ac:dyDescent="0.3">
      <c r="A149" s="21"/>
      <c r="C149" s="1"/>
      <c r="D149" s="1"/>
      <c r="E149" s="1"/>
      <c r="F149" s="1"/>
      <c r="G149" s="1"/>
      <c r="H149" s="1"/>
      <c r="I149" s="1"/>
      <c r="J149" s="1"/>
      <c r="K149" s="1"/>
      <c r="L149" s="1"/>
      <c r="M149" s="1"/>
      <c r="N149" s="1"/>
      <c r="O149" s="1"/>
    </row>
    <row r="150" spans="1:15" x14ac:dyDescent="0.3">
      <c r="A150" s="21"/>
      <c r="C150" s="1"/>
      <c r="D150" s="1"/>
      <c r="E150" s="1"/>
      <c r="F150" s="1"/>
      <c r="G150" s="1"/>
      <c r="H150" s="1"/>
      <c r="I150" s="1"/>
      <c r="J150" s="1"/>
      <c r="K150" s="1"/>
      <c r="L150" s="1"/>
      <c r="M150" s="1"/>
      <c r="N150" s="1"/>
      <c r="O150" s="1"/>
    </row>
    <row r="151" spans="1:15" x14ac:dyDescent="0.3">
      <c r="A151" s="21"/>
      <c r="C151" s="1"/>
      <c r="D151" s="1"/>
      <c r="E151" s="1"/>
      <c r="F151" s="1"/>
      <c r="G151" s="1"/>
      <c r="H151" s="1"/>
      <c r="I151" s="1"/>
      <c r="J151" s="1"/>
      <c r="K151" s="1"/>
      <c r="L151" s="1"/>
      <c r="M151" s="1"/>
      <c r="N151" s="1"/>
      <c r="O151" s="1"/>
    </row>
    <row r="152" spans="1:15" x14ac:dyDescent="0.3">
      <c r="A152" s="21"/>
      <c r="C152" s="1"/>
      <c r="D152" s="1"/>
      <c r="E152" s="1"/>
      <c r="F152" s="1"/>
      <c r="G152" s="1"/>
      <c r="H152" s="1"/>
      <c r="I152" s="1"/>
      <c r="J152" s="1"/>
      <c r="K152" s="1"/>
      <c r="L152" s="1"/>
      <c r="M152" s="1"/>
      <c r="N152" s="1"/>
      <c r="O152" s="1"/>
    </row>
    <row r="153" spans="1:15" x14ac:dyDescent="0.3">
      <c r="A153" s="21"/>
      <c r="C153" s="1"/>
      <c r="D153" s="1"/>
      <c r="E153" s="1"/>
      <c r="F153" s="1"/>
      <c r="G153" s="1"/>
      <c r="H153" s="1"/>
      <c r="I153" s="1"/>
      <c r="J153" s="1"/>
      <c r="K153" s="1"/>
      <c r="L153" s="1"/>
      <c r="M153" s="1"/>
      <c r="N153" s="1"/>
      <c r="O153" s="1"/>
    </row>
    <row r="154" spans="1:15" x14ac:dyDescent="0.3">
      <c r="A154" s="21"/>
      <c r="C154" s="1"/>
      <c r="D154" s="1"/>
      <c r="E154" s="1"/>
      <c r="F154" s="1"/>
      <c r="G154" s="1"/>
      <c r="H154" s="1"/>
      <c r="I154" s="1"/>
      <c r="J154" s="1"/>
      <c r="K154" s="1"/>
      <c r="L154" s="1"/>
      <c r="M154" s="1"/>
      <c r="N154" s="1"/>
      <c r="O154" s="1"/>
    </row>
    <row r="155" spans="1:15" x14ac:dyDescent="0.3">
      <c r="A155" s="21"/>
      <c r="C155" s="1"/>
      <c r="D155" s="1"/>
      <c r="E155" s="1"/>
      <c r="F155" s="1"/>
      <c r="G155" s="1"/>
      <c r="H155" s="1"/>
      <c r="I155" s="1"/>
      <c r="J155" s="1"/>
      <c r="K155" s="1"/>
      <c r="L155" s="1"/>
      <c r="M155" s="1"/>
      <c r="N155" s="1"/>
      <c r="O155" s="1"/>
    </row>
    <row r="156" spans="1:15" x14ac:dyDescent="0.3">
      <c r="A156" s="21"/>
      <c r="C156" s="1"/>
      <c r="D156" s="1"/>
      <c r="E156" s="1"/>
      <c r="F156" s="1"/>
      <c r="G156" s="1"/>
      <c r="H156" s="1"/>
      <c r="I156" s="1"/>
      <c r="J156" s="1"/>
      <c r="K156" s="1"/>
      <c r="L156" s="1"/>
      <c r="M156" s="1"/>
      <c r="N156" s="1"/>
      <c r="O156" s="1"/>
    </row>
    <row r="157" spans="1:15" x14ac:dyDescent="0.3">
      <c r="A157" s="21"/>
      <c r="C157" s="1"/>
      <c r="D157" s="1"/>
      <c r="E157" s="1"/>
      <c r="F157" s="1"/>
      <c r="G157" s="1"/>
      <c r="H157" s="1"/>
      <c r="I157" s="1"/>
      <c r="J157" s="1"/>
      <c r="K157" s="1"/>
      <c r="L157" s="1"/>
      <c r="M157" s="1"/>
      <c r="N157" s="1"/>
      <c r="O157" s="1"/>
    </row>
    <row r="158" spans="1:15" x14ac:dyDescent="0.3">
      <c r="A158" s="21"/>
      <c r="C158" s="1"/>
      <c r="D158" s="1"/>
      <c r="E158" s="1"/>
      <c r="F158" s="1"/>
      <c r="G158" s="1"/>
      <c r="H158" s="1"/>
      <c r="I158" s="1"/>
      <c r="J158" s="1"/>
      <c r="K158" s="1"/>
      <c r="L158" s="1"/>
      <c r="M158" s="1"/>
      <c r="N158" s="1"/>
      <c r="O158" s="1"/>
    </row>
    <row r="159" spans="1:15" x14ac:dyDescent="0.3">
      <c r="A159" s="21"/>
      <c r="C159" s="1"/>
      <c r="D159" s="1"/>
      <c r="E159" s="1"/>
      <c r="F159" s="1"/>
      <c r="G159" s="1"/>
      <c r="H159" s="1"/>
      <c r="I159" s="1"/>
      <c r="J159" s="1"/>
      <c r="K159" s="1"/>
      <c r="L159" s="1"/>
      <c r="M159" s="1"/>
      <c r="N159" s="1"/>
      <c r="O159" s="1"/>
    </row>
    <row r="160" spans="1:15" x14ac:dyDescent="0.3">
      <c r="A160" s="21"/>
      <c r="C160" s="1"/>
      <c r="D160" s="1"/>
      <c r="E160" s="1"/>
      <c r="F160" s="1"/>
      <c r="G160" s="1"/>
      <c r="H160" s="1"/>
      <c r="I160" s="1"/>
      <c r="J160" s="1"/>
      <c r="K160" s="1"/>
      <c r="L160" s="1"/>
      <c r="M160" s="1"/>
      <c r="N160" s="1"/>
      <c r="O160" s="1"/>
    </row>
    <row r="161" spans="1:15" x14ac:dyDescent="0.3">
      <c r="A161" s="21"/>
      <c r="C161" s="1"/>
      <c r="D161" s="1"/>
      <c r="E161" s="1"/>
      <c r="F161" s="1"/>
      <c r="G161" s="1"/>
      <c r="H161" s="1"/>
      <c r="I161" s="1"/>
      <c r="J161" s="1"/>
      <c r="K161" s="1"/>
      <c r="L161" s="1"/>
      <c r="M161" s="1"/>
      <c r="N161" s="1"/>
      <c r="O161" s="1"/>
    </row>
    <row r="162" spans="1:15" x14ac:dyDescent="0.3">
      <c r="A162" s="21"/>
      <c r="C162" s="1"/>
      <c r="D162" s="1"/>
      <c r="E162" s="1"/>
      <c r="F162" s="1"/>
      <c r="G162" s="1"/>
      <c r="H162" s="1"/>
      <c r="I162" s="1"/>
      <c r="J162" s="1"/>
      <c r="K162" s="1"/>
      <c r="L162" s="1"/>
      <c r="M162" s="1"/>
      <c r="N162" s="1"/>
      <c r="O162" s="1"/>
    </row>
    <row r="163" spans="1:15" x14ac:dyDescent="0.3">
      <c r="A163" s="21"/>
      <c r="C163" s="1"/>
      <c r="D163" s="1"/>
      <c r="E163" s="1"/>
      <c r="F163" s="1"/>
      <c r="G163" s="1"/>
      <c r="H163" s="1"/>
      <c r="I163" s="1"/>
      <c r="J163" s="1"/>
      <c r="K163" s="1"/>
      <c r="L163" s="1"/>
      <c r="M163" s="1"/>
      <c r="N163" s="1"/>
      <c r="O163" s="1"/>
    </row>
    <row r="164" spans="1:15" x14ac:dyDescent="0.3">
      <c r="A164" s="21"/>
      <c r="C164" s="1"/>
      <c r="D164" s="1"/>
      <c r="E164" s="1"/>
      <c r="F164" s="1"/>
      <c r="G164" s="1"/>
      <c r="H164" s="1"/>
      <c r="I164" s="1"/>
      <c r="J164" s="1"/>
      <c r="K164" s="1"/>
      <c r="L164" s="1"/>
      <c r="M164" s="1"/>
      <c r="N164" s="1"/>
      <c r="O164" s="1"/>
    </row>
    <row r="165" spans="1:15" x14ac:dyDescent="0.3">
      <c r="A165" s="21"/>
      <c r="C165" s="1"/>
      <c r="D165" s="1"/>
      <c r="E165" s="1"/>
      <c r="F165" s="1"/>
      <c r="G165" s="1"/>
      <c r="H165" s="1"/>
      <c r="I165" s="1"/>
      <c r="J165" s="1"/>
      <c r="K165" s="1"/>
      <c r="L165" s="1"/>
      <c r="M165" s="1"/>
      <c r="N165" s="1"/>
      <c r="O165" s="1"/>
    </row>
    <row r="166" spans="1:15" x14ac:dyDescent="0.3">
      <c r="A166" s="21"/>
      <c r="C166" s="1"/>
      <c r="D166" s="1"/>
      <c r="E166" s="1"/>
      <c r="F166" s="1"/>
      <c r="G166" s="1"/>
      <c r="H166" s="1"/>
      <c r="I166" s="1"/>
      <c r="J166" s="1"/>
      <c r="K166" s="1"/>
      <c r="L166" s="1"/>
      <c r="M166" s="1"/>
      <c r="N166" s="1"/>
      <c r="O166" s="1"/>
    </row>
    <row r="167" spans="1:15" x14ac:dyDescent="0.3">
      <c r="A167" s="21"/>
      <c r="C167" s="1"/>
      <c r="D167" s="1"/>
      <c r="E167" s="1"/>
      <c r="F167" s="1"/>
      <c r="G167" s="1"/>
      <c r="H167" s="1"/>
      <c r="I167" s="1"/>
      <c r="J167" s="1"/>
      <c r="K167" s="1"/>
      <c r="L167" s="1"/>
      <c r="M167" s="1"/>
      <c r="N167" s="1"/>
      <c r="O167" s="1"/>
    </row>
    <row r="168" spans="1:15" x14ac:dyDescent="0.3">
      <c r="A168" s="21"/>
      <c r="C168" s="1"/>
      <c r="D168" s="1"/>
      <c r="E168" s="1"/>
      <c r="F168" s="1"/>
      <c r="G168" s="1"/>
      <c r="H168" s="1"/>
      <c r="I168" s="1"/>
      <c r="J168" s="1"/>
      <c r="K168" s="1"/>
      <c r="L168" s="1"/>
      <c r="M168" s="1"/>
      <c r="N168" s="1"/>
      <c r="O168" s="1"/>
    </row>
    <row r="169" spans="1:15" x14ac:dyDescent="0.3">
      <c r="A169" s="21"/>
      <c r="C169" s="1"/>
      <c r="D169" s="1"/>
      <c r="E169" s="1"/>
      <c r="F169" s="1"/>
      <c r="G169" s="1"/>
      <c r="H169" s="1"/>
      <c r="I169" s="1"/>
      <c r="J169" s="1"/>
      <c r="K169" s="1"/>
      <c r="L169" s="1"/>
      <c r="M169" s="1"/>
      <c r="N169" s="1"/>
      <c r="O169" s="1"/>
    </row>
    <row r="170" spans="1:15" x14ac:dyDescent="0.3">
      <c r="A170" s="21"/>
      <c r="C170" s="1"/>
      <c r="D170" s="1"/>
      <c r="E170" s="1"/>
      <c r="F170" s="1"/>
      <c r="G170" s="1"/>
      <c r="H170" s="1"/>
      <c r="I170" s="1"/>
      <c r="J170" s="1"/>
      <c r="K170" s="1"/>
      <c r="L170" s="1"/>
      <c r="M170" s="1"/>
      <c r="N170" s="1"/>
      <c r="O170" s="1"/>
    </row>
    <row r="171" spans="1:15" x14ac:dyDescent="0.3">
      <c r="A171" s="21"/>
      <c r="C171" s="1"/>
      <c r="D171" s="1"/>
      <c r="E171" s="1"/>
      <c r="F171" s="1"/>
      <c r="G171" s="1"/>
      <c r="H171" s="1"/>
      <c r="I171" s="1"/>
      <c r="J171" s="1"/>
      <c r="K171" s="1"/>
      <c r="L171" s="1"/>
      <c r="M171" s="1"/>
      <c r="N171" s="1"/>
      <c r="O171" s="1"/>
    </row>
    <row r="172" spans="1:15" x14ac:dyDescent="0.3">
      <c r="A172" s="21"/>
      <c r="C172" s="1"/>
      <c r="D172" s="1"/>
      <c r="E172" s="1"/>
      <c r="F172" s="1"/>
      <c r="G172" s="1"/>
      <c r="H172" s="1"/>
      <c r="I172" s="1"/>
      <c r="J172" s="1"/>
      <c r="K172" s="1"/>
      <c r="L172" s="1"/>
      <c r="M172" s="1"/>
      <c r="N172" s="1"/>
      <c r="O172" s="1"/>
    </row>
    <row r="173" spans="1:15" x14ac:dyDescent="0.3">
      <c r="A173" s="21"/>
      <c r="C173" s="1"/>
      <c r="D173" s="1"/>
      <c r="E173" s="1"/>
      <c r="F173" s="1"/>
      <c r="G173" s="1"/>
      <c r="H173" s="1"/>
      <c r="I173" s="1"/>
      <c r="J173" s="1"/>
      <c r="K173" s="1"/>
      <c r="L173" s="1"/>
      <c r="M173" s="1"/>
      <c r="N173" s="1"/>
      <c r="O173" s="1"/>
    </row>
    <row r="174" spans="1:15" x14ac:dyDescent="0.3">
      <c r="A174" s="21"/>
      <c r="C174" s="1"/>
      <c r="D174" s="1"/>
      <c r="E174" s="1"/>
      <c r="F174" s="1"/>
      <c r="G174" s="1"/>
      <c r="H174" s="1"/>
      <c r="I174" s="1"/>
      <c r="J174" s="1"/>
      <c r="K174" s="1"/>
      <c r="L174" s="1"/>
      <c r="M174" s="1"/>
      <c r="N174" s="1"/>
      <c r="O174" s="1"/>
    </row>
    <row r="175" spans="1:15" x14ac:dyDescent="0.3">
      <c r="A175" s="21"/>
      <c r="C175" s="1"/>
      <c r="D175" s="1"/>
      <c r="E175" s="1"/>
      <c r="F175" s="1"/>
      <c r="G175" s="1"/>
      <c r="H175" s="1"/>
      <c r="I175" s="1"/>
      <c r="J175" s="1"/>
      <c r="K175" s="1"/>
      <c r="L175" s="1"/>
      <c r="M175" s="1"/>
      <c r="N175" s="1"/>
      <c r="O175" s="1"/>
    </row>
    <row r="176" spans="1:15" x14ac:dyDescent="0.3">
      <c r="A176" s="21"/>
      <c r="C176" s="1"/>
      <c r="D176" s="1"/>
      <c r="E176" s="1"/>
      <c r="F176" s="1"/>
      <c r="G176" s="1"/>
      <c r="H176" s="1"/>
      <c r="I176" s="1"/>
      <c r="J176" s="1"/>
      <c r="K176" s="1"/>
      <c r="L176" s="1"/>
      <c r="M176" s="1"/>
      <c r="N176" s="1"/>
      <c r="O176" s="1"/>
    </row>
    <row r="177" spans="1:15" x14ac:dyDescent="0.3">
      <c r="A177" s="21"/>
      <c r="C177" s="1"/>
      <c r="D177" s="1"/>
      <c r="E177" s="1"/>
      <c r="F177" s="1"/>
      <c r="G177" s="1"/>
      <c r="H177" s="1"/>
      <c r="I177" s="1"/>
      <c r="J177" s="1"/>
      <c r="K177" s="1"/>
      <c r="L177" s="1"/>
      <c r="M177" s="1"/>
      <c r="N177" s="1"/>
      <c r="O177" s="1"/>
    </row>
    <row r="178" spans="1:15" x14ac:dyDescent="0.3">
      <c r="A178" s="21"/>
      <c r="C178" s="1"/>
      <c r="D178" s="1"/>
      <c r="E178" s="1"/>
      <c r="F178" s="1"/>
      <c r="G178" s="1"/>
      <c r="H178" s="1"/>
      <c r="I178" s="1"/>
      <c r="J178" s="1"/>
      <c r="K178" s="1"/>
      <c r="L178" s="1"/>
      <c r="M178" s="1"/>
      <c r="N178" s="1"/>
      <c r="O178" s="1"/>
    </row>
    <row r="179" spans="1:15" x14ac:dyDescent="0.3">
      <c r="A179" s="21"/>
      <c r="C179" s="1"/>
      <c r="D179" s="1"/>
      <c r="E179" s="1"/>
      <c r="F179" s="1"/>
      <c r="G179" s="1"/>
      <c r="H179" s="1"/>
      <c r="I179" s="1"/>
      <c r="J179" s="1"/>
      <c r="K179" s="1"/>
      <c r="L179" s="1"/>
      <c r="M179" s="1"/>
      <c r="N179" s="1"/>
      <c r="O179" s="1"/>
    </row>
    <row r="180" spans="1:15" x14ac:dyDescent="0.3">
      <c r="A180" s="21"/>
      <c r="C180" s="1"/>
      <c r="D180" s="1"/>
      <c r="E180" s="1"/>
      <c r="F180" s="1"/>
      <c r="G180" s="1"/>
      <c r="H180" s="1"/>
      <c r="I180" s="1"/>
      <c r="J180" s="1"/>
      <c r="K180" s="1"/>
      <c r="L180" s="1"/>
      <c r="M180" s="1"/>
      <c r="N180" s="1"/>
      <c r="O180" s="1"/>
    </row>
    <row r="181" spans="1:15" x14ac:dyDescent="0.3">
      <c r="A181" s="21"/>
      <c r="C181" s="1"/>
      <c r="D181" s="1"/>
      <c r="E181" s="1"/>
      <c r="F181" s="1"/>
      <c r="G181" s="1"/>
      <c r="H181" s="1"/>
      <c r="I181" s="1"/>
      <c r="J181" s="1"/>
      <c r="K181" s="1"/>
      <c r="L181" s="1"/>
      <c r="M181" s="1"/>
      <c r="N181" s="1"/>
      <c r="O181" s="1"/>
    </row>
    <row r="182" spans="1:15" x14ac:dyDescent="0.3">
      <c r="A182" s="21"/>
      <c r="C182" s="1"/>
      <c r="D182" s="1"/>
      <c r="E182" s="1"/>
      <c r="F182" s="1"/>
      <c r="G182" s="1"/>
      <c r="H182" s="1"/>
      <c r="I182" s="1"/>
      <c r="J182" s="1"/>
      <c r="K182" s="1"/>
      <c r="L182" s="1"/>
      <c r="M182" s="1"/>
      <c r="N182" s="1"/>
      <c r="O182" s="1"/>
    </row>
    <row r="183" spans="1:15" x14ac:dyDescent="0.3">
      <c r="A183" s="21"/>
      <c r="C183" s="1"/>
      <c r="D183" s="1"/>
      <c r="E183" s="1"/>
      <c r="F183" s="1"/>
      <c r="G183" s="1"/>
      <c r="H183" s="1"/>
      <c r="I183" s="1"/>
      <c r="J183" s="1"/>
      <c r="K183" s="1"/>
      <c r="L183" s="1"/>
      <c r="M183" s="1"/>
      <c r="N183" s="1"/>
      <c r="O183" s="1"/>
    </row>
    <row r="184" spans="1:15" x14ac:dyDescent="0.3">
      <c r="A184" s="21"/>
      <c r="C184" s="1"/>
      <c r="D184" s="1"/>
      <c r="E184" s="1"/>
      <c r="F184" s="1"/>
      <c r="G184" s="1"/>
      <c r="H184" s="1"/>
      <c r="I184" s="1"/>
      <c r="J184" s="1"/>
      <c r="K184" s="1"/>
      <c r="L184" s="1"/>
      <c r="M184" s="1"/>
      <c r="N184" s="1"/>
      <c r="O184" s="1"/>
    </row>
    <row r="185" spans="1:15" x14ac:dyDescent="0.3">
      <c r="A185" s="21"/>
      <c r="C185" s="1"/>
      <c r="D185" s="1"/>
      <c r="E185" s="1"/>
      <c r="F185" s="1"/>
      <c r="G185" s="1"/>
      <c r="H185" s="1"/>
      <c r="I185" s="1"/>
      <c r="J185" s="1"/>
      <c r="K185" s="1"/>
      <c r="L185" s="1"/>
      <c r="M185" s="1"/>
      <c r="N185" s="1"/>
      <c r="O185" s="1"/>
    </row>
    <row r="186" spans="1:15" x14ac:dyDescent="0.3">
      <c r="A186" s="21"/>
      <c r="C186" s="1"/>
      <c r="D186" s="1"/>
      <c r="E186" s="1"/>
      <c r="F186" s="1"/>
      <c r="G186" s="1"/>
      <c r="H186" s="1"/>
      <c r="I186" s="1"/>
      <c r="J186" s="1"/>
      <c r="K186" s="1"/>
      <c r="L186" s="1"/>
      <c r="M186" s="1"/>
      <c r="N186" s="1"/>
      <c r="O186" s="1"/>
    </row>
    <row r="187" spans="1:15" x14ac:dyDescent="0.3">
      <c r="A187" s="21"/>
      <c r="C187" s="1"/>
      <c r="D187" s="1"/>
      <c r="E187" s="1"/>
      <c r="F187" s="1"/>
      <c r="G187" s="1"/>
      <c r="H187" s="1"/>
      <c r="I187" s="1"/>
      <c r="J187" s="1"/>
      <c r="K187" s="1"/>
      <c r="L187" s="1"/>
      <c r="M187" s="1"/>
      <c r="N187" s="1"/>
      <c r="O187" s="1"/>
    </row>
    <row r="188" spans="1:15" x14ac:dyDescent="0.3">
      <c r="A188" s="21"/>
      <c r="C188" s="1"/>
      <c r="D188" s="1"/>
      <c r="E188" s="1"/>
      <c r="F188" s="1"/>
      <c r="G188" s="1"/>
      <c r="H188" s="1"/>
      <c r="I188" s="1"/>
      <c r="J188" s="1"/>
      <c r="K188" s="1"/>
      <c r="L188" s="1"/>
      <c r="M188" s="1"/>
      <c r="N188" s="1"/>
      <c r="O188" s="1"/>
    </row>
    <row r="189" spans="1:15" x14ac:dyDescent="0.3">
      <c r="A189" s="21"/>
      <c r="C189" s="1"/>
      <c r="D189" s="1"/>
      <c r="E189" s="1"/>
      <c r="F189" s="1"/>
      <c r="G189" s="1"/>
      <c r="H189" s="1"/>
      <c r="I189" s="1"/>
      <c r="J189" s="1"/>
      <c r="K189" s="1"/>
      <c r="L189" s="1"/>
      <c r="M189" s="1"/>
      <c r="N189" s="1"/>
      <c r="O189" s="1"/>
    </row>
    <row r="190" spans="1:15" x14ac:dyDescent="0.3">
      <c r="A190" s="21"/>
      <c r="C190" s="1"/>
      <c r="D190" s="1"/>
      <c r="E190" s="1"/>
      <c r="F190" s="1"/>
      <c r="G190" s="1"/>
      <c r="H190" s="1"/>
      <c r="I190" s="1"/>
      <c r="J190" s="1"/>
      <c r="K190" s="1"/>
      <c r="L190" s="1"/>
      <c r="M190" s="1"/>
      <c r="N190" s="1"/>
      <c r="O190" s="1"/>
    </row>
    <row r="191" spans="1:15" x14ac:dyDescent="0.3">
      <c r="A191" s="21"/>
      <c r="C191" s="1"/>
      <c r="D191" s="1"/>
      <c r="E191" s="1"/>
      <c r="F191" s="1"/>
      <c r="G191" s="1"/>
      <c r="H191" s="1"/>
      <c r="I191" s="1"/>
      <c r="J191" s="1"/>
      <c r="K191" s="1"/>
      <c r="L191" s="1"/>
      <c r="M191" s="1"/>
      <c r="N191" s="1"/>
      <c r="O191" s="1"/>
    </row>
    <row r="192" spans="1:15" x14ac:dyDescent="0.3">
      <c r="A192" s="21"/>
      <c r="C192" s="1"/>
      <c r="D192" s="1"/>
      <c r="E192" s="1"/>
      <c r="F192" s="1"/>
      <c r="G192" s="1"/>
      <c r="H192" s="1"/>
      <c r="I192" s="1"/>
      <c r="J192" s="1"/>
      <c r="K192" s="1"/>
      <c r="L192" s="1"/>
      <c r="M192" s="1"/>
      <c r="N192" s="1"/>
      <c r="O192" s="1"/>
    </row>
    <row r="193" spans="1:15" x14ac:dyDescent="0.3">
      <c r="A193" s="21"/>
      <c r="C193" s="1"/>
      <c r="D193" s="1"/>
      <c r="E193" s="1"/>
      <c r="F193" s="1"/>
      <c r="G193" s="1"/>
      <c r="H193" s="1"/>
      <c r="I193" s="1"/>
      <c r="J193" s="1"/>
      <c r="K193" s="1"/>
      <c r="L193" s="1"/>
      <c r="M193" s="1"/>
      <c r="N193" s="1"/>
      <c r="O193" s="1"/>
    </row>
    <row r="194" spans="1:15" x14ac:dyDescent="0.3">
      <c r="A194" s="21"/>
      <c r="C194" s="1"/>
      <c r="D194" s="1"/>
      <c r="E194" s="1"/>
      <c r="F194" s="1"/>
      <c r="G194" s="1"/>
      <c r="H194" s="1"/>
      <c r="I194" s="1"/>
      <c r="J194" s="1"/>
      <c r="K194" s="1"/>
      <c r="L194" s="1"/>
      <c r="M194" s="1"/>
      <c r="N194" s="1"/>
      <c r="O194" s="1"/>
    </row>
    <row r="195" spans="1:15" x14ac:dyDescent="0.3">
      <c r="A195" s="21"/>
      <c r="C195" s="1"/>
      <c r="D195" s="1"/>
      <c r="E195" s="1"/>
      <c r="F195" s="1"/>
      <c r="G195" s="1"/>
      <c r="H195" s="1"/>
      <c r="I195" s="1"/>
      <c r="J195" s="1"/>
      <c r="K195" s="1"/>
      <c r="L195" s="1"/>
      <c r="M195" s="1"/>
      <c r="N195" s="1"/>
      <c r="O195" s="1"/>
    </row>
    <row r="196" spans="1:15" x14ac:dyDescent="0.3">
      <c r="A196" s="21"/>
      <c r="C196" s="1"/>
      <c r="D196" s="1"/>
      <c r="E196" s="1"/>
      <c r="F196" s="1"/>
      <c r="G196" s="1"/>
      <c r="H196" s="1"/>
      <c r="I196" s="1"/>
      <c r="J196" s="1"/>
      <c r="K196" s="1"/>
      <c r="L196" s="1"/>
      <c r="M196" s="1"/>
      <c r="N196" s="1"/>
      <c r="O196" s="1"/>
    </row>
    <row r="197" spans="1:15" x14ac:dyDescent="0.3">
      <c r="A197" s="21"/>
      <c r="C197" s="1"/>
      <c r="D197" s="1"/>
      <c r="E197" s="1"/>
      <c r="F197" s="1"/>
      <c r="G197" s="1"/>
      <c r="H197" s="1"/>
      <c r="I197" s="1"/>
      <c r="J197" s="1"/>
      <c r="K197" s="1"/>
      <c r="L197" s="1"/>
      <c r="M197" s="1"/>
      <c r="N197" s="1"/>
      <c r="O197" s="1"/>
    </row>
    <row r="198" spans="1:15" x14ac:dyDescent="0.3">
      <c r="A198" s="21"/>
      <c r="C198" s="1"/>
      <c r="D198" s="1"/>
      <c r="E198" s="1"/>
      <c r="F198" s="1"/>
      <c r="G198" s="1"/>
      <c r="H198" s="1"/>
      <c r="I198" s="1"/>
      <c r="J198" s="1"/>
      <c r="K198" s="1"/>
      <c r="L198" s="1"/>
      <c r="M198" s="1"/>
      <c r="N198" s="1"/>
      <c r="O198" s="1"/>
    </row>
    <row r="199" spans="1:15" x14ac:dyDescent="0.3">
      <c r="A199" s="21"/>
      <c r="C199" s="1"/>
      <c r="D199" s="1"/>
      <c r="E199" s="1"/>
      <c r="F199" s="1"/>
      <c r="G199" s="1"/>
      <c r="H199" s="1"/>
      <c r="I199" s="1"/>
      <c r="J199" s="1"/>
      <c r="K199" s="1"/>
      <c r="L199" s="1"/>
      <c r="M199" s="1"/>
      <c r="N199" s="1"/>
      <c r="O199" s="1"/>
    </row>
    <row r="200" spans="1:15" x14ac:dyDescent="0.3">
      <c r="A200" s="21"/>
      <c r="C200" s="1"/>
      <c r="D200" s="1"/>
      <c r="E200" s="1"/>
      <c r="F200" s="1"/>
      <c r="G200" s="1"/>
      <c r="H200" s="1"/>
      <c r="I200" s="1"/>
      <c r="J200" s="1"/>
      <c r="K200" s="1"/>
      <c r="L200" s="1"/>
      <c r="M200" s="1"/>
      <c r="N200" s="1"/>
      <c r="O200" s="1"/>
    </row>
    <row r="201" spans="1:15" x14ac:dyDescent="0.3">
      <c r="A201" s="21"/>
      <c r="C201" s="1"/>
      <c r="D201" s="1"/>
      <c r="E201" s="1"/>
      <c r="F201" s="1"/>
      <c r="G201" s="1"/>
      <c r="H201" s="1"/>
      <c r="I201" s="1"/>
      <c r="J201" s="1"/>
      <c r="K201" s="1"/>
      <c r="L201" s="1"/>
      <c r="M201" s="1"/>
      <c r="N201" s="1"/>
      <c r="O201" s="1"/>
    </row>
    <row r="202" spans="1:15" x14ac:dyDescent="0.3">
      <c r="A202" s="21"/>
      <c r="C202" s="1"/>
      <c r="D202" s="1"/>
      <c r="E202" s="1"/>
      <c r="F202" s="1"/>
      <c r="G202" s="1"/>
      <c r="H202" s="1"/>
      <c r="I202" s="1"/>
      <c r="J202" s="1"/>
      <c r="K202" s="1"/>
      <c r="L202" s="1"/>
      <c r="M202" s="1"/>
      <c r="N202" s="1"/>
      <c r="O202" s="1"/>
    </row>
    <row r="203" spans="1:15" x14ac:dyDescent="0.3">
      <c r="A203" s="21"/>
      <c r="C203" s="1"/>
      <c r="D203" s="1"/>
      <c r="E203" s="1"/>
      <c r="F203" s="1"/>
      <c r="G203" s="1"/>
      <c r="H203" s="1"/>
      <c r="I203" s="1"/>
      <c r="J203" s="1"/>
      <c r="K203" s="1"/>
      <c r="L203" s="1"/>
      <c r="M203" s="1"/>
      <c r="N203" s="1"/>
      <c r="O203" s="1"/>
    </row>
    <row r="204" spans="1:15" x14ac:dyDescent="0.3">
      <c r="A204" s="21"/>
      <c r="C204" s="1"/>
      <c r="D204" s="1"/>
      <c r="E204" s="1"/>
      <c r="F204" s="1"/>
      <c r="G204" s="1"/>
      <c r="H204" s="1"/>
      <c r="I204" s="1"/>
      <c r="J204" s="1"/>
      <c r="K204" s="1"/>
      <c r="L204" s="1"/>
      <c r="M204" s="1"/>
      <c r="N204" s="1"/>
      <c r="O204" s="1"/>
    </row>
    <row r="205" spans="1:15" x14ac:dyDescent="0.3">
      <c r="A205" s="21"/>
      <c r="C205" s="1"/>
      <c r="D205" s="1"/>
      <c r="E205" s="1"/>
      <c r="F205" s="1"/>
      <c r="G205" s="1"/>
      <c r="H205" s="1"/>
      <c r="I205" s="1"/>
      <c r="J205" s="1"/>
      <c r="K205" s="1"/>
      <c r="L205" s="1"/>
      <c r="M205" s="1"/>
      <c r="N205" s="1"/>
      <c r="O205" s="1"/>
    </row>
    <row r="206" spans="1:15" x14ac:dyDescent="0.3">
      <c r="A206" s="21"/>
      <c r="C206" s="1"/>
      <c r="D206" s="1"/>
      <c r="E206" s="1"/>
      <c r="F206" s="1"/>
      <c r="G206" s="1"/>
      <c r="H206" s="1"/>
      <c r="I206" s="1"/>
      <c r="J206" s="1"/>
      <c r="K206" s="1"/>
      <c r="L206" s="1"/>
      <c r="M206" s="1"/>
      <c r="N206" s="1"/>
      <c r="O206" s="1"/>
    </row>
    <row r="207" spans="1:15" x14ac:dyDescent="0.3">
      <c r="A207" s="21"/>
      <c r="C207" s="1"/>
      <c r="D207" s="1"/>
      <c r="E207" s="1"/>
      <c r="F207" s="1"/>
      <c r="G207" s="1"/>
      <c r="H207" s="1"/>
      <c r="I207" s="1"/>
      <c r="J207" s="1"/>
      <c r="K207" s="1"/>
      <c r="L207" s="1"/>
      <c r="M207" s="1"/>
      <c r="N207" s="1"/>
      <c r="O207" s="1"/>
    </row>
    <row r="208" spans="1:15" x14ac:dyDescent="0.3">
      <c r="A208" s="21"/>
      <c r="C208" s="1"/>
      <c r="D208" s="1"/>
      <c r="E208" s="1"/>
      <c r="F208" s="1"/>
      <c r="G208" s="1"/>
      <c r="H208" s="1"/>
      <c r="I208" s="1"/>
      <c r="J208" s="1"/>
      <c r="K208" s="1"/>
      <c r="L208" s="1"/>
      <c r="M208" s="1"/>
      <c r="N208" s="1"/>
      <c r="O208" s="1"/>
    </row>
    <row r="209" spans="1:15" x14ac:dyDescent="0.3">
      <c r="A209" s="21"/>
      <c r="C209" s="1"/>
      <c r="D209" s="1"/>
      <c r="E209" s="1"/>
      <c r="F209" s="1"/>
      <c r="G209" s="1"/>
      <c r="H209" s="1"/>
      <c r="I209" s="1"/>
      <c r="J209" s="1"/>
      <c r="K209" s="1"/>
      <c r="L209" s="1"/>
      <c r="M209" s="1"/>
      <c r="N209" s="1"/>
      <c r="O209" s="1"/>
    </row>
    <row r="210" spans="1:15" x14ac:dyDescent="0.3">
      <c r="A210" s="21"/>
      <c r="C210" s="1"/>
      <c r="D210" s="1"/>
      <c r="E210" s="1"/>
      <c r="F210" s="1"/>
      <c r="G210" s="1"/>
      <c r="H210" s="1"/>
      <c r="I210" s="1"/>
      <c r="J210" s="1"/>
      <c r="K210" s="1"/>
      <c r="L210" s="1"/>
      <c r="M210" s="1"/>
      <c r="N210" s="1"/>
      <c r="O210" s="1"/>
    </row>
    <row r="211" spans="1:15" x14ac:dyDescent="0.3">
      <c r="A211" s="21"/>
      <c r="C211" s="1"/>
      <c r="D211" s="1"/>
      <c r="E211" s="1"/>
      <c r="F211" s="1"/>
      <c r="G211" s="1"/>
      <c r="H211" s="1"/>
      <c r="I211" s="1"/>
      <c r="J211" s="1"/>
      <c r="K211" s="1"/>
      <c r="L211" s="1"/>
      <c r="M211" s="1"/>
      <c r="N211" s="1"/>
      <c r="O211" s="1"/>
    </row>
    <row r="212" spans="1:15" x14ac:dyDescent="0.3">
      <c r="A212" s="21"/>
      <c r="C212" s="1"/>
      <c r="D212" s="1"/>
      <c r="E212" s="1"/>
      <c r="F212" s="1"/>
      <c r="G212" s="1"/>
      <c r="H212" s="1"/>
      <c r="I212" s="1"/>
      <c r="J212" s="1"/>
      <c r="K212" s="1"/>
      <c r="L212" s="1"/>
      <c r="M212" s="1"/>
      <c r="N212" s="1"/>
      <c r="O212" s="1"/>
    </row>
    <row r="213" spans="1:15" x14ac:dyDescent="0.3">
      <c r="A213" s="21"/>
      <c r="C213" s="1"/>
      <c r="D213" s="1"/>
      <c r="E213" s="1"/>
      <c r="F213" s="1"/>
      <c r="G213" s="1"/>
      <c r="H213" s="1"/>
      <c r="I213" s="1"/>
      <c r="J213" s="1"/>
      <c r="K213" s="1"/>
      <c r="L213" s="1"/>
      <c r="M213" s="1"/>
      <c r="N213" s="1"/>
      <c r="O213" s="1"/>
    </row>
    <row r="214" spans="1:15" x14ac:dyDescent="0.3">
      <c r="A214" s="21"/>
      <c r="C214" s="1"/>
      <c r="D214" s="1"/>
      <c r="E214" s="1"/>
      <c r="F214" s="1"/>
      <c r="G214" s="1"/>
      <c r="H214" s="1"/>
      <c r="I214" s="1"/>
      <c r="J214" s="1"/>
      <c r="K214" s="1"/>
      <c r="L214" s="1"/>
      <c r="M214" s="1"/>
      <c r="N214" s="1"/>
      <c r="O214" s="1"/>
    </row>
    <row r="215" spans="1:15" x14ac:dyDescent="0.3">
      <c r="A215" s="21"/>
      <c r="C215" s="1"/>
      <c r="D215" s="1"/>
      <c r="E215" s="1"/>
      <c r="F215" s="1"/>
      <c r="G215" s="1"/>
      <c r="H215" s="1"/>
      <c r="I215" s="1"/>
      <c r="J215" s="1"/>
      <c r="K215" s="1"/>
      <c r="L215" s="1"/>
      <c r="M215" s="1"/>
      <c r="N215" s="1"/>
      <c r="O215" s="1"/>
    </row>
    <row r="216" spans="1:15" x14ac:dyDescent="0.3">
      <c r="A216" s="21"/>
      <c r="C216" s="1"/>
      <c r="D216" s="1"/>
      <c r="E216" s="1"/>
      <c r="F216" s="1"/>
      <c r="G216" s="1"/>
      <c r="H216" s="1"/>
      <c r="I216" s="1"/>
      <c r="J216" s="1"/>
      <c r="K216" s="1"/>
      <c r="L216" s="1"/>
      <c r="M216" s="1"/>
      <c r="N216" s="1"/>
      <c r="O216" s="1"/>
    </row>
    <row r="217" spans="1:15" x14ac:dyDescent="0.3">
      <c r="A217" s="21"/>
      <c r="C217" s="1"/>
      <c r="D217" s="1"/>
      <c r="E217" s="1"/>
      <c r="F217" s="1"/>
      <c r="G217" s="1"/>
      <c r="H217" s="1"/>
      <c r="I217" s="1"/>
      <c r="J217" s="1"/>
      <c r="K217" s="1"/>
      <c r="L217" s="1"/>
      <c r="M217" s="1"/>
      <c r="N217" s="1"/>
      <c r="O217" s="1"/>
    </row>
    <row r="218" spans="1:15" x14ac:dyDescent="0.3">
      <c r="A218" s="21"/>
      <c r="C218" s="1"/>
      <c r="D218" s="1"/>
      <c r="E218" s="1"/>
      <c r="F218" s="1"/>
      <c r="G218" s="1"/>
      <c r="H218" s="1"/>
      <c r="I218" s="1"/>
      <c r="J218" s="1"/>
      <c r="K218" s="1"/>
      <c r="L218" s="1"/>
      <c r="M218" s="1"/>
      <c r="N218" s="1"/>
      <c r="O218" s="1"/>
    </row>
    <row r="219" spans="1:15" x14ac:dyDescent="0.3">
      <c r="A219" s="21"/>
      <c r="C219" s="1"/>
      <c r="D219" s="1"/>
      <c r="E219" s="1"/>
      <c r="F219" s="1"/>
      <c r="G219" s="1"/>
      <c r="H219" s="1"/>
      <c r="I219" s="1"/>
      <c r="J219" s="1"/>
      <c r="K219" s="1"/>
      <c r="L219" s="1"/>
      <c r="M219" s="1"/>
      <c r="N219" s="1"/>
      <c r="O219" s="1"/>
    </row>
    <row r="220" spans="1:15" x14ac:dyDescent="0.3">
      <c r="A220" s="21"/>
      <c r="C220" s="1"/>
      <c r="D220" s="1"/>
      <c r="E220" s="1"/>
      <c r="F220" s="1"/>
      <c r="G220" s="1"/>
      <c r="H220" s="1"/>
      <c r="I220" s="1"/>
      <c r="J220" s="1"/>
      <c r="K220" s="1"/>
      <c r="L220" s="1"/>
      <c r="M220" s="1"/>
      <c r="N220" s="1"/>
      <c r="O220" s="1"/>
    </row>
    <row r="221" spans="1:15" x14ac:dyDescent="0.3">
      <c r="A221" s="21"/>
      <c r="C221" s="1"/>
      <c r="D221" s="1"/>
      <c r="E221" s="1"/>
      <c r="F221" s="1"/>
      <c r="G221" s="1"/>
      <c r="H221" s="1"/>
      <c r="I221" s="1"/>
      <c r="J221" s="1"/>
      <c r="K221" s="1"/>
      <c r="L221" s="1"/>
      <c r="M221" s="1"/>
      <c r="N221" s="1"/>
      <c r="O221" s="1"/>
    </row>
    <row r="222" spans="1:15" x14ac:dyDescent="0.3">
      <c r="A222" s="21"/>
      <c r="C222" s="1"/>
      <c r="D222" s="1"/>
      <c r="E222" s="1"/>
      <c r="F222" s="1"/>
      <c r="G222" s="1"/>
      <c r="H222" s="1"/>
      <c r="I222" s="1"/>
      <c r="J222" s="1"/>
      <c r="K222" s="1"/>
      <c r="L222" s="1"/>
      <c r="M222" s="1"/>
      <c r="N222" s="1"/>
      <c r="O222" s="1"/>
    </row>
    <row r="223" spans="1:15" x14ac:dyDescent="0.3">
      <c r="A223" s="21"/>
      <c r="C223" s="1"/>
      <c r="D223" s="1"/>
      <c r="E223" s="1"/>
      <c r="F223" s="1"/>
      <c r="G223" s="1"/>
      <c r="H223" s="1"/>
      <c r="I223" s="1"/>
      <c r="J223" s="1"/>
      <c r="K223" s="1"/>
      <c r="L223" s="1"/>
      <c r="M223" s="1"/>
      <c r="N223" s="1"/>
      <c r="O223" s="1"/>
    </row>
    <row r="224" spans="1:15" x14ac:dyDescent="0.3">
      <c r="A224" s="21"/>
      <c r="C224" s="1"/>
      <c r="D224" s="1"/>
      <c r="E224" s="1"/>
      <c r="F224" s="1"/>
      <c r="G224" s="1"/>
      <c r="H224" s="1"/>
      <c r="I224" s="1"/>
      <c r="J224" s="1"/>
      <c r="K224" s="1"/>
      <c r="L224" s="1"/>
      <c r="M224" s="1"/>
      <c r="N224" s="1"/>
      <c r="O224" s="1"/>
    </row>
    <row r="225" spans="1:15" x14ac:dyDescent="0.3">
      <c r="A225" s="21"/>
      <c r="C225" s="1"/>
      <c r="D225" s="1"/>
      <c r="E225" s="1"/>
      <c r="F225" s="1"/>
      <c r="G225" s="1"/>
      <c r="H225" s="1"/>
      <c r="I225" s="1"/>
      <c r="J225" s="1"/>
      <c r="K225" s="1"/>
      <c r="L225" s="1"/>
      <c r="M225" s="1"/>
      <c r="N225" s="1"/>
      <c r="O225" s="1"/>
    </row>
    <row r="226" spans="1:15" x14ac:dyDescent="0.3">
      <c r="A226" s="21"/>
      <c r="C226" s="1"/>
      <c r="D226" s="1"/>
      <c r="E226" s="1"/>
      <c r="F226" s="1"/>
      <c r="G226" s="1"/>
      <c r="H226" s="1"/>
      <c r="I226" s="1"/>
      <c r="J226" s="1"/>
      <c r="K226" s="1"/>
      <c r="L226" s="1"/>
      <c r="M226" s="1"/>
      <c r="N226" s="1"/>
      <c r="O226" s="1"/>
    </row>
    <row r="227" spans="1:15" x14ac:dyDescent="0.3">
      <c r="A227" s="21"/>
      <c r="C227" s="1"/>
      <c r="D227" s="1"/>
      <c r="E227" s="1"/>
      <c r="F227" s="1"/>
      <c r="G227" s="1"/>
      <c r="H227" s="1"/>
      <c r="I227" s="1"/>
      <c r="J227" s="1"/>
      <c r="K227" s="1"/>
      <c r="L227" s="1"/>
      <c r="M227" s="1"/>
      <c r="N227" s="1"/>
      <c r="O227" s="1"/>
    </row>
    <row r="228" spans="1:15" x14ac:dyDescent="0.3">
      <c r="A228" s="21"/>
      <c r="C228" s="1"/>
      <c r="D228" s="1"/>
      <c r="E228" s="1"/>
      <c r="F228" s="1"/>
      <c r="G228" s="1"/>
      <c r="H228" s="1"/>
      <c r="I228" s="1"/>
      <c r="J228" s="1"/>
      <c r="K228" s="1"/>
      <c r="L228" s="1"/>
      <c r="M228" s="1"/>
      <c r="N228" s="1"/>
      <c r="O228" s="1"/>
    </row>
    <row r="229" spans="1:15" x14ac:dyDescent="0.3">
      <c r="A229" s="21"/>
      <c r="C229" s="1"/>
      <c r="D229" s="1"/>
      <c r="E229" s="1"/>
      <c r="F229" s="1"/>
      <c r="G229" s="1"/>
      <c r="H229" s="1"/>
      <c r="I229" s="1"/>
      <c r="J229" s="1"/>
      <c r="K229" s="1"/>
      <c r="L229" s="1"/>
      <c r="M229" s="1"/>
      <c r="N229" s="1"/>
      <c r="O229" s="1"/>
    </row>
    <row r="230" spans="1:15" x14ac:dyDescent="0.3">
      <c r="A230" s="21"/>
      <c r="C230" s="1"/>
      <c r="D230" s="1"/>
      <c r="E230" s="1"/>
      <c r="F230" s="1"/>
      <c r="G230" s="1"/>
      <c r="H230" s="1"/>
      <c r="I230" s="1"/>
      <c r="J230" s="1"/>
      <c r="K230" s="1"/>
      <c r="L230" s="1"/>
      <c r="M230" s="1"/>
      <c r="N230" s="1"/>
      <c r="O230" s="1"/>
    </row>
    <row r="231" spans="1:15" x14ac:dyDescent="0.3">
      <c r="A231" s="21"/>
      <c r="C231" s="1"/>
      <c r="D231" s="1"/>
      <c r="E231" s="1"/>
      <c r="F231" s="1"/>
      <c r="G231" s="1"/>
      <c r="H231" s="1"/>
      <c r="I231" s="1"/>
      <c r="J231" s="1"/>
      <c r="K231" s="1"/>
      <c r="L231" s="1"/>
      <c r="M231" s="1"/>
      <c r="N231" s="1"/>
      <c r="O231" s="1"/>
    </row>
    <row r="232" spans="1:15" x14ac:dyDescent="0.3">
      <c r="A232" s="21"/>
      <c r="C232" s="1"/>
      <c r="D232" s="1"/>
      <c r="E232" s="1"/>
      <c r="F232" s="1"/>
      <c r="G232" s="1"/>
      <c r="H232" s="1"/>
      <c r="I232" s="1"/>
      <c r="J232" s="1"/>
      <c r="K232" s="1"/>
      <c r="L232" s="1"/>
      <c r="M232" s="1"/>
      <c r="N232" s="1"/>
      <c r="O232" s="1"/>
    </row>
    <row r="233" spans="1:15" x14ac:dyDescent="0.3">
      <c r="A233" s="21"/>
      <c r="C233" s="1"/>
      <c r="D233" s="1"/>
      <c r="E233" s="1"/>
      <c r="F233" s="1"/>
      <c r="G233" s="1"/>
      <c r="H233" s="1"/>
      <c r="I233" s="1"/>
      <c r="J233" s="1"/>
      <c r="K233" s="1"/>
      <c r="L233" s="1"/>
      <c r="M233" s="1"/>
      <c r="N233" s="1"/>
      <c r="O233" s="1"/>
    </row>
    <row r="234" spans="1:15" x14ac:dyDescent="0.3">
      <c r="A234" s="21"/>
      <c r="C234" s="1"/>
      <c r="D234" s="1"/>
      <c r="E234" s="1"/>
      <c r="F234" s="1"/>
      <c r="G234" s="1"/>
      <c r="H234" s="1"/>
      <c r="I234" s="1"/>
      <c r="J234" s="1"/>
      <c r="K234" s="1"/>
      <c r="L234" s="1"/>
      <c r="M234" s="1"/>
      <c r="N234" s="1"/>
      <c r="O234" s="1"/>
    </row>
    <row r="235" spans="1:15" x14ac:dyDescent="0.3">
      <c r="A235" s="21"/>
      <c r="C235" s="1"/>
      <c r="D235" s="1"/>
      <c r="E235" s="1"/>
      <c r="F235" s="1"/>
      <c r="G235" s="1"/>
      <c r="H235" s="1"/>
      <c r="I235" s="1"/>
      <c r="J235" s="1"/>
      <c r="K235" s="1"/>
      <c r="L235" s="1"/>
      <c r="M235" s="1"/>
      <c r="N235" s="1"/>
      <c r="O235" s="1"/>
    </row>
    <row r="236" spans="1:15" x14ac:dyDescent="0.3">
      <c r="A236" s="21"/>
      <c r="C236" s="1"/>
      <c r="D236" s="1"/>
      <c r="E236" s="1"/>
      <c r="F236" s="1"/>
      <c r="G236" s="1"/>
      <c r="H236" s="1"/>
      <c r="I236" s="1"/>
      <c r="J236" s="1"/>
      <c r="K236" s="1"/>
      <c r="L236" s="1"/>
      <c r="M236" s="1"/>
      <c r="N236" s="1"/>
      <c r="O236" s="1"/>
    </row>
    <row r="237" spans="1:15" x14ac:dyDescent="0.3">
      <c r="A237" s="21"/>
      <c r="C237" s="1"/>
      <c r="D237" s="1"/>
      <c r="E237" s="1"/>
      <c r="F237" s="1"/>
      <c r="G237" s="1"/>
      <c r="H237" s="1"/>
      <c r="I237" s="1"/>
      <c r="J237" s="1"/>
      <c r="K237" s="1"/>
      <c r="L237" s="1"/>
      <c r="M237" s="1"/>
      <c r="N237" s="1"/>
      <c r="O237" s="1"/>
    </row>
    <row r="238" spans="1:15" x14ac:dyDescent="0.3">
      <c r="A238" s="21"/>
      <c r="C238" s="1"/>
      <c r="D238" s="1"/>
      <c r="E238" s="1"/>
      <c r="F238" s="1"/>
      <c r="G238" s="1"/>
      <c r="H238" s="1"/>
      <c r="I238" s="1"/>
      <c r="J238" s="1"/>
      <c r="K238" s="1"/>
      <c r="L238" s="1"/>
      <c r="M238" s="1"/>
      <c r="N238" s="1"/>
      <c r="O238" s="1"/>
    </row>
    <row r="239" spans="1:15" x14ac:dyDescent="0.3">
      <c r="A239" s="21"/>
      <c r="C239" s="1"/>
      <c r="D239" s="1"/>
      <c r="E239" s="1"/>
      <c r="F239" s="1"/>
      <c r="G239" s="1"/>
      <c r="H239" s="1"/>
      <c r="I239" s="1"/>
      <c r="J239" s="1"/>
      <c r="K239" s="1"/>
      <c r="L239" s="1"/>
      <c r="M239" s="1"/>
      <c r="N239" s="1"/>
      <c r="O239" s="1"/>
    </row>
    <row r="240" spans="1:15" x14ac:dyDescent="0.3">
      <c r="A240" s="21"/>
      <c r="C240" s="1"/>
      <c r="D240" s="1"/>
      <c r="E240" s="1"/>
      <c r="F240" s="1"/>
      <c r="G240" s="1"/>
      <c r="H240" s="1"/>
      <c r="I240" s="1"/>
      <c r="J240" s="1"/>
      <c r="K240" s="1"/>
      <c r="L240" s="1"/>
      <c r="M240" s="1"/>
      <c r="N240" s="1"/>
      <c r="O240" s="1"/>
    </row>
    <row r="241" spans="1:15" x14ac:dyDescent="0.3">
      <c r="A241" s="21"/>
      <c r="C241" s="1"/>
      <c r="D241" s="1"/>
      <c r="E241" s="1"/>
      <c r="F241" s="1"/>
      <c r="G241" s="1"/>
      <c r="H241" s="1"/>
      <c r="I241" s="1"/>
      <c r="J241" s="1"/>
      <c r="K241" s="1"/>
      <c r="L241" s="1"/>
      <c r="M241" s="1"/>
      <c r="N241" s="1"/>
      <c r="O241" s="1"/>
    </row>
    <row r="242" spans="1:15" x14ac:dyDescent="0.3">
      <c r="A242" s="21"/>
      <c r="C242" s="1"/>
      <c r="D242" s="1"/>
      <c r="E242" s="1"/>
      <c r="F242" s="1"/>
      <c r="G242" s="1"/>
      <c r="H242" s="1"/>
      <c r="I242" s="1"/>
      <c r="J242" s="1"/>
      <c r="K242" s="1"/>
      <c r="L242" s="1"/>
      <c r="M242" s="1"/>
      <c r="N242" s="1"/>
      <c r="O242" s="1"/>
    </row>
    <row r="243" spans="1:15" x14ac:dyDescent="0.3">
      <c r="A243" s="21"/>
      <c r="C243" s="1"/>
      <c r="D243" s="1"/>
      <c r="E243" s="1"/>
      <c r="F243" s="1"/>
      <c r="G243" s="1"/>
      <c r="H243" s="1"/>
      <c r="I243" s="1"/>
      <c r="J243" s="1"/>
      <c r="K243" s="1"/>
      <c r="L243" s="1"/>
      <c r="M243" s="1"/>
      <c r="N243" s="1"/>
      <c r="O243" s="1"/>
    </row>
    <row r="244" spans="1:15" x14ac:dyDescent="0.3">
      <c r="A244" s="21"/>
      <c r="C244" s="1"/>
      <c r="D244" s="1"/>
      <c r="E244" s="1"/>
      <c r="F244" s="1"/>
      <c r="G244" s="1"/>
      <c r="H244" s="1"/>
      <c r="I244" s="1"/>
      <c r="J244" s="1"/>
      <c r="K244" s="1"/>
      <c r="L244" s="1"/>
      <c r="M244" s="1"/>
      <c r="N244" s="1"/>
      <c r="O244" s="1"/>
    </row>
    <row r="245" spans="1:15" x14ac:dyDescent="0.3">
      <c r="A245" s="21"/>
      <c r="C245" s="1"/>
      <c r="D245" s="1"/>
      <c r="E245" s="1"/>
      <c r="F245" s="1"/>
      <c r="G245" s="1"/>
      <c r="H245" s="1"/>
      <c r="I245" s="1"/>
      <c r="J245" s="1"/>
      <c r="K245" s="1"/>
      <c r="L245" s="1"/>
      <c r="M245" s="1"/>
      <c r="N245" s="1"/>
      <c r="O245" s="1"/>
    </row>
    <row r="246" spans="1:15" x14ac:dyDescent="0.3">
      <c r="A246" s="21"/>
      <c r="C246" s="1"/>
      <c r="D246" s="1"/>
      <c r="E246" s="1"/>
      <c r="F246" s="1"/>
      <c r="G246" s="1"/>
      <c r="H246" s="1"/>
      <c r="I246" s="1"/>
      <c r="J246" s="1"/>
      <c r="K246" s="1"/>
      <c r="L246" s="1"/>
      <c r="M246" s="1"/>
      <c r="N246" s="1"/>
      <c r="O246" s="1"/>
    </row>
    <row r="247" spans="1:15" x14ac:dyDescent="0.3">
      <c r="A247" s="21"/>
      <c r="C247" s="1"/>
      <c r="D247" s="1"/>
      <c r="E247" s="1"/>
      <c r="F247" s="1"/>
      <c r="G247" s="1"/>
      <c r="H247" s="1"/>
      <c r="I247" s="1"/>
      <c r="J247" s="1"/>
      <c r="K247" s="1"/>
      <c r="L247" s="1"/>
      <c r="M247" s="1"/>
      <c r="N247" s="1"/>
      <c r="O247" s="1"/>
    </row>
    <row r="248" spans="1:15" x14ac:dyDescent="0.3">
      <c r="A248" s="21"/>
      <c r="C248" s="1"/>
      <c r="D248" s="1"/>
      <c r="E248" s="1"/>
      <c r="F248" s="1"/>
      <c r="G248" s="1"/>
      <c r="H248" s="1"/>
      <c r="I248" s="1"/>
      <c r="J248" s="1"/>
      <c r="K248" s="1"/>
      <c r="L248" s="1"/>
      <c r="M248" s="1"/>
      <c r="N248" s="1"/>
      <c r="O248" s="1"/>
    </row>
    <row r="249" spans="1:15" x14ac:dyDescent="0.3">
      <c r="A249" s="21"/>
      <c r="C249" s="1"/>
      <c r="D249" s="1"/>
      <c r="E249" s="1"/>
      <c r="F249" s="1"/>
      <c r="G249" s="1"/>
      <c r="H249" s="1"/>
      <c r="I249" s="1"/>
      <c r="J249" s="1"/>
      <c r="K249" s="1"/>
      <c r="L249" s="1"/>
      <c r="M249" s="1"/>
      <c r="N249" s="1"/>
      <c r="O249" s="1"/>
    </row>
    <row r="250" spans="1:15" x14ac:dyDescent="0.3">
      <c r="A250" s="21"/>
      <c r="C250" s="1"/>
      <c r="D250" s="1"/>
      <c r="E250" s="1"/>
      <c r="F250" s="1"/>
      <c r="G250" s="1"/>
      <c r="H250" s="1"/>
      <c r="I250" s="1"/>
      <c r="J250" s="1"/>
      <c r="K250" s="1"/>
      <c r="L250" s="1"/>
      <c r="M250" s="1"/>
      <c r="N250" s="1"/>
      <c r="O250" s="1"/>
    </row>
    <row r="251" spans="1:15" x14ac:dyDescent="0.3">
      <c r="A251" s="21"/>
      <c r="C251" s="1"/>
      <c r="D251" s="1"/>
      <c r="E251" s="1"/>
      <c r="F251" s="1"/>
      <c r="G251" s="1"/>
      <c r="H251" s="1"/>
      <c r="I251" s="1"/>
      <c r="J251" s="1"/>
      <c r="K251" s="1"/>
      <c r="L251" s="1"/>
      <c r="M251" s="1"/>
      <c r="N251" s="1"/>
      <c r="O251" s="1"/>
    </row>
    <row r="252" spans="1:15" x14ac:dyDescent="0.3">
      <c r="A252" s="21"/>
      <c r="C252" s="1"/>
      <c r="D252" s="1"/>
      <c r="E252" s="1"/>
      <c r="F252" s="1"/>
      <c r="G252" s="1"/>
      <c r="H252" s="1"/>
      <c r="I252" s="1"/>
      <c r="J252" s="1"/>
      <c r="K252" s="1"/>
      <c r="L252" s="1"/>
      <c r="M252" s="1"/>
      <c r="N252" s="1"/>
      <c r="O252" s="1"/>
    </row>
    <row r="253" spans="1:15" x14ac:dyDescent="0.3">
      <c r="A253" s="21"/>
      <c r="C253" s="1"/>
      <c r="D253" s="1"/>
      <c r="E253" s="1"/>
      <c r="F253" s="1"/>
      <c r="G253" s="1"/>
      <c r="H253" s="1"/>
      <c r="I253" s="1"/>
      <c r="J253" s="1"/>
      <c r="K253" s="1"/>
      <c r="L253" s="1"/>
      <c r="M253" s="1"/>
      <c r="N253" s="1"/>
      <c r="O253" s="1"/>
    </row>
    <row r="254" spans="1:15" x14ac:dyDescent="0.3">
      <c r="A254" s="21"/>
      <c r="C254" s="1"/>
      <c r="D254" s="1"/>
      <c r="E254" s="1"/>
      <c r="F254" s="1"/>
      <c r="G254" s="1"/>
      <c r="H254" s="1"/>
      <c r="I254" s="1"/>
      <c r="J254" s="1"/>
      <c r="K254" s="1"/>
      <c r="L254" s="1"/>
      <c r="M254" s="1"/>
      <c r="N254" s="1"/>
      <c r="O254" s="1"/>
    </row>
    <row r="255" spans="1:15" x14ac:dyDescent="0.3">
      <c r="A255" s="21"/>
      <c r="C255" s="1"/>
      <c r="D255" s="1"/>
      <c r="E255" s="1"/>
      <c r="F255" s="1"/>
      <c r="G255" s="1"/>
      <c r="H255" s="1"/>
      <c r="I255" s="1"/>
      <c r="J255" s="1"/>
      <c r="K255" s="1"/>
      <c r="L255" s="1"/>
      <c r="M255" s="1"/>
      <c r="N255" s="1"/>
      <c r="O255" s="1"/>
    </row>
    <row r="256" spans="1:15" x14ac:dyDescent="0.3">
      <c r="A256" s="21"/>
      <c r="C256" s="1"/>
      <c r="D256" s="1"/>
      <c r="E256" s="1"/>
      <c r="F256" s="1"/>
      <c r="G256" s="1"/>
      <c r="H256" s="1"/>
      <c r="I256" s="1"/>
      <c r="J256" s="1"/>
      <c r="K256" s="1"/>
      <c r="L256" s="1"/>
      <c r="M256" s="1"/>
      <c r="N256" s="1"/>
      <c r="O256" s="1"/>
    </row>
    <row r="257" spans="1:15" x14ac:dyDescent="0.3">
      <c r="A257" s="21"/>
      <c r="C257" s="1"/>
      <c r="D257" s="1"/>
      <c r="E257" s="1"/>
      <c r="F257" s="1"/>
      <c r="G257" s="1"/>
      <c r="H257" s="1"/>
      <c r="I257" s="1"/>
      <c r="J257" s="1"/>
      <c r="K257" s="1"/>
      <c r="L257" s="1"/>
      <c r="M257" s="1"/>
      <c r="N257" s="1"/>
      <c r="O257" s="1"/>
    </row>
    <row r="258" spans="1:15" x14ac:dyDescent="0.3">
      <c r="A258" s="21"/>
      <c r="C258" s="1"/>
      <c r="D258" s="1"/>
      <c r="E258" s="1"/>
      <c r="F258" s="1"/>
      <c r="G258" s="1"/>
      <c r="H258" s="1"/>
      <c r="I258" s="1"/>
      <c r="J258" s="1"/>
      <c r="K258" s="1"/>
      <c r="L258" s="1"/>
      <c r="M258" s="1"/>
      <c r="N258" s="1"/>
      <c r="O258" s="1"/>
    </row>
    <row r="259" spans="1:15" x14ac:dyDescent="0.3">
      <c r="A259" s="21"/>
      <c r="C259" s="1"/>
      <c r="D259" s="1"/>
      <c r="E259" s="1"/>
      <c r="F259" s="1"/>
      <c r="G259" s="1"/>
      <c r="H259" s="1"/>
      <c r="I259" s="1"/>
      <c r="J259" s="1"/>
      <c r="K259" s="1"/>
      <c r="L259" s="1"/>
      <c r="M259" s="1"/>
      <c r="N259" s="1"/>
      <c r="O259" s="1"/>
    </row>
    <row r="260" spans="1:15" x14ac:dyDescent="0.3">
      <c r="A260" s="21"/>
      <c r="C260" s="1"/>
      <c r="D260" s="1"/>
      <c r="E260" s="1"/>
      <c r="F260" s="1"/>
      <c r="G260" s="1"/>
      <c r="H260" s="1"/>
      <c r="I260" s="1"/>
      <c r="J260" s="1"/>
      <c r="K260" s="1"/>
      <c r="L260" s="1"/>
      <c r="M260" s="1"/>
      <c r="N260" s="1"/>
      <c r="O260" s="1"/>
    </row>
    <row r="261" spans="1:15" x14ac:dyDescent="0.3">
      <c r="A261" s="21"/>
      <c r="C261" s="1"/>
      <c r="D261" s="1"/>
      <c r="E261" s="1"/>
      <c r="F261" s="1"/>
      <c r="G261" s="1"/>
      <c r="H261" s="1"/>
      <c r="I261" s="1"/>
      <c r="J261" s="1"/>
      <c r="K261" s="1"/>
      <c r="L261" s="1"/>
      <c r="M261" s="1"/>
      <c r="N261" s="1"/>
      <c r="O261" s="1"/>
    </row>
    <row r="262" spans="1:15" x14ac:dyDescent="0.3">
      <c r="A262" s="21"/>
      <c r="C262" s="1"/>
      <c r="D262" s="1"/>
      <c r="E262" s="1"/>
      <c r="F262" s="1"/>
      <c r="G262" s="1"/>
      <c r="H262" s="1"/>
      <c r="I262" s="1"/>
      <c r="J262" s="1"/>
      <c r="K262" s="1"/>
      <c r="L262" s="1"/>
      <c r="M262" s="1"/>
      <c r="N262" s="1"/>
      <c r="O262" s="1"/>
    </row>
    <row r="263" spans="1:15" x14ac:dyDescent="0.3">
      <c r="A263" s="21"/>
      <c r="C263" s="1"/>
      <c r="D263" s="1"/>
      <c r="E263" s="1"/>
      <c r="F263" s="1"/>
      <c r="G263" s="1"/>
      <c r="H263" s="1"/>
      <c r="I263" s="1"/>
      <c r="J263" s="1"/>
      <c r="K263" s="1"/>
      <c r="L263" s="1"/>
      <c r="M263" s="1"/>
      <c r="N263" s="1"/>
      <c r="O263" s="1"/>
    </row>
    <row r="264" spans="1:15" x14ac:dyDescent="0.3">
      <c r="A264" s="21"/>
      <c r="C264" s="1"/>
      <c r="D264" s="1"/>
      <c r="E264" s="1"/>
      <c r="F264" s="1"/>
      <c r="G264" s="1"/>
      <c r="H264" s="1"/>
      <c r="I264" s="1"/>
      <c r="J264" s="1"/>
      <c r="K264" s="1"/>
      <c r="L264" s="1"/>
      <c r="M264" s="1"/>
      <c r="N264" s="1"/>
      <c r="O264" s="1"/>
    </row>
    <row r="265" spans="1:15" x14ac:dyDescent="0.3">
      <c r="A265" s="21"/>
      <c r="C265" s="1"/>
      <c r="D265" s="1"/>
      <c r="E265" s="1"/>
      <c r="F265" s="1"/>
      <c r="G265" s="1"/>
      <c r="H265" s="1"/>
      <c r="I265" s="1"/>
      <c r="J265" s="1"/>
      <c r="K265" s="1"/>
      <c r="L265" s="1"/>
      <c r="M265" s="1"/>
      <c r="N265" s="1"/>
      <c r="O265" s="1"/>
    </row>
    <row r="266" spans="1:15" x14ac:dyDescent="0.3">
      <c r="A266" s="21"/>
      <c r="C266" s="1"/>
      <c r="D266" s="1"/>
      <c r="E266" s="1"/>
      <c r="F266" s="1"/>
      <c r="G266" s="1"/>
      <c r="H266" s="1"/>
      <c r="I266" s="1"/>
      <c r="J266" s="1"/>
      <c r="K266" s="1"/>
      <c r="L266" s="1"/>
      <c r="M266" s="1"/>
      <c r="N266" s="1"/>
      <c r="O266" s="1"/>
    </row>
    <row r="267" spans="1:15" x14ac:dyDescent="0.3">
      <c r="A267" s="21"/>
      <c r="C267" s="1"/>
      <c r="D267" s="1"/>
      <c r="E267" s="1"/>
      <c r="F267" s="1"/>
      <c r="G267" s="1"/>
      <c r="H267" s="1"/>
      <c r="I267" s="1"/>
      <c r="J267" s="1"/>
      <c r="K267" s="1"/>
      <c r="L267" s="1"/>
      <c r="M267" s="1"/>
      <c r="N267" s="1"/>
      <c r="O267" s="1"/>
    </row>
    <row r="268" spans="1:15" x14ac:dyDescent="0.3">
      <c r="A268" s="21"/>
      <c r="C268" s="1"/>
      <c r="D268" s="1"/>
      <c r="E268" s="1"/>
      <c r="F268" s="1"/>
      <c r="G268" s="1"/>
      <c r="H268" s="1"/>
      <c r="I268" s="1"/>
      <c r="J268" s="1"/>
      <c r="K268" s="1"/>
      <c r="L268" s="1"/>
      <c r="M268" s="1"/>
      <c r="N268" s="1"/>
      <c r="O268" s="1"/>
    </row>
    <row r="269" spans="1:15" x14ac:dyDescent="0.3">
      <c r="A269" s="21"/>
      <c r="C269" s="1"/>
      <c r="D269" s="1"/>
      <c r="E269" s="1"/>
      <c r="F269" s="1"/>
      <c r="G269" s="1"/>
      <c r="H269" s="1"/>
      <c r="I269" s="1"/>
      <c r="J269" s="1"/>
      <c r="K269" s="1"/>
      <c r="L269" s="1"/>
      <c r="M269" s="1"/>
      <c r="N269" s="1"/>
      <c r="O269" s="1"/>
    </row>
    <row r="270" spans="1:15" x14ac:dyDescent="0.3">
      <c r="A270" s="21"/>
      <c r="C270" s="1"/>
      <c r="D270" s="1"/>
      <c r="E270" s="1"/>
      <c r="F270" s="1"/>
      <c r="G270" s="1"/>
      <c r="H270" s="1"/>
      <c r="I270" s="1"/>
      <c r="J270" s="1"/>
      <c r="K270" s="1"/>
      <c r="L270" s="1"/>
      <c r="M270" s="1"/>
      <c r="N270" s="1"/>
      <c r="O270" s="1"/>
    </row>
    <row r="271" spans="1:15" x14ac:dyDescent="0.3">
      <c r="A271" s="21"/>
      <c r="C271" s="1"/>
      <c r="D271" s="1"/>
      <c r="E271" s="1"/>
      <c r="F271" s="1"/>
      <c r="G271" s="1"/>
      <c r="H271" s="1"/>
      <c r="I271" s="1"/>
      <c r="J271" s="1"/>
      <c r="K271" s="1"/>
      <c r="L271" s="1"/>
      <c r="M271" s="1"/>
      <c r="N271" s="1"/>
      <c r="O271" s="1"/>
    </row>
    <row r="272" spans="1:15" x14ac:dyDescent="0.3">
      <c r="A272" s="21"/>
      <c r="C272" s="1"/>
      <c r="D272" s="1"/>
      <c r="E272" s="1"/>
      <c r="F272" s="1"/>
      <c r="G272" s="1"/>
      <c r="H272" s="1"/>
      <c r="I272" s="1"/>
      <c r="J272" s="1"/>
      <c r="K272" s="1"/>
      <c r="L272" s="1"/>
      <c r="M272" s="1"/>
      <c r="N272" s="1"/>
      <c r="O272" s="1"/>
    </row>
    <row r="273" spans="1:15" x14ac:dyDescent="0.3">
      <c r="A273" s="21"/>
      <c r="C273" s="1"/>
      <c r="D273" s="1"/>
      <c r="E273" s="1"/>
      <c r="F273" s="1"/>
      <c r="G273" s="1"/>
      <c r="H273" s="1"/>
      <c r="I273" s="1"/>
      <c r="J273" s="1"/>
      <c r="K273" s="1"/>
      <c r="L273" s="1"/>
      <c r="M273" s="1"/>
      <c r="N273" s="1"/>
      <c r="O273" s="1"/>
    </row>
    <row r="274" spans="1:15" x14ac:dyDescent="0.3">
      <c r="A274" s="21"/>
      <c r="C274" s="1"/>
      <c r="D274" s="1"/>
      <c r="E274" s="1"/>
      <c r="F274" s="1"/>
      <c r="G274" s="1"/>
      <c r="H274" s="1"/>
      <c r="I274" s="1"/>
      <c r="J274" s="1"/>
      <c r="K274" s="1"/>
      <c r="L274" s="1"/>
      <c r="M274" s="1"/>
      <c r="N274" s="1"/>
      <c r="O274" s="1"/>
    </row>
    <row r="275" spans="1:15" x14ac:dyDescent="0.3">
      <c r="A275" s="21"/>
      <c r="C275" s="1"/>
      <c r="D275" s="1"/>
      <c r="E275" s="1"/>
      <c r="F275" s="1"/>
      <c r="G275" s="1"/>
      <c r="H275" s="1"/>
      <c r="I275" s="1"/>
      <c r="J275" s="1"/>
      <c r="K275" s="1"/>
      <c r="L275" s="1"/>
      <c r="M275" s="1"/>
      <c r="N275" s="1"/>
      <c r="O275" s="1"/>
    </row>
    <row r="276" spans="1:15" x14ac:dyDescent="0.3">
      <c r="A276" s="21"/>
      <c r="C276" s="1"/>
      <c r="D276" s="1"/>
      <c r="E276" s="1"/>
      <c r="F276" s="1"/>
      <c r="G276" s="1"/>
      <c r="H276" s="1"/>
      <c r="I276" s="1"/>
      <c r="J276" s="1"/>
      <c r="K276" s="1"/>
      <c r="L276" s="1"/>
      <c r="M276" s="1"/>
      <c r="N276" s="1"/>
      <c r="O276" s="1"/>
    </row>
    <row r="277" spans="1:15" x14ac:dyDescent="0.3">
      <c r="A277" s="21"/>
      <c r="C277" s="1"/>
      <c r="D277" s="1"/>
      <c r="E277" s="1"/>
      <c r="F277" s="1"/>
      <c r="G277" s="1"/>
      <c r="H277" s="1"/>
      <c r="I277" s="1"/>
      <c r="J277" s="1"/>
      <c r="K277" s="1"/>
      <c r="L277" s="1"/>
      <c r="M277" s="1"/>
      <c r="N277" s="1"/>
      <c r="O277" s="1"/>
    </row>
    <row r="278" spans="1:15" x14ac:dyDescent="0.3">
      <c r="A278" s="21"/>
      <c r="C278" s="1"/>
      <c r="D278" s="1"/>
      <c r="E278" s="1"/>
      <c r="F278" s="1"/>
      <c r="G278" s="1"/>
      <c r="H278" s="1"/>
      <c r="I278" s="1"/>
      <c r="J278" s="1"/>
      <c r="K278" s="1"/>
      <c r="L278" s="1"/>
      <c r="M278" s="1"/>
      <c r="N278" s="1"/>
      <c r="O278" s="1"/>
    </row>
    <row r="279" spans="1:15" x14ac:dyDescent="0.3">
      <c r="A279" s="21"/>
      <c r="C279" s="1"/>
      <c r="D279" s="1"/>
      <c r="E279" s="1"/>
      <c r="F279" s="1"/>
      <c r="G279" s="1"/>
      <c r="H279" s="1"/>
      <c r="I279" s="1"/>
      <c r="J279" s="1"/>
      <c r="K279" s="1"/>
      <c r="L279" s="1"/>
      <c r="M279" s="1"/>
      <c r="N279" s="1"/>
      <c r="O279" s="1"/>
    </row>
    <row r="280" spans="1:15" x14ac:dyDescent="0.3">
      <c r="A280" s="21"/>
      <c r="C280" s="1"/>
      <c r="D280" s="1"/>
      <c r="E280" s="1"/>
      <c r="F280" s="1"/>
      <c r="G280" s="1"/>
      <c r="H280" s="1"/>
      <c r="I280" s="1"/>
      <c r="J280" s="1"/>
      <c r="K280" s="1"/>
      <c r="L280" s="1"/>
      <c r="M280" s="1"/>
      <c r="N280" s="1"/>
      <c r="O280" s="1"/>
    </row>
    <row r="281" spans="1:15" x14ac:dyDescent="0.3">
      <c r="A281" s="21"/>
      <c r="C281" s="1"/>
      <c r="D281" s="1"/>
      <c r="E281" s="1"/>
      <c r="F281" s="1"/>
      <c r="G281" s="1"/>
      <c r="H281" s="1"/>
      <c r="I281" s="1"/>
      <c r="J281" s="1"/>
      <c r="K281" s="1"/>
      <c r="L281" s="1"/>
      <c r="M281" s="1"/>
      <c r="N281" s="1"/>
      <c r="O281" s="1"/>
    </row>
    <row r="282" spans="1:15" x14ac:dyDescent="0.3">
      <c r="A282" s="21"/>
      <c r="C282" s="1"/>
      <c r="D282" s="1"/>
      <c r="E282" s="1"/>
      <c r="F282" s="1"/>
      <c r="G282" s="1"/>
      <c r="H282" s="1"/>
      <c r="I282" s="1"/>
      <c r="J282" s="1"/>
      <c r="K282" s="1"/>
      <c r="L282" s="1"/>
      <c r="M282" s="1"/>
      <c r="N282" s="1"/>
      <c r="O282" s="1"/>
    </row>
    <row r="283" spans="1:15" x14ac:dyDescent="0.3">
      <c r="A283" s="21"/>
      <c r="C283" s="1"/>
      <c r="D283" s="1"/>
      <c r="E283" s="1"/>
      <c r="F283" s="1"/>
      <c r="G283" s="1"/>
      <c r="H283" s="1"/>
      <c r="I283" s="1"/>
      <c r="J283" s="1"/>
      <c r="K283" s="1"/>
      <c r="L283" s="1"/>
      <c r="M283" s="1"/>
      <c r="N283" s="1"/>
      <c r="O283" s="1"/>
    </row>
    <row r="284" spans="1:15" x14ac:dyDescent="0.3">
      <c r="A284" s="21"/>
      <c r="C284" s="1"/>
      <c r="D284" s="1"/>
      <c r="E284" s="1"/>
      <c r="F284" s="1"/>
      <c r="G284" s="1"/>
      <c r="H284" s="1"/>
      <c r="I284" s="1"/>
      <c r="J284" s="1"/>
      <c r="K284" s="1"/>
      <c r="L284" s="1"/>
      <c r="M284" s="1"/>
      <c r="N284" s="1"/>
      <c r="O284" s="1"/>
    </row>
    <row r="285" spans="1:15" x14ac:dyDescent="0.3">
      <c r="A285" s="21"/>
      <c r="C285" s="1"/>
      <c r="D285" s="1"/>
      <c r="E285" s="1"/>
      <c r="F285" s="1"/>
      <c r="G285" s="1"/>
      <c r="H285" s="1"/>
      <c r="I285" s="1"/>
      <c r="J285" s="1"/>
      <c r="K285" s="1"/>
      <c r="L285" s="1"/>
      <c r="M285" s="1"/>
      <c r="N285" s="1"/>
      <c r="O285" s="1"/>
    </row>
    <row r="286" spans="1:15" x14ac:dyDescent="0.3">
      <c r="A286" s="21"/>
      <c r="C286" s="1"/>
      <c r="D286" s="1"/>
      <c r="E286" s="1"/>
      <c r="F286" s="1"/>
      <c r="G286" s="1"/>
      <c r="H286" s="1"/>
      <c r="I286" s="1"/>
      <c r="J286" s="1"/>
      <c r="K286" s="1"/>
      <c r="L286" s="1"/>
      <c r="M286" s="1"/>
      <c r="N286" s="1"/>
      <c r="O286" s="1"/>
    </row>
    <row r="287" spans="1:15" x14ac:dyDescent="0.3">
      <c r="A287" s="21"/>
      <c r="C287" s="1"/>
      <c r="D287" s="1"/>
      <c r="E287" s="1"/>
      <c r="F287" s="1"/>
      <c r="G287" s="1"/>
      <c r="H287" s="1"/>
      <c r="I287" s="1"/>
      <c r="J287" s="1"/>
      <c r="K287" s="1"/>
      <c r="L287" s="1"/>
      <c r="M287" s="1"/>
      <c r="N287" s="1"/>
      <c r="O287" s="1"/>
    </row>
  </sheetData>
  <mergeCells count="6">
    <mergeCell ref="B123:C123"/>
    <mergeCell ref="A108:C108"/>
    <mergeCell ref="B119:C119"/>
    <mergeCell ref="B121:C121"/>
    <mergeCell ref="B120:C120"/>
    <mergeCell ref="B122:C122"/>
  </mergeCells>
  <conditionalFormatting sqref="A1:XFD99 A100:J101 L100:XFD101 A102:XFD1048576">
    <cfRule type="cellIs" dxfId="1" priority="1" operator="lessThan">
      <formula>-1</formula>
    </cfRule>
  </conditionalFormatting>
  <pageMargins left="0.7" right="0.7" top="0.75" bottom="0.75" header="0.3" footer="0.3"/>
  <pageSetup scale="35" fitToHeight="0" orientation="portrait" horizontalDpi="300" verticalDpi="300" r:id="rId1"/>
  <headerFooter>
    <oddHeader>&amp;C&amp;"-,Bold"&amp;28&amp;A&amp;R&amp;"-,Bold"&amp;28&amp;P</oddHeader>
  </headerFooter>
  <rowBreaks count="1" manualBreakCount="1">
    <brk id="103" max="14"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8D8D-245B-4119-83C2-4703A33C5DC9}">
  <sheetPr>
    <tabColor theme="4" tint="0.59999389629810485"/>
    <pageSetUpPr autoPageBreaks="0" fitToPage="1"/>
  </sheetPr>
  <dimension ref="A1:N57"/>
  <sheetViews>
    <sheetView zoomScaleNormal="100" workbookViewId="0">
      <pane ySplit="1" topLeftCell="A7" activePane="bottomLeft" state="frozen"/>
      <selection pane="bottomLeft" activeCell="C11" sqref="C11"/>
    </sheetView>
  </sheetViews>
  <sheetFormatPr defaultColWidth="11.09765625" defaultRowHeight="15.6" x14ac:dyDescent="0.3"/>
  <cols>
    <col min="1" max="1" width="38.5" customWidth="1"/>
    <col min="2" max="2" width="17.59765625" customWidth="1"/>
    <col min="3" max="3" width="5.59765625" customWidth="1"/>
    <col min="4" max="4" width="20.59765625" customWidth="1"/>
    <col min="5" max="5" width="6.19921875" customWidth="1"/>
    <col min="6" max="6" width="12.59765625" customWidth="1"/>
    <col min="7" max="7" width="9.09765625" customWidth="1"/>
    <col min="8" max="8" width="9.19921875" customWidth="1"/>
    <col min="12" max="12" width="9.69921875" customWidth="1"/>
    <col min="13" max="13" width="6.09765625" customWidth="1"/>
    <col min="14" max="14" width="9.59765625" customWidth="1"/>
    <col min="15" max="15" width="7" customWidth="1"/>
    <col min="16" max="16" width="7.59765625" bestFit="1" customWidth="1"/>
    <col min="17" max="17" width="11" bestFit="1" customWidth="1"/>
    <col min="18" max="18" width="7.09765625" bestFit="1" customWidth="1"/>
    <col min="19" max="19" width="10.59765625" bestFit="1" customWidth="1"/>
    <col min="20" max="20" width="5.5" bestFit="1" customWidth="1"/>
    <col min="22" max="22" width="9.59765625" bestFit="1" customWidth="1"/>
  </cols>
  <sheetData>
    <row r="1" spans="1:14" x14ac:dyDescent="0.3">
      <c r="A1" s="4" t="s">
        <v>178</v>
      </c>
      <c r="E1" s="5"/>
      <c r="F1" s="6"/>
    </row>
    <row r="2" spans="1:14" ht="16.2" thickBot="1" x14ac:dyDescent="0.35">
      <c r="H2" t="s">
        <v>9</v>
      </c>
    </row>
    <row r="3" spans="1:14" ht="16.2" thickBot="1" x14ac:dyDescent="0.35">
      <c r="A3" s="106" t="s">
        <v>19</v>
      </c>
      <c r="B3" s="262"/>
      <c r="D3" s="69" t="s">
        <v>0</v>
      </c>
      <c r="E3" s="70"/>
      <c r="F3" s="70"/>
      <c r="G3" s="70"/>
      <c r="H3" s="70"/>
      <c r="I3" s="71"/>
      <c r="J3" s="72"/>
      <c r="K3" s="73"/>
    </row>
    <row r="4" spans="1:14" ht="29.4" thickBot="1" x14ac:dyDescent="0.35">
      <c r="A4" s="263" t="s">
        <v>24</v>
      </c>
      <c r="B4" s="264" t="s">
        <v>81</v>
      </c>
      <c r="D4" s="60" t="s">
        <v>1</v>
      </c>
      <c r="E4" s="61" t="s">
        <v>2</v>
      </c>
      <c r="F4" s="61" t="s">
        <v>3</v>
      </c>
      <c r="G4" s="61" t="s">
        <v>182</v>
      </c>
      <c r="H4" s="61" t="s">
        <v>181</v>
      </c>
      <c r="I4" s="62" t="s">
        <v>6</v>
      </c>
      <c r="J4" s="63" t="s">
        <v>7</v>
      </c>
      <c r="K4" s="74" t="s">
        <v>8</v>
      </c>
    </row>
    <row r="5" spans="1:14" x14ac:dyDescent="0.3">
      <c r="A5" s="127" t="s">
        <v>26</v>
      </c>
      <c r="B5" s="265" t="s">
        <v>183</v>
      </c>
      <c r="D5" s="75" t="s">
        <v>180</v>
      </c>
      <c r="E5" s="198">
        <v>100</v>
      </c>
      <c r="F5" s="76">
        <f>+E5/$E$12</f>
        <v>0.22988505747126436</v>
      </c>
      <c r="G5" s="198">
        <v>500</v>
      </c>
      <c r="H5" s="198">
        <f t="shared" ref="H5:H11" si="0">+G5*E5</f>
        <v>50000</v>
      </c>
      <c r="I5" s="187">
        <v>1750</v>
      </c>
      <c r="J5" s="2">
        <f t="shared" ref="J5:J11" si="1">+(I5*12)/G5</f>
        <v>42</v>
      </c>
      <c r="K5" s="77">
        <f t="shared" ref="K5:K11" si="2">+I5*12*E5</f>
        <v>2100000</v>
      </c>
    </row>
    <row r="6" spans="1:14" x14ac:dyDescent="0.3">
      <c r="A6" s="207" t="s">
        <v>28</v>
      </c>
      <c r="B6" s="266" t="s">
        <v>83</v>
      </c>
      <c r="D6" s="75" t="s">
        <v>10</v>
      </c>
      <c r="E6" s="198">
        <v>150</v>
      </c>
      <c r="F6" s="76">
        <f t="shared" ref="F6:F11" si="3">+E6/$E$12</f>
        <v>0.34482758620689657</v>
      </c>
      <c r="G6" s="198">
        <v>700</v>
      </c>
      <c r="H6" s="198">
        <f t="shared" si="0"/>
        <v>105000</v>
      </c>
      <c r="I6" s="187">
        <v>2100</v>
      </c>
      <c r="J6" s="2">
        <f t="shared" si="1"/>
        <v>36</v>
      </c>
      <c r="K6" s="77">
        <f t="shared" si="2"/>
        <v>3780000</v>
      </c>
    </row>
    <row r="7" spans="1:14" x14ac:dyDescent="0.3">
      <c r="A7" s="151" t="s">
        <v>30</v>
      </c>
      <c r="B7" s="267"/>
      <c r="D7" s="75" t="s">
        <v>11</v>
      </c>
      <c r="E7" s="198">
        <v>50</v>
      </c>
      <c r="F7" s="76">
        <f t="shared" si="3"/>
        <v>0.11494252873563218</v>
      </c>
      <c r="G7" s="198">
        <v>800</v>
      </c>
      <c r="H7" s="198">
        <f t="shared" si="0"/>
        <v>40000</v>
      </c>
      <c r="I7" s="187">
        <v>2200</v>
      </c>
      <c r="J7" s="2">
        <f t="shared" si="1"/>
        <v>33</v>
      </c>
      <c r="K7" s="77">
        <f t="shared" si="2"/>
        <v>1320000</v>
      </c>
    </row>
    <row r="8" spans="1:14" x14ac:dyDescent="0.3">
      <c r="A8" s="127" t="s">
        <v>32</v>
      </c>
      <c r="B8" s="268">
        <v>0</v>
      </c>
      <c r="D8" s="75" t="s">
        <v>12</v>
      </c>
      <c r="E8" s="198">
        <v>125</v>
      </c>
      <c r="F8" s="76">
        <f t="shared" si="3"/>
        <v>0.28735632183908044</v>
      </c>
      <c r="G8" s="198">
        <v>1200</v>
      </c>
      <c r="H8" s="198">
        <f t="shared" si="0"/>
        <v>150000</v>
      </c>
      <c r="I8" s="187">
        <v>2400</v>
      </c>
      <c r="J8" s="2">
        <f t="shared" si="1"/>
        <v>24</v>
      </c>
      <c r="K8" s="77">
        <f t="shared" si="2"/>
        <v>3600000</v>
      </c>
    </row>
    <row r="9" spans="1:14" x14ac:dyDescent="0.3">
      <c r="A9" s="127" t="s">
        <v>34</v>
      </c>
      <c r="B9" s="269">
        <f>H12</f>
        <v>452500</v>
      </c>
      <c r="D9" s="75" t="s">
        <v>13</v>
      </c>
      <c r="E9" s="198">
        <v>75</v>
      </c>
      <c r="F9" s="76">
        <f t="shared" si="3"/>
        <v>0.17241379310344829</v>
      </c>
      <c r="G9" s="198">
        <v>1400</v>
      </c>
      <c r="H9" s="198">
        <f t="shared" si="0"/>
        <v>105000</v>
      </c>
      <c r="I9" s="187">
        <v>2500</v>
      </c>
      <c r="J9" s="2">
        <f t="shared" si="1"/>
        <v>21.428571428571427</v>
      </c>
      <c r="K9" s="77">
        <f t="shared" si="2"/>
        <v>2250000</v>
      </c>
    </row>
    <row r="10" spans="1:14" x14ac:dyDescent="0.3">
      <c r="A10" s="127" t="s">
        <v>36</v>
      </c>
      <c r="B10" s="268">
        <v>0</v>
      </c>
      <c r="D10" s="75" t="s">
        <v>14</v>
      </c>
      <c r="E10" s="198">
        <v>35</v>
      </c>
      <c r="F10" s="76">
        <f t="shared" si="3"/>
        <v>8.0459770114942528E-2</v>
      </c>
      <c r="G10" s="198">
        <v>1500</v>
      </c>
      <c r="H10" s="198">
        <f t="shared" si="0"/>
        <v>52500</v>
      </c>
      <c r="I10" s="187">
        <v>2800</v>
      </c>
      <c r="J10" s="2">
        <f t="shared" si="1"/>
        <v>22.4</v>
      </c>
      <c r="K10" s="77">
        <f t="shared" si="2"/>
        <v>1176000</v>
      </c>
      <c r="N10" s="3"/>
    </row>
    <row r="11" spans="1:14" x14ac:dyDescent="0.3">
      <c r="A11" s="127" t="s">
        <v>38</v>
      </c>
      <c r="B11" s="269">
        <f>B9+B10</f>
        <v>452500</v>
      </c>
      <c r="D11" s="75" t="s">
        <v>179</v>
      </c>
      <c r="E11" s="198">
        <v>25</v>
      </c>
      <c r="F11" s="76">
        <f t="shared" si="3"/>
        <v>5.7471264367816091E-2</v>
      </c>
      <c r="G11" s="198">
        <v>1750</v>
      </c>
      <c r="H11" s="198">
        <f t="shared" si="0"/>
        <v>43750</v>
      </c>
      <c r="I11" s="187">
        <v>3000</v>
      </c>
      <c r="J11" s="2">
        <f t="shared" si="1"/>
        <v>20.571428571428573</v>
      </c>
      <c r="K11" s="77">
        <f t="shared" si="2"/>
        <v>900000</v>
      </c>
    </row>
    <row r="12" spans="1:14" x14ac:dyDescent="0.3">
      <c r="A12" s="127" t="s">
        <v>40</v>
      </c>
      <c r="B12" s="270">
        <v>0</v>
      </c>
      <c r="D12" s="78" t="s">
        <v>110</v>
      </c>
      <c r="E12" s="300">
        <f>SUM(E6:E10)</f>
        <v>435</v>
      </c>
      <c r="F12" s="79">
        <f t="shared" ref="F12:K12" si="4">SUM(F6:F10)</f>
        <v>1</v>
      </c>
      <c r="G12" s="300">
        <f t="shared" si="4"/>
        <v>5600</v>
      </c>
      <c r="H12" s="300">
        <f t="shared" si="4"/>
        <v>452500</v>
      </c>
      <c r="I12" s="259">
        <f t="shared" si="4"/>
        <v>12000</v>
      </c>
      <c r="J12" s="260">
        <f t="shared" si="4"/>
        <v>136.82857142857142</v>
      </c>
      <c r="K12" s="80">
        <f t="shared" si="4"/>
        <v>12126000</v>
      </c>
    </row>
    <row r="13" spans="1:14" ht="16.2" thickBot="1" x14ac:dyDescent="0.35">
      <c r="A13" s="127" t="s">
        <v>42</v>
      </c>
      <c r="B13" s="269">
        <f>E12</f>
        <v>435</v>
      </c>
      <c r="D13" s="81" t="s">
        <v>184</v>
      </c>
      <c r="E13" s="82">
        <f>+AVERAGE(E5:E11)</f>
        <v>80</v>
      </c>
      <c r="F13" s="83">
        <f t="shared" ref="F13:K13" si="5">+AVERAGE(F5:F11)</f>
        <v>0.18390804597701149</v>
      </c>
      <c r="G13" s="82">
        <f t="shared" si="5"/>
        <v>1121.4285714285713</v>
      </c>
      <c r="H13" s="82">
        <f t="shared" si="5"/>
        <v>78035.71428571429</v>
      </c>
      <c r="I13" s="84">
        <f t="shared" si="5"/>
        <v>2392.8571428571427</v>
      </c>
      <c r="J13" s="85">
        <f t="shared" si="5"/>
        <v>28.485714285714288</v>
      </c>
      <c r="K13" s="86">
        <f t="shared" si="5"/>
        <v>2160857.1428571427</v>
      </c>
    </row>
    <row r="14" spans="1:14" ht="16.2" thickBot="1" x14ac:dyDescent="0.35">
      <c r="A14" s="127" t="s">
        <v>44</v>
      </c>
      <c r="B14" s="269">
        <f>G13</f>
        <v>1121.4285714285713</v>
      </c>
      <c r="D14" s="17"/>
      <c r="E14" s="64"/>
      <c r="F14" s="65"/>
      <c r="G14" s="66"/>
      <c r="H14" s="66"/>
      <c r="I14" s="67"/>
      <c r="J14" s="68"/>
      <c r="K14" s="67"/>
    </row>
    <row r="15" spans="1:14" ht="16.2" thickBot="1" x14ac:dyDescent="0.35">
      <c r="A15" s="127" t="s">
        <v>46</v>
      </c>
      <c r="B15" s="269">
        <v>700</v>
      </c>
      <c r="D15" s="96" t="s">
        <v>91</v>
      </c>
      <c r="E15" s="97"/>
      <c r="F15" s="99">
        <v>3.2500000000000001E-2</v>
      </c>
      <c r="G15" s="66"/>
      <c r="H15" s="66"/>
      <c r="I15" s="67"/>
      <c r="J15" s="68"/>
      <c r="K15" s="67"/>
    </row>
    <row r="16" spans="1:14" ht="16.2" thickBot="1" x14ac:dyDescent="0.35">
      <c r="A16" s="193" t="s">
        <v>48</v>
      </c>
      <c r="B16" s="271">
        <v>200</v>
      </c>
    </row>
    <row r="17" spans="1:12" ht="16.2" thickBot="1" x14ac:dyDescent="0.35"/>
    <row r="18" spans="1:12" x14ac:dyDescent="0.3">
      <c r="A18" s="106" t="s">
        <v>50</v>
      </c>
      <c r="B18" s="262"/>
      <c r="D18" s="106" t="s">
        <v>20</v>
      </c>
      <c r="E18" s="164" t="s">
        <v>3</v>
      </c>
      <c r="F18" s="164" t="s">
        <v>21</v>
      </c>
      <c r="G18" s="164" t="s">
        <v>22</v>
      </c>
      <c r="H18" s="165" t="s">
        <v>23</v>
      </c>
    </row>
    <row r="19" spans="1:12" x14ac:dyDescent="0.3">
      <c r="A19" s="263" t="s">
        <v>51</v>
      </c>
      <c r="B19" s="264">
        <v>11</v>
      </c>
      <c r="D19" s="123" t="s">
        <v>25</v>
      </c>
      <c r="E19" s="7"/>
      <c r="F19" s="8"/>
      <c r="G19" s="8"/>
      <c r="H19" s="229"/>
    </row>
    <row r="20" spans="1:12" x14ac:dyDescent="0.3">
      <c r="A20" s="127" t="s">
        <v>52</v>
      </c>
      <c r="B20" s="287">
        <v>44927</v>
      </c>
      <c r="D20" s="152" t="s">
        <v>27</v>
      </c>
      <c r="E20" s="283">
        <v>0.34535045902908484</v>
      </c>
      <c r="F20" s="119">
        <v>30333254.896537438</v>
      </c>
      <c r="G20" s="119">
        <f>+F20/$E$12</f>
        <v>69731.620451810202</v>
      </c>
      <c r="H20" s="120">
        <f>+G20/$G$12</f>
        <v>12.452075080680393</v>
      </c>
    </row>
    <row r="21" spans="1:12" x14ac:dyDescent="0.3">
      <c r="A21" s="127" t="s">
        <v>53</v>
      </c>
      <c r="B21" s="288">
        <f>'Project 2 Financial Analysis'!O61</f>
        <v>18338997.885876499</v>
      </c>
      <c r="C21" s="16"/>
      <c r="D21" s="284" t="s">
        <v>29</v>
      </c>
      <c r="E21" s="283">
        <v>0.31081541312617639</v>
      </c>
      <c r="F21" s="119">
        <v>28000000</v>
      </c>
      <c r="G21" s="119">
        <f>+F21/$E$12</f>
        <v>64367.816091954024</v>
      </c>
      <c r="H21" s="120">
        <f>+G21/$G$12</f>
        <v>11.494252873563219</v>
      </c>
    </row>
    <row r="22" spans="1:12" x14ac:dyDescent="0.3">
      <c r="A22" s="127" t="s">
        <v>54</v>
      </c>
      <c r="B22" s="289">
        <v>5.2499999999999998E-2</v>
      </c>
      <c r="D22" s="284" t="s">
        <v>31</v>
      </c>
      <c r="E22" s="283">
        <v>3.4535045902908484E-2</v>
      </c>
      <c r="F22" s="119">
        <v>4000000</v>
      </c>
      <c r="G22" s="119">
        <f>+F22/$E$12</f>
        <v>9195.4022988505749</v>
      </c>
      <c r="H22" s="120">
        <f>+G22/$G$12</f>
        <v>1.6420361247947455</v>
      </c>
    </row>
    <row r="23" spans="1:12" x14ac:dyDescent="0.3">
      <c r="A23" s="127" t="s">
        <v>55</v>
      </c>
      <c r="B23" s="288">
        <f>+B21/B22</f>
        <v>349314245.44526666</v>
      </c>
      <c r="D23" s="285" t="s">
        <v>33</v>
      </c>
      <c r="E23" s="9">
        <v>0.6546495409709151</v>
      </c>
      <c r="F23" s="10">
        <f>+F30-F20</f>
        <v>85949709.761698291</v>
      </c>
      <c r="G23" s="119">
        <f>+F23/$E$12</f>
        <v>197585.53968206505</v>
      </c>
      <c r="H23" s="120">
        <f>+G23/$G$12</f>
        <v>35.283132086083043</v>
      </c>
    </row>
    <row r="24" spans="1:12" x14ac:dyDescent="0.3">
      <c r="A24" s="152" t="s">
        <v>56</v>
      </c>
      <c r="B24" s="288">
        <f>+B23/E12</f>
        <v>803021.25389716472</v>
      </c>
      <c r="D24" s="125" t="s">
        <v>35</v>
      </c>
      <c r="E24" s="11">
        <v>1</v>
      </c>
      <c r="F24" s="12">
        <f>SUM(F21:F23)</f>
        <v>117949709.76169829</v>
      </c>
      <c r="G24" s="12">
        <f>SUM(G21:G23)</f>
        <v>271148.75807286962</v>
      </c>
      <c r="H24" s="126">
        <f>SUM(H21:H23)</f>
        <v>48.419421084441012</v>
      </c>
      <c r="L24" s="6"/>
    </row>
    <row r="25" spans="1:12" x14ac:dyDescent="0.3">
      <c r="A25" s="152" t="s">
        <v>57</v>
      </c>
      <c r="B25" s="288">
        <f>+B23/H12</f>
        <v>771.96518330445667</v>
      </c>
      <c r="D25" s="123" t="s">
        <v>37</v>
      </c>
      <c r="E25" s="7"/>
      <c r="F25" s="13"/>
      <c r="G25" s="13"/>
      <c r="H25" s="135"/>
      <c r="L25" s="6"/>
    </row>
    <row r="26" spans="1:12" ht="16.2" thickBot="1" x14ac:dyDescent="0.35">
      <c r="A26" s="193" t="s">
        <v>58</v>
      </c>
      <c r="B26" s="290">
        <v>0.02</v>
      </c>
      <c r="D26" s="152" t="s">
        <v>39</v>
      </c>
      <c r="E26" s="14">
        <v>0.11407979827006284</v>
      </c>
      <c r="F26" s="119">
        <f>'Project 2 Financial Analysis'!B71*-1</f>
        <v>16103175</v>
      </c>
      <c r="G26" s="119">
        <v>30000</v>
      </c>
      <c r="H26" s="120">
        <v>31.612522597274761</v>
      </c>
      <c r="L26" s="6"/>
    </row>
    <row r="27" spans="1:12" x14ac:dyDescent="0.3">
      <c r="D27" s="152" t="s">
        <v>41</v>
      </c>
      <c r="E27" s="14">
        <v>0.64456738301100869</v>
      </c>
      <c r="F27" s="119">
        <f>+'Project 2 Financial Analysis'!B78*-1</f>
        <v>73032642.112499997</v>
      </c>
      <c r="G27" s="119">
        <v>169504.34505988023</v>
      </c>
      <c r="H27" s="120">
        <v>178.61533128472408</v>
      </c>
    </row>
    <row r="28" spans="1:12" ht="16.2" thickBot="1" x14ac:dyDescent="0.35">
      <c r="D28" s="152" t="s">
        <v>43</v>
      </c>
      <c r="E28" s="14">
        <v>0.18462340611440242</v>
      </c>
      <c r="F28" s="119">
        <f>+'Project 2 Financial Analysis'!B90*-1</f>
        <v>20918736.348956101</v>
      </c>
      <c r="G28" s="119">
        <v>48551.121823692389</v>
      </c>
      <c r="H28" s="120">
        <v>51.160781192483846</v>
      </c>
    </row>
    <row r="29" spans="1:12" x14ac:dyDescent="0.3">
      <c r="A29" s="106" t="s">
        <v>59</v>
      </c>
      <c r="B29" s="109"/>
      <c r="D29" s="285" t="s">
        <v>45</v>
      </c>
      <c r="E29" s="14">
        <v>5.6729412604526019E-2</v>
      </c>
      <c r="F29" s="10">
        <f>+B57</f>
        <v>6228411.196779646</v>
      </c>
      <c r="G29" s="119">
        <v>14918.350171927295</v>
      </c>
      <c r="H29" s="227">
        <v>15.720222730803648</v>
      </c>
    </row>
    <row r="30" spans="1:12" ht="16.2" thickBot="1" x14ac:dyDescent="0.35">
      <c r="A30" s="127" t="s">
        <v>60</v>
      </c>
      <c r="B30" s="291">
        <f>F23</f>
        <v>85949709.761698291</v>
      </c>
      <c r="D30" s="128" t="s">
        <v>47</v>
      </c>
      <c r="E30" s="286">
        <v>1</v>
      </c>
      <c r="F30" s="131">
        <f>SUM(F26:F29)</f>
        <v>116282964.65823573</v>
      </c>
      <c r="G30" s="131">
        <f>SUM(G26:G29)</f>
        <v>262973.81705549994</v>
      </c>
      <c r="H30" s="153">
        <f>SUM(H26:H29)</f>
        <v>277.10885780528633</v>
      </c>
    </row>
    <row r="31" spans="1:12" x14ac:dyDescent="0.3">
      <c r="A31" s="152" t="s">
        <v>56</v>
      </c>
      <c r="B31" s="288">
        <f>+B30/E12</f>
        <v>197585.53968206505</v>
      </c>
      <c r="E31" s="1"/>
      <c r="F31" s="1"/>
      <c r="G31" s="1"/>
      <c r="H31" s="1"/>
    </row>
    <row r="32" spans="1:12" x14ac:dyDescent="0.3">
      <c r="A32" s="152" t="s">
        <v>57</v>
      </c>
      <c r="B32" s="292">
        <f>+B31/G12</f>
        <v>35.283132086083043</v>
      </c>
    </row>
    <row r="33" spans="1:2" x14ac:dyDescent="0.3">
      <c r="A33" s="125" t="s">
        <v>62</v>
      </c>
      <c r="B33" s="293"/>
    </row>
    <row r="34" spans="1:2" x14ac:dyDescent="0.3">
      <c r="A34" s="127" t="s">
        <v>155</v>
      </c>
      <c r="B34" s="288">
        <f>'Project 2 Financial Analysis'!J101</f>
        <v>11462680.471416334</v>
      </c>
    </row>
    <row r="35" spans="1:2" x14ac:dyDescent="0.3">
      <c r="A35" s="127" t="s">
        <v>63</v>
      </c>
      <c r="B35" s="289">
        <v>6.25E-2</v>
      </c>
    </row>
    <row r="36" spans="1:2" x14ac:dyDescent="0.3">
      <c r="A36" s="127" t="s">
        <v>64</v>
      </c>
      <c r="B36" s="288">
        <f>'Project 2 Financial Analysis'!O97</f>
        <v>349314245.44526666</v>
      </c>
    </row>
    <row r="37" spans="1:2" x14ac:dyDescent="0.3">
      <c r="A37" s="127" t="s">
        <v>61</v>
      </c>
      <c r="B37" s="270">
        <f>B30/B36</f>
        <v>0.24605269004171082</v>
      </c>
    </row>
    <row r="38" spans="1:2" x14ac:dyDescent="0.3">
      <c r="A38" s="127" t="s">
        <v>65</v>
      </c>
      <c r="B38" s="294">
        <f>B34/B30</f>
        <v>0.13336497008771098</v>
      </c>
    </row>
    <row r="39" spans="1:2" x14ac:dyDescent="0.3">
      <c r="A39" s="125" t="s">
        <v>66</v>
      </c>
      <c r="B39" s="293"/>
    </row>
    <row r="40" spans="1:2" x14ac:dyDescent="0.3">
      <c r="A40" s="127" t="s">
        <v>68</v>
      </c>
      <c r="B40" s="288">
        <f>'Project 2 Financial Analysis'!J58</f>
        <v>15631842.614862934</v>
      </c>
    </row>
    <row r="41" spans="1:2" x14ac:dyDescent="0.3">
      <c r="A41" s="127" t="s">
        <v>63</v>
      </c>
      <c r="B41" s="289">
        <v>6.25E-2</v>
      </c>
    </row>
    <row r="42" spans="1:2" x14ac:dyDescent="0.3">
      <c r="A42" s="127" t="s">
        <v>64</v>
      </c>
      <c r="B42" s="288">
        <f>+B36</f>
        <v>349314245.44526666</v>
      </c>
    </row>
    <row r="43" spans="1:2" x14ac:dyDescent="0.3">
      <c r="A43" s="127" t="s">
        <v>65</v>
      </c>
      <c r="B43" s="294">
        <f>B40/B30</f>
        <v>0.18187196510847253</v>
      </c>
    </row>
    <row r="44" spans="1:2" x14ac:dyDescent="0.3">
      <c r="A44" s="125" t="s">
        <v>45</v>
      </c>
      <c r="B44" s="293"/>
    </row>
    <row r="45" spans="1:2" x14ac:dyDescent="0.3">
      <c r="A45" s="263" t="s">
        <v>69</v>
      </c>
      <c r="B45" s="295">
        <v>18750</v>
      </c>
    </row>
    <row r="46" spans="1:2" x14ac:dyDescent="0.3">
      <c r="A46" s="127" t="s">
        <v>70</v>
      </c>
      <c r="B46" s="288">
        <v>37500</v>
      </c>
    </row>
    <row r="47" spans="1:2" x14ac:dyDescent="0.3">
      <c r="A47" s="127" t="s">
        <v>71</v>
      </c>
      <c r="B47" s="288">
        <v>125000</v>
      </c>
    </row>
    <row r="48" spans="1:2" x14ac:dyDescent="0.3">
      <c r="A48" s="127" t="s">
        <v>72</v>
      </c>
      <c r="B48" s="288">
        <v>38812.5</v>
      </c>
    </row>
    <row r="49" spans="1:7" x14ac:dyDescent="0.3">
      <c r="A49" s="127" t="s">
        <v>73</v>
      </c>
      <c r="B49" s="288">
        <v>239343.75</v>
      </c>
    </row>
    <row r="50" spans="1:7" x14ac:dyDescent="0.3">
      <c r="A50" s="127" t="s">
        <v>74</v>
      </c>
      <c r="B50" s="288">
        <v>31250</v>
      </c>
    </row>
    <row r="51" spans="1:7" x14ac:dyDescent="0.3">
      <c r="A51" s="127" t="s">
        <v>75</v>
      </c>
      <c r="B51" s="288">
        <v>718750</v>
      </c>
    </row>
    <row r="52" spans="1:7" x14ac:dyDescent="0.3">
      <c r="A52" s="127" t="s">
        <v>76</v>
      </c>
      <c r="B52" s="288">
        <v>646875</v>
      </c>
      <c r="G52" s="6"/>
    </row>
    <row r="53" spans="1:7" x14ac:dyDescent="0.3">
      <c r="A53" s="127" t="s">
        <v>77</v>
      </c>
      <c r="B53" s="288">
        <v>307124.20582745469</v>
      </c>
      <c r="G53" s="17"/>
    </row>
    <row r="54" spans="1:7" x14ac:dyDescent="0.3">
      <c r="A54" s="127" t="s">
        <v>78</v>
      </c>
      <c r="B54" s="288">
        <v>107813.75</v>
      </c>
    </row>
    <row r="55" spans="1:7" x14ac:dyDescent="0.3">
      <c r="A55" s="127" t="s">
        <v>79</v>
      </c>
      <c r="B55" s="288">
        <v>14937.5</v>
      </c>
    </row>
    <row r="56" spans="1:7" x14ac:dyDescent="0.3">
      <c r="A56" s="207" t="s">
        <v>80</v>
      </c>
      <c r="B56" s="288">
        <v>3942254.4909521909</v>
      </c>
    </row>
    <row r="57" spans="1:7" ht="16.2" thickBot="1" x14ac:dyDescent="0.35">
      <c r="A57" s="128" t="s">
        <v>67</v>
      </c>
      <c r="B57" s="296">
        <f>SUM(B45:B56)</f>
        <v>6228411.196779646</v>
      </c>
    </row>
  </sheetData>
  <phoneticPr fontId="18" type="noConversion"/>
  <pageMargins left="0.7" right="0.7" top="0.75" bottom="0.75" header="0.3" footer="0.3"/>
  <pageSetup scale="53" fitToHeight="0" orientation="portrait" horizontalDpi="300" verticalDpi="300" r:id="rId1"/>
  <headerFooter>
    <oddHeader>&amp;C&amp;"-,Bold"&amp;28&amp;A&amp;R&amp;"-,Bold"&amp;28&amp;P</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0D69-713E-4ECE-AFD8-BFEEDE6ECB55}">
  <sheetPr>
    <tabColor theme="6"/>
  </sheetPr>
  <dimension ref="A3:C11"/>
  <sheetViews>
    <sheetView workbookViewId="0">
      <selection activeCell="F17" sqref="F17"/>
    </sheetView>
  </sheetViews>
  <sheetFormatPr defaultRowHeight="15.6" x14ac:dyDescent="0.3"/>
  <cols>
    <col min="1" max="1" width="20.3984375" customWidth="1"/>
    <col min="2" max="2" width="20.09765625" customWidth="1"/>
    <col min="3" max="3" width="16" customWidth="1"/>
  </cols>
  <sheetData>
    <row r="3" spans="1:3" x14ac:dyDescent="0.3">
      <c r="A3" s="340" t="s">
        <v>196</v>
      </c>
      <c r="B3" t="s">
        <v>194</v>
      </c>
      <c r="C3" t="s">
        <v>195</v>
      </c>
    </row>
    <row r="4" spans="1:3" x14ac:dyDescent="0.3">
      <c r="A4" s="341" t="s">
        <v>10</v>
      </c>
      <c r="B4" s="57">
        <v>3780000</v>
      </c>
      <c r="C4" s="3">
        <v>36</v>
      </c>
    </row>
    <row r="5" spans="1:3" x14ac:dyDescent="0.3">
      <c r="A5" s="341" t="s">
        <v>12</v>
      </c>
      <c r="B5" s="57">
        <v>3600000</v>
      </c>
      <c r="C5" s="3">
        <v>24</v>
      </c>
    </row>
    <row r="6" spans="1:3" x14ac:dyDescent="0.3">
      <c r="A6" s="341" t="s">
        <v>13</v>
      </c>
      <c r="B6" s="57">
        <v>2250000</v>
      </c>
      <c r="C6" s="3">
        <v>21.428571428571427</v>
      </c>
    </row>
    <row r="7" spans="1:3" x14ac:dyDescent="0.3">
      <c r="A7" s="341" t="s">
        <v>180</v>
      </c>
      <c r="B7" s="57">
        <v>2100000</v>
      </c>
      <c r="C7" s="3">
        <v>42</v>
      </c>
    </row>
    <row r="8" spans="1:3" x14ac:dyDescent="0.3">
      <c r="A8" s="341" t="s">
        <v>11</v>
      </c>
      <c r="B8" s="57">
        <v>1320000</v>
      </c>
      <c r="C8" s="3">
        <v>33</v>
      </c>
    </row>
    <row r="9" spans="1:3" x14ac:dyDescent="0.3">
      <c r="A9" s="341" t="s">
        <v>14</v>
      </c>
      <c r="B9" s="57">
        <v>1176000</v>
      </c>
      <c r="C9" s="3">
        <v>22.4</v>
      </c>
    </row>
    <row r="10" spans="1:3" x14ac:dyDescent="0.3">
      <c r="A10" s="341" t="s">
        <v>179</v>
      </c>
      <c r="B10" s="57">
        <v>900000</v>
      </c>
      <c r="C10" s="3">
        <v>20.571428571428573</v>
      </c>
    </row>
    <row r="11" spans="1:3" x14ac:dyDescent="0.3">
      <c r="A11" s="341" t="s">
        <v>197</v>
      </c>
      <c r="B11" s="57">
        <v>15126000</v>
      </c>
      <c r="C11" s="3">
        <v>199.4</v>
      </c>
    </row>
  </sheetData>
  <pageMargins left="0.7" right="0.7" top="0.75" bottom="0.75" header="0.3" footer="0.3"/>
  <pageSetup orientation="portrait" horizontalDpi="300" verticalDpi="300" r:id="rId2"/>
  <headerFooter>
    <oddHeader>&amp;C&amp;"-,Bold"&amp;24&amp;A&amp;R&amp;"-,Bold"&amp;24&amp;P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84D8-AE9A-42D8-8FF3-8B62AE59B3CC}">
  <sheetPr>
    <tabColor theme="9" tint="0.39997558519241921"/>
    <pageSetUpPr autoPageBreaks="0" fitToPage="1"/>
  </sheetPr>
  <dimension ref="A1:O144"/>
  <sheetViews>
    <sheetView zoomScale="66" zoomScaleNormal="85" workbookViewId="0">
      <pane ySplit="1" topLeftCell="A2" activePane="bottomLeft" state="frozen"/>
      <selection pane="bottomLeft" activeCell="W49" sqref="W49"/>
    </sheetView>
  </sheetViews>
  <sheetFormatPr defaultColWidth="8.69921875" defaultRowHeight="15.6" x14ac:dyDescent="0.3"/>
  <cols>
    <col min="1" max="1" width="35.09765625" customWidth="1"/>
    <col min="2" max="2" width="16" customWidth="1"/>
    <col min="3" max="5" width="15" customWidth="1"/>
    <col min="6" max="6" width="14.09765625" customWidth="1"/>
    <col min="7" max="13" width="14" customWidth="1"/>
    <col min="14" max="15" width="14.3984375" customWidth="1"/>
  </cols>
  <sheetData>
    <row r="1" spans="1:15" x14ac:dyDescent="0.3">
      <c r="A1" s="19" t="s">
        <v>186</v>
      </c>
    </row>
    <row r="2" spans="1:15" x14ac:dyDescent="0.3">
      <c r="A2" s="21"/>
    </row>
    <row r="3" spans="1:15" x14ac:dyDescent="0.3">
      <c r="A3" s="22" t="s">
        <v>84</v>
      </c>
      <c r="B3" s="23"/>
      <c r="C3" s="23"/>
      <c r="D3" s="23">
        <v>0</v>
      </c>
      <c r="E3" s="23">
        <v>1</v>
      </c>
      <c r="F3" s="23">
        <v>2</v>
      </c>
      <c r="G3" s="23">
        <v>3</v>
      </c>
      <c r="H3" s="23">
        <v>4</v>
      </c>
      <c r="I3" s="23">
        <v>5</v>
      </c>
      <c r="J3" s="23">
        <v>6</v>
      </c>
      <c r="K3" s="23">
        <v>7</v>
      </c>
      <c r="L3" s="23">
        <v>8</v>
      </c>
      <c r="M3" s="23">
        <v>9</v>
      </c>
      <c r="N3" s="23">
        <v>10</v>
      </c>
      <c r="O3" s="297">
        <v>11</v>
      </c>
    </row>
    <row r="4" spans="1:15" x14ac:dyDescent="0.3">
      <c r="A4" s="221" t="s">
        <v>85</v>
      </c>
      <c r="B4" s="113"/>
      <c r="C4" s="113"/>
      <c r="D4" s="113">
        <v>0</v>
      </c>
      <c r="E4" s="113">
        <v>12</v>
      </c>
      <c r="F4" s="113">
        <v>24</v>
      </c>
      <c r="G4" s="113">
        <v>36</v>
      </c>
      <c r="H4" s="113">
        <v>48</v>
      </c>
      <c r="I4" s="113">
        <v>60</v>
      </c>
      <c r="J4" s="113">
        <v>72</v>
      </c>
      <c r="K4" s="113">
        <v>84</v>
      </c>
      <c r="L4" s="113">
        <v>96</v>
      </c>
      <c r="M4" s="113">
        <v>108</v>
      </c>
      <c r="N4" s="113">
        <v>120</v>
      </c>
      <c r="O4" s="298">
        <v>132</v>
      </c>
    </row>
    <row r="5" spans="1:15" x14ac:dyDescent="0.3">
      <c r="A5" s="24" t="s">
        <v>86</v>
      </c>
      <c r="B5" s="25"/>
      <c r="C5" s="25"/>
      <c r="D5" s="26">
        <v>44927</v>
      </c>
      <c r="E5" s="26">
        <f>+D5+365</f>
        <v>45292</v>
      </c>
      <c r="F5" s="26">
        <f t="shared" ref="F5:O5" si="0">+E5+365</f>
        <v>45657</v>
      </c>
      <c r="G5" s="26">
        <f t="shared" si="0"/>
        <v>46022</v>
      </c>
      <c r="H5" s="26">
        <f t="shared" si="0"/>
        <v>46387</v>
      </c>
      <c r="I5" s="26">
        <f t="shared" si="0"/>
        <v>46752</v>
      </c>
      <c r="J5" s="26">
        <f t="shared" si="0"/>
        <v>47117</v>
      </c>
      <c r="K5" s="26">
        <f t="shared" si="0"/>
        <v>47482</v>
      </c>
      <c r="L5" s="26">
        <f t="shared" si="0"/>
        <v>47847</v>
      </c>
      <c r="M5" s="26">
        <f t="shared" si="0"/>
        <v>48212</v>
      </c>
      <c r="N5" s="26">
        <f t="shared" si="0"/>
        <v>48577</v>
      </c>
      <c r="O5" s="299">
        <f t="shared" si="0"/>
        <v>48942</v>
      </c>
    </row>
    <row r="6" spans="1:15" ht="16.2" thickBot="1" x14ac:dyDescent="0.35">
      <c r="A6" s="21"/>
      <c r="C6" s="20"/>
      <c r="D6" s="20"/>
    </row>
    <row r="7" spans="1:15" x14ac:dyDescent="0.3">
      <c r="A7" s="106" t="s">
        <v>87</v>
      </c>
      <c r="B7" s="156"/>
      <c r="C7" s="222"/>
      <c r="D7" s="164"/>
      <c r="E7" s="164"/>
      <c r="F7" s="164"/>
      <c r="G7" s="164"/>
      <c r="H7" s="164"/>
      <c r="I7" s="164"/>
      <c r="J7" s="164"/>
      <c r="K7" s="164"/>
      <c r="L7" s="164"/>
      <c r="M7" s="164"/>
      <c r="N7" s="164"/>
      <c r="O7" s="165"/>
    </row>
    <row r="8" spans="1:15" x14ac:dyDescent="0.3">
      <c r="A8" s="166" t="s">
        <v>42</v>
      </c>
      <c r="B8" s="27"/>
      <c r="C8" s="167"/>
      <c r="D8" s="28"/>
      <c r="E8" s="167"/>
      <c r="F8" s="167"/>
      <c r="G8" s="167"/>
      <c r="H8" s="167"/>
      <c r="I8" s="167"/>
      <c r="J8" s="167"/>
      <c r="K8" s="167"/>
      <c r="L8" s="167"/>
      <c r="M8" s="167"/>
      <c r="N8" s="167"/>
      <c r="O8" s="168"/>
    </row>
    <row r="9" spans="1:15" x14ac:dyDescent="0.3">
      <c r="A9" s="169" t="s">
        <v>88</v>
      </c>
      <c r="B9" s="170"/>
      <c r="C9" s="170"/>
      <c r="D9" s="171">
        <v>0</v>
      </c>
      <c r="E9" s="171">
        <v>0</v>
      </c>
      <c r="F9" s="171">
        <f>SUM(F12:F18)</f>
        <v>130</v>
      </c>
      <c r="G9" s="171">
        <f t="shared" ref="G9:O9" si="1">SUM(G12:G18)</f>
        <v>255</v>
      </c>
      <c r="H9" s="171">
        <f t="shared" si="1"/>
        <v>350</v>
      </c>
      <c r="I9" s="171">
        <f t="shared" si="1"/>
        <v>455</v>
      </c>
      <c r="J9" s="171">
        <f t="shared" si="1"/>
        <v>560</v>
      </c>
      <c r="K9" s="171">
        <f t="shared" si="1"/>
        <v>560</v>
      </c>
      <c r="L9" s="171">
        <f t="shared" si="1"/>
        <v>560</v>
      </c>
      <c r="M9" s="171">
        <f t="shared" si="1"/>
        <v>560</v>
      </c>
      <c r="N9" s="171">
        <f t="shared" si="1"/>
        <v>560</v>
      </c>
      <c r="O9" s="172">
        <f t="shared" si="1"/>
        <v>560</v>
      </c>
    </row>
    <row r="10" spans="1:15" x14ac:dyDescent="0.3">
      <c r="A10" s="173" t="s">
        <v>89</v>
      </c>
      <c r="B10" s="30"/>
      <c r="C10" s="30"/>
      <c r="D10" s="32">
        <v>0</v>
      </c>
      <c r="E10" s="32">
        <v>0</v>
      </c>
      <c r="F10" s="32">
        <f>+F9/560</f>
        <v>0.23214285714285715</v>
      </c>
      <c r="G10" s="32">
        <f t="shared" ref="G10:O10" si="2">+G9/560</f>
        <v>0.45535714285714285</v>
      </c>
      <c r="H10" s="32">
        <f t="shared" si="2"/>
        <v>0.625</v>
      </c>
      <c r="I10" s="32">
        <f t="shared" si="2"/>
        <v>0.8125</v>
      </c>
      <c r="J10" s="32">
        <f t="shared" si="2"/>
        <v>1</v>
      </c>
      <c r="K10" s="32">
        <f t="shared" si="2"/>
        <v>1</v>
      </c>
      <c r="L10" s="32">
        <f t="shared" si="2"/>
        <v>1</v>
      </c>
      <c r="M10" s="32">
        <f t="shared" si="2"/>
        <v>1</v>
      </c>
      <c r="N10" s="32">
        <f t="shared" si="2"/>
        <v>1</v>
      </c>
      <c r="O10" s="174">
        <f t="shared" si="2"/>
        <v>1</v>
      </c>
    </row>
    <row r="11" spans="1:15" x14ac:dyDescent="0.3">
      <c r="A11" s="175" t="s">
        <v>1</v>
      </c>
      <c r="B11" s="113" t="s">
        <v>2</v>
      </c>
      <c r="C11" s="113" t="s">
        <v>4</v>
      </c>
      <c r="D11" s="176"/>
      <c r="E11" s="176"/>
      <c r="F11" s="176"/>
      <c r="G11" s="176"/>
      <c r="H11" s="176"/>
      <c r="I11" s="176"/>
      <c r="J11" s="176"/>
      <c r="K11" s="176"/>
      <c r="L11" s="176"/>
      <c r="M11" s="176"/>
      <c r="N11" s="176"/>
      <c r="O11" s="177"/>
    </row>
    <row r="12" spans="1:15" x14ac:dyDescent="0.3">
      <c r="A12" s="75" t="s">
        <v>180</v>
      </c>
      <c r="B12" s="198">
        <v>100</v>
      </c>
      <c r="C12" s="198">
        <v>500</v>
      </c>
      <c r="D12" s="179">
        <v>0</v>
      </c>
      <c r="E12" s="179">
        <v>0</v>
      </c>
      <c r="F12" s="179">
        <v>25</v>
      </c>
      <c r="G12" s="179">
        <v>50</v>
      </c>
      <c r="H12" s="179">
        <v>75</v>
      </c>
      <c r="I12" s="179">
        <v>100</v>
      </c>
      <c r="J12" s="179">
        <v>100</v>
      </c>
      <c r="K12" s="179">
        <v>100</v>
      </c>
      <c r="L12" s="179">
        <v>100</v>
      </c>
      <c r="M12" s="179">
        <v>100</v>
      </c>
      <c r="N12" s="179">
        <v>100</v>
      </c>
      <c r="O12" s="180">
        <v>100</v>
      </c>
    </row>
    <row r="13" spans="1:15" x14ac:dyDescent="0.3">
      <c r="A13" s="75" t="s">
        <v>10</v>
      </c>
      <c r="B13" s="198">
        <v>150</v>
      </c>
      <c r="C13" s="198">
        <v>700</v>
      </c>
      <c r="D13" s="179">
        <v>0</v>
      </c>
      <c r="E13" s="179">
        <v>0</v>
      </c>
      <c r="F13" s="179">
        <v>25</v>
      </c>
      <c r="G13" s="179">
        <v>50</v>
      </c>
      <c r="H13" s="179">
        <v>75</v>
      </c>
      <c r="I13" s="179">
        <v>100</v>
      </c>
      <c r="J13" s="179">
        <v>150</v>
      </c>
      <c r="K13" s="179">
        <v>150</v>
      </c>
      <c r="L13" s="179">
        <v>150</v>
      </c>
      <c r="M13" s="179">
        <v>150</v>
      </c>
      <c r="N13" s="179">
        <v>150</v>
      </c>
      <c r="O13" s="180">
        <v>150</v>
      </c>
    </row>
    <row r="14" spans="1:15" x14ac:dyDescent="0.3">
      <c r="A14" s="75" t="s">
        <v>11</v>
      </c>
      <c r="B14" s="198">
        <v>50</v>
      </c>
      <c r="C14" s="198">
        <v>800</v>
      </c>
      <c r="D14" s="179">
        <v>0</v>
      </c>
      <c r="E14" s="179">
        <v>0</v>
      </c>
      <c r="F14" s="179">
        <v>25</v>
      </c>
      <c r="G14" s="179">
        <v>50</v>
      </c>
      <c r="H14" s="179">
        <v>50</v>
      </c>
      <c r="I14" s="179">
        <v>50</v>
      </c>
      <c r="J14" s="179">
        <v>50</v>
      </c>
      <c r="K14" s="179">
        <v>50</v>
      </c>
      <c r="L14" s="179">
        <v>50</v>
      </c>
      <c r="M14" s="179">
        <v>50</v>
      </c>
      <c r="N14" s="179">
        <v>50</v>
      </c>
      <c r="O14" s="180">
        <v>50</v>
      </c>
    </row>
    <row r="15" spans="1:15" x14ac:dyDescent="0.3">
      <c r="A15" s="75" t="s">
        <v>12</v>
      </c>
      <c r="B15" s="198">
        <v>125</v>
      </c>
      <c r="C15" s="198">
        <v>1200</v>
      </c>
      <c r="D15" s="179">
        <v>0</v>
      </c>
      <c r="E15" s="179">
        <v>0</v>
      </c>
      <c r="F15" s="179">
        <v>25</v>
      </c>
      <c r="G15" s="179">
        <v>50</v>
      </c>
      <c r="H15" s="179">
        <v>75</v>
      </c>
      <c r="I15" s="179">
        <v>100</v>
      </c>
      <c r="J15" s="179">
        <v>125</v>
      </c>
      <c r="K15" s="179">
        <v>125</v>
      </c>
      <c r="L15" s="179">
        <v>125</v>
      </c>
      <c r="M15" s="179">
        <v>125</v>
      </c>
      <c r="N15" s="179">
        <v>125</v>
      </c>
      <c r="O15" s="180">
        <v>125</v>
      </c>
    </row>
    <row r="16" spans="1:15" x14ac:dyDescent="0.3">
      <c r="A16" s="75" t="s">
        <v>13</v>
      </c>
      <c r="B16" s="198">
        <v>75</v>
      </c>
      <c r="C16" s="198">
        <v>1400</v>
      </c>
      <c r="D16" s="179">
        <v>0</v>
      </c>
      <c r="E16" s="179">
        <v>0</v>
      </c>
      <c r="F16" s="179">
        <v>20</v>
      </c>
      <c r="G16" s="179">
        <v>25</v>
      </c>
      <c r="H16" s="179">
        <v>35</v>
      </c>
      <c r="I16" s="179">
        <v>50</v>
      </c>
      <c r="J16" s="179">
        <v>75</v>
      </c>
      <c r="K16" s="179">
        <v>75</v>
      </c>
      <c r="L16" s="179">
        <v>75</v>
      </c>
      <c r="M16" s="179">
        <v>75</v>
      </c>
      <c r="N16" s="179">
        <v>75</v>
      </c>
      <c r="O16" s="180">
        <v>75</v>
      </c>
    </row>
    <row r="17" spans="1:15" x14ac:dyDescent="0.3">
      <c r="A17" s="75" t="s">
        <v>14</v>
      </c>
      <c r="B17" s="198">
        <v>35</v>
      </c>
      <c r="C17" s="198">
        <v>1500</v>
      </c>
      <c r="D17" s="179">
        <v>0</v>
      </c>
      <c r="E17" s="179">
        <v>0</v>
      </c>
      <c r="F17" s="179">
        <v>5</v>
      </c>
      <c r="G17" s="179">
        <v>15</v>
      </c>
      <c r="H17" s="179">
        <v>20</v>
      </c>
      <c r="I17" s="179">
        <v>30</v>
      </c>
      <c r="J17" s="179">
        <v>35</v>
      </c>
      <c r="K17" s="179">
        <v>35</v>
      </c>
      <c r="L17" s="179">
        <v>35</v>
      </c>
      <c r="M17" s="179">
        <v>35</v>
      </c>
      <c r="N17" s="179">
        <v>35</v>
      </c>
      <c r="O17" s="180">
        <v>35</v>
      </c>
    </row>
    <row r="18" spans="1:15" x14ac:dyDescent="0.3">
      <c r="A18" s="75" t="s">
        <v>179</v>
      </c>
      <c r="B18" s="198">
        <v>25</v>
      </c>
      <c r="C18" s="198">
        <v>1750</v>
      </c>
      <c r="D18" s="179">
        <v>0</v>
      </c>
      <c r="E18" s="179">
        <v>0</v>
      </c>
      <c r="F18" s="179">
        <v>5</v>
      </c>
      <c r="G18" s="179">
        <v>15</v>
      </c>
      <c r="H18" s="179">
        <v>20</v>
      </c>
      <c r="I18" s="179">
        <v>25</v>
      </c>
      <c r="J18" s="179">
        <v>25</v>
      </c>
      <c r="K18" s="179">
        <v>25</v>
      </c>
      <c r="L18" s="179">
        <v>25</v>
      </c>
      <c r="M18" s="179">
        <v>25</v>
      </c>
      <c r="N18" s="179">
        <v>25</v>
      </c>
      <c r="O18" s="180">
        <v>25</v>
      </c>
    </row>
    <row r="19" spans="1:15" x14ac:dyDescent="0.3">
      <c r="A19" s="75"/>
      <c r="B19" s="1"/>
      <c r="C19" s="178"/>
      <c r="O19" s="199"/>
    </row>
    <row r="20" spans="1:15" x14ac:dyDescent="0.3">
      <c r="A20" s="200"/>
      <c r="B20" s="201"/>
      <c r="C20" s="202"/>
      <c r="D20" s="203"/>
      <c r="E20" s="203"/>
      <c r="F20" s="203"/>
      <c r="G20" s="203"/>
      <c r="H20" s="203"/>
      <c r="I20" s="203"/>
      <c r="J20" s="203"/>
      <c r="K20" s="203"/>
      <c r="L20" s="203"/>
      <c r="M20" s="203"/>
      <c r="N20" s="203"/>
      <c r="O20" s="204"/>
    </row>
    <row r="21" spans="1:15" x14ac:dyDescent="0.3">
      <c r="A21" s="181" t="s">
        <v>90</v>
      </c>
      <c r="B21" s="182" t="s">
        <v>6</v>
      </c>
      <c r="C21" s="183" t="s">
        <v>7</v>
      </c>
      <c r="D21" s="184">
        <f>SUM(D12:D18)</f>
        <v>0</v>
      </c>
      <c r="E21" s="184">
        <f t="shared" ref="E21:O21" si="3">SUM(E12:E18)</f>
        <v>0</v>
      </c>
      <c r="F21" s="184">
        <f t="shared" si="3"/>
        <v>130</v>
      </c>
      <c r="G21" s="184">
        <f t="shared" si="3"/>
        <v>255</v>
      </c>
      <c r="H21" s="184">
        <f t="shared" si="3"/>
        <v>350</v>
      </c>
      <c r="I21" s="184">
        <f t="shared" si="3"/>
        <v>455</v>
      </c>
      <c r="J21" s="184">
        <f t="shared" si="3"/>
        <v>560</v>
      </c>
      <c r="K21" s="184">
        <f t="shared" si="3"/>
        <v>560</v>
      </c>
      <c r="L21" s="184">
        <f t="shared" si="3"/>
        <v>560</v>
      </c>
      <c r="M21" s="184">
        <f t="shared" si="3"/>
        <v>560</v>
      </c>
      <c r="N21" s="184">
        <f t="shared" si="3"/>
        <v>560</v>
      </c>
      <c r="O21" s="185">
        <f t="shared" si="3"/>
        <v>560</v>
      </c>
    </row>
    <row r="22" spans="1:15" x14ac:dyDescent="0.3">
      <c r="A22" s="75" t="s">
        <v>180</v>
      </c>
      <c r="B22" s="187">
        <f>'Project 2'!I5</f>
        <v>1750</v>
      </c>
      <c r="C22" s="2">
        <f>'Project 2'!J5</f>
        <v>42</v>
      </c>
      <c r="D22" s="188">
        <f>D12*$B$22*12</f>
        <v>0</v>
      </c>
      <c r="E22" s="188">
        <f>E12*$B$22*12</f>
        <v>0</v>
      </c>
      <c r="F22" s="188">
        <f>F12*$B$22*12*(1+F$30)^F$33</f>
        <v>559679.53125</v>
      </c>
      <c r="G22" s="188">
        <f t="shared" ref="G22:O22" si="4">G12*$B$22*12*(1+G$30)^G$33</f>
        <v>1155738.2320312497</v>
      </c>
      <c r="H22" s="188">
        <f t="shared" si="4"/>
        <v>1789949.5868583983</v>
      </c>
      <c r="I22" s="188">
        <f t="shared" si="4"/>
        <v>2464163.9312417284</v>
      </c>
      <c r="J22" s="188">
        <f t="shared" si="4"/>
        <v>2544249.2590070842</v>
      </c>
      <c r="K22" s="188">
        <f t="shared" si="4"/>
        <v>2626937.3599248142</v>
      </c>
      <c r="L22" s="188">
        <f t="shared" si="4"/>
        <v>2712312.8241223712</v>
      </c>
      <c r="M22" s="188">
        <f t="shared" si="4"/>
        <v>2800462.9909063485</v>
      </c>
      <c r="N22" s="188">
        <f t="shared" si="4"/>
        <v>2891478.0381108043</v>
      </c>
      <c r="O22" s="189">
        <f t="shared" si="4"/>
        <v>2985451.0743494052</v>
      </c>
    </row>
    <row r="23" spans="1:15" x14ac:dyDescent="0.3">
      <c r="A23" s="75" t="s">
        <v>10</v>
      </c>
      <c r="B23" s="187">
        <f>'Project 2'!I6</f>
        <v>2100</v>
      </c>
      <c r="C23" s="2">
        <f>'Project 2'!J6</f>
        <v>36</v>
      </c>
      <c r="D23" s="188">
        <f>D13*$B$23*12</f>
        <v>0</v>
      </c>
      <c r="E23" s="188">
        <f>E13*$B$23*12</f>
        <v>0</v>
      </c>
      <c r="F23" s="188">
        <f>F13*$B$23*12*(1+F$30)^F$33</f>
        <v>671615.4375</v>
      </c>
      <c r="G23" s="188">
        <f t="shared" ref="G23:O23" si="5">G13*$B$23*12*(1+G$30)^G$33</f>
        <v>1386885.8784374997</v>
      </c>
      <c r="H23" s="188">
        <f t="shared" si="5"/>
        <v>2147939.5042300778</v>
      </c>
      <c r="I23" s="188">
        <f t="shared" si="5"/>
        <v>2956996.7174900738</v>
      </c>
      <c r="J23" s="188">
        <f t="shared" si="5"/>
        <v>4579648.6662127515</v>
      </c>
      <c r="K23" s="188">
        <f t="shared" si="5"/>
        <v>4728487.2478646655</v>
      </c>
      <c r="L23" s="188">
        <f t="shared" si="5"/>
        <v>4882163.0834202683</v>
      </c>
      <c r="M23" s="188">
        <f t="shared" si="5"/>
        <v>5040833.3836314268</v>
      </c>
      <c r="N23" s="188">
        <f t="shared" si="5"/>
        <v>5204660.468599448</v>
      </c>
      <c r="O23" s="189">
        <f t="shared" si="5"/>
        <v>5373811.9338289294</v>
      </c>
    </row>
    <row r="24" spans="1:15" x14ac:dyDescent="0.3">
      <c r="A24" s="75" t="s">
        <v>11</v>
      </c>
      <c r="B24" s="187">
        <f>'Project 2'!I7</f>
        <v>2200</v>
      </c>
      <c r="C24" s="2">
        <f>'Project 2'!J7</f>
        <v>33</v>
      </c>
      <c r="D24" s="188">
        <f>D14*$B$24*12</f>
        <v>0</v>
      </c>
      <c r="E24" s="188">
        <f>E14*$B$24*12</f>
        <v>0</v>
      </c>
      <c r="F24" s="188">
        <f>F14*$B$24*12*(1+F$30)^F$33</f>
        <v>703597.125</v>
      </c>
      <c r="G24" s="188">
        <f t="shared" ref="G24:O24" si="6">G14*$B$24*12*(1+G$30)^G$33</f>
        <v>1452928.0631249996</v>
      </c>
      <c r="H24" s="188">
        <f t="shared" si="6"/>
        <v>1500148.2251765623</v>
      </c>
      <c r="I24" s="188">
        <f t="shared" si="6"/>
        <v>1548903.0424948006</v>
      </c>
      <c r="J24" s="188">
        <f t="shared" si="6"/>
        <v>1599242.3913758814</v>
      </c>
      <c r="K24" s="188">
        <f t="shared" si="6"/>
        <v>1651217.7690955976</v>
      </c>
      <c r="L24" s="188">
        <f t="shared" si="6"/>
        <v>1704882.3465912046</v>
      </c>
      <c r="M24" s="188">
        <f t="shared" si="6"/>
        <v>1760291.022855419</v>
      </c>
      <c r="N24" s="188">
        <f t="shared" si="6"/>
        <v>1817500.48109822</v>
      </c>
      <c r="O24" s="189">
        <f t="shared" si="6"/>
        <v>1876569.2467339118</v>
      </c>
    </row>
    <row r="25" spans="1:15" x14ac:dyDescent="0.3">
      <c r="A25" s="75" t="s">
        <v>12</v>
      </c>
      <c r="B25" s="187">
        <f>'Project 2'!I8</f>
        <v>2400</v>
      </c>
      <c r="C25" s="2">
        <f>'Project 2'!J8</f>
        <v>24</v>
      </c>
      <c r="D25" s="188">
        <f>D15*$B$25*12</f>
        <v>0</v>
      </c>
      <c r="E25" s="188">
        <f>E15*$B$25*12</f>
        <v>0</v>
      </c>
      <c r="F25" s="188">
        <f>F15*$B$25*12*(1+F$30)^F$33</f>
        <v>767560.5</v>
      </c>
      <c r="G25" s="188">
        <f t="shared" ref="G25:O25" si="7">G15*$B$25*12*(1+G$30)^G$33</f>
        <v>1585012.4324999996</v>
      </c>
      <c r="H25" s="188">
        <f t="shared" si="7"/>
        <v>2454788.0048343749</v>
      </c>
      <c r="I25" s="188">
        <f t="shared" si="7"/>
        <v>3379424.8199886559</v>
      </c>
      <c r="J25" s="188">
        <f t="shared" si="7"/>
        <v>4361570.1582978582</v>
      </c>
      <c r="K25" s="188">
        <f t="shared" si="7"/>
        <v>4503321.1884425385</v>
      </c>
      <c r="L25" s="188">
        <f t="shared" si="7"/>
        <v>4649679.1270669224</v>
      </c>
      <c r="M25" s="188">
        <f t="shared" si="7"/>
        <v>4800793.6986965975</v>
      </c>
      <c r="N25" s="188">
        <f t="shared" si="7"/>
        <v>4956819.4939042358</v>
      </c>
      <c r="O25" s="189">
        <f t="shared" si="7"/>
        <v>5117916.127456123</v>
      </c>
    </row>
    <row r="26" spans="1:15" x14ac:dyDescent="0.3">
      <c r="A26" s="75" t="s">
        <v>13</v>
      </c>
      <c r="B26" s="187">
        <f>'Project 2'!I9</f>
        <v>2500</v>
      </c>
      <c r="C26" s="2">
        <f>'Project 2'!J9</f>
        <v>21.428571428571427</v>
      </c>
      <c r="D26" s="188">
        <f>D16*$B$26*12</f>
        <v>0</v>
      </c>
      <c r="E26" s="188">
        <f>E16*$B$26*12</f>
        <v>0</v>
      </c>
      <c r="F26" s="188">
        <f>F16*$B$26*12*(1+F$30)^F$33</f>
        <v>639633.75</v>
      </c>
      <c r="G26" s="188">
        <f t="shared" ref="G26:O26" si="8">G16*$B$26*12*(1+G$30)^G$33</f>
        <v>825527.30859374988</v>
      </c>
      <c r="H26" s="188">
        <f t="shared" si="8"/>
        <v>1193299.7245722655</v>
      </c>
      <c r="I26" s="188">
        <f t="shared" si="8"/>
        <v>1760117.0937440915</v>
      </c>
      <c r="J26" s="188">
        <f t="shared" si="8"/>
        <v>2725981.3489361615</v>
      </c>
      <c r="K26" s="188">
        <f t="shared" si="8"/>
        <v>2814575.7427765867</v>
      </c>
      <c r="L26" s="188">
        <f t="shared" si="8"/>
        <v>2906049.4544168264</v>
      </c>
      <c r="M26" s="188">
        <f t="shared" si="8"/>
        <v>3000496.0616853731</v>
      </c>
      <c r="N26" s="188">
        <f t="shared" si="8"/>
        <v>3098012.1836901475</v>
      </c>
      <c r="O26" s="189">
        <f t="shared" si="8"/>
        <v>3198697.5796600771</v>
      </c>
    </row>
    <row r="27" spans="1:15" x14ac:dyDescent="0.3">
      <c r="A27" s="75" t="s">
        <v>14</v>
      </c>
      <c r="B27" s="187">
        <f>'Project 2'!I10</f>
        <v>2800</v>
      </c>
      <c r="C27" s="2">
        <f>'Project 2'!J10</f>
        <v>22.4</v>
      </c>
      <c r="D27" s="188">
        <f>D17*$B$27*12</f>
        <v>0</v>
      </c>
      <c r="E27" s="188">
        <f>E17*$B$27*12</f>
        <v>0</v>
      </c>
      <c r="F27" s="188">
        <f>F17*$B$27*12*(1+F$30)^F$33</f>
        <v>179097.44999999998</v>
      </c>
      <c r="G27" s="188">
        <f t="shared" ref="G27:O27" si="9">G17*$B$27*12*(1+G$30)^G$33</f>
        <v>554754.35137499985</v>
      </c>
      <c r="H27" s="188">
        <f t="shared" si="9"/>
        <v>763711.82372624998</v>
      </c>
      <c r="I27" s="188">
        <f t="shared" si="9"/>
        <v>1182798.6869960295</v>
      </c>
      <c r="J27" s="188">
        <f t="shared" si="9"/>
        <v>1424779.585043967</v>
      </c>
      <c r="K27" s="188">
        <f t="shared" si="9"/>
        <v>1471084.9215578961</v>
      </c>
      <c r="L27" s="188">
        <f t="shared" si="9"/>
        <v>1518895.1815085278</v>
      </c>
      <c r="M27" s="188">
        <f t="shared" si="9"/>
        <v>1568259.274907555</v>
      </c>
      <c r="N27" s="188">
        <f t="shared" si="9"/>
        <v>1619227.7013420505</v>
      </c>
      <c r="O27" s="189">
        <f t="shared" si="9"/>
        <v>1671852.601635667</v>
      </c>
    </row>
    <row r="28" spans="1:15" x14ac:dyDescent="0.3">
      <c r="A28" s="75" t="s">
        <v>179</v>
      </c>
      <c r="B28" s="187">
        <f>'Project 2'!I11</f>
        <v>3000</v>
      </c>
      <c r="C28" s="2">
        <f>'Project 2'!J11</f>
        <v>20.571428571428573</v>
      </c>
      <c r="D28" s="188">
        <f>D18*$B$28*12</f>
        <v>0</v>
      </c>
      <c r="E28" s="188">
        <f>E18*$B$28*12</f>
        <v>0</v>
      </c>
      <c r="F28" s="188">
        <f>F18*$B$28*12*(1+F$30)^F$33</f>
        <v>191890.125</v>
      </c>
      <c r="G28" s="188">
        <f t="shared" ref="G28:O28" si="10">G18*$B$28*12*(1+G$30)^G$33</f>
        <v>594379.66218749993</v>
      </c>
      <c r="H28" s="188">
        <f t="shared" si="10"/>
        <v>818262.66827812488</v>
      </c>
      <c r="I28" s="188">
        <f t="shared" si="10"/>
        <v>1056070.256246455</v>
      </c>
      <c r="J28" s="188">
        <f t="shared" si="10"/>
        <v>1090392.5395744646</v>
      </c>
      <c r="K28" s="188">
        <f t="shared" si="10"/>
        <v>1125830.2971106346</v>
      </c>
      <c r="L28" s="188">
        <f t="shared" si="10"/>
        <v>1162419.7817667306</v>
      </c>
      <c r="M28" s="188">
        <f t="shared" si="10"/>
        <v>1200198.4246741494</v>
      </c>
      <c r="N28" s="188">
        <f t="shared" si="10"/>
        <v>1239204.8734760589</v>
      </c>
      <c r="O28" s="189">
        <f t="shared" si="10"/>
        <v>1279479.0318640308</v>
      </c>
    </row>
    <row r="29" spans="1:15" s="101" customFormat="1" x14ac:dyDescent="0.3">
      <c r="A29" s="205" t="s">
        <v>143</v>
      </c>
      <c r="B29" s="206"/>
      <c r="C29" s="206"/>
      <c r="D29" s="206">
        <v>0</v>
      </c>
      <c r="E29" s="206">
        <v>0</v>
      </c>
      <c r="F29" s="301">
        <f>SUM(F22:F28)/F21/12</f>
        <v>2380.175588942308</v>
      </c>
      <c r="G29" s="301">
        <f t="shared" ref="G29:O29" si="11">SUM(G22:G28)/G21/12</f>
        <v>2469.0280811274506</v>
      </c>
      <c r="H29" s="301">
        <f t="shared" si="11"/>
        <v>2540.0236994466791</v>
      </c>
      <c r="I29" s="301">
        <f t="shared" si="11"/>
        <v>2627.9257414289073</v>
      </c>
      <c r="J29" s="301">
        <f t="shared" si="11"/>
        <v>2727.0630875666916</v>
      </c>
      <c r="K29" s="301">
        <f t="shared" si="11"/>
        <v>2815.6926379126089</v>
      </c>
      <c r="L29" s="301">
        <f t="shared" si="11"/>
        <v>2907.2026486447699</v>
      </c>
      <c r="M29" s="301">
        <f t="shared" si="11"/>
        <v>3001.6867347257244</v>
      </c>
      <c r="N29" s="301">
        <f t="shared" si="11"/>
        <v>3099.2415536043095</v>
      </c>
      <c r="O29" s="302">
        <f t="shared" si="11"/>
        <v>3199.9669040964509</v>
      </c>
    </row>
    <row r="30" spans="1:15" ht="16.2" thickBot="1" x14ac:dyDescent="0.35">
      <c r="A30" s="193" t="s">
        <v>91</v>
      </c>
      <c r="B30" s="194"/>
      <c r="C30" s="194"/>
      <c r="D30" s="303"/>
      <c r="E30" s="303">
        <f>'Project 2'!$F$15</f>
        <v>3.2500000000000001E-2</v>
      </c>
      <c r="F30" s="303">
        <f>'Project 2'!$F$15</f>
        <v>3.2500000000000001E-2</v>
      </c>
      <c r="G30" s="303">
        <f>'Project 2'!$F$15</f>
        <v>3.2500000000000001E-2</v>
      </c>
      <c r="H30" s="303">
        <f>'Project 2'!$F$15</f>
        <v>3.2500000000000001E-2</v>
      </c>
      <c r="I30" s="303">
        <f>'Project 2'!$F$15</f>
        <v>3.2500000000000001E-2</v>
      </c>
      <c r="J30" s="303">
        <f>'Project 2'!$F$15</f>
        <v>3.2500000000000001E-2</v>
      </c>
      <c r="K30" s="303">
        <f>'Project 2'!$F$15</f>
        <v>3.2500000000000001E-2</v>
      </c>
      <c r="L30" s="303">
        <f>'Project 2'!$F$15</f>
        <v>3.2500000000000001E-2</v>
      </c>
      <c r="M30" s="303">
        <f>'Project 2'!$F$15</f>
        <v>3.2500000000000001E-2</v>
      </c>
      <c r="N30" s="303">
        <f>'Project 2'!$F$15</f>
        <v>3.2500000000000001E-2</v>
      </c>
      <c r="O30" s="304">
        <f>'Project 2'!$F$15</f>
        <v>3.2500000000000001E-2</v>
      </c>
    </row>
    <row r="31" spans="1:15" ht="16.2" thickBot="1" x14ac:dyDescent="0.35">
      <c r="A31" s="208"/>
      <c r="B31" s="209"/>
      <c r="C31" s="209"/>
      <c r="D31" s="209"/>
      <c r="E31" s="209"/>
      <c r="F31" s="209"/>
      <c r="G31" s="209"/>
      <c r="H31" s="209"/>
      <c r="I31" s="209"/>
      <c r="J31" s="209"/>
      <c r="K31" s="209"/>
      <c r="L31" s="209"/>
      <c r="M31" s="209"/>
      <c r="N31" s="209"/>
      <c r="O31" s="210"/>
    </row>
    <row r="32" spans="1:15" x14ac:dyDescent="0.3">
      <c r="A32" s="106" t="s">
        <v>92</v>
      </c>
      <c r="B32" s="222" t="s">
        <v>193</v>
      </c>
      <c r="C32" s="223"/>
      <c r="D32" s="223"/>
      <c r="E32" s="223"/>
      <c r="F32" s="224"/>
      <c r="G32" s="224"/>
      <c r="H32" s="224"/>
      <c r="I32" s="224"/>
      <c r="J32" s="224"/>
      <c r="K32" s="224"/>
      <c r="L32" s="224"/>
      <c r="M32" s="224"/>
      <c r="N32" s="224"/>
      <c r="O32" s="225"/>
    </row>
    <row r="33" spans="1:15" x14ac:dyDescent="0.3">
      <c r="A33" s="110" t="s">
        <v>84</v>
      </c>
      <c r="B33" s="215"/>
      <c r="C33" s="215"/>
      <c r="D33" s="23">
        <v>0</v>
      </c>
      <c r="E33" s="23">
        <v>1</v>
      </c>
      <c r="F33" s="23">
        <v>2</v>
      </c>
      <c r="G33" s="23">
        <v>3</v>
      </c>
      <c r="H33" s="23">
        <v>4</v>
      </c>
      <c r="I33" s="23">
        <v>5</v>
      </c>
      <c r="J33" s="23">
        <v>6</v>
      </c>
      <c r="K33" s="23">
        <v>7</v>
      </c>
      <c r="L33" s="23">
        <v>8</v>
      </c>
      <c r="M33" s="23">
        <v>9</v>
      </c>
      <c r="N33" s="23">
        <v>10</v>
      </c>
      <c r="O33" s="111">
        <v>11</v>
      </c>
    </row>
    <row r="34" spans="1:15" x14ac:dyDescent="0.3">
      <c r="A34" s="112" t="s">
        <v>85</v>
      </c>
      <c r="B34" s="216"/>
      <c r="C34" s="216"/>
      <c r="D34" s="113">
        <v>0</v>
      </c>
      <c r="E34" s="113">
        <v>12</v>
      </c>
      <c r="F34" s="113">
        <v>24</v>
      </c>
      <c r="G34" s="113">
        <v>36</v>
      </c>
      <c r="H34" s="113">
        <v>48</v>
      </c>
      <c r="I34" s="113">
        <v>60</v>
      </c>
      <c r="J34" s="113">
        <v>72</v>
      </c>
      <c r="K34" s="113">
        <v>84</v>
      </c>
      <c r="L34" s="113">
        <v>96</v>
      </c>
      <c r="M34" s="113">
        <v>108</v>
      </c>
      <c r="N34" s="113">
        <v>120</v>
      </c>
      <c r="O34" s="114">
        <v>132</v>
      </c>
    </row>
    <row r="35" spans="1:15" x14ac:dyDescent="0.3">
      <c r="A35" s="158" t="s">
        <v>86</v>
      </c>
      <c r="B35" s="217"/>
      <c r="C35" s="217"/>
      <c r="D35" s="26">
        <v>44927</v>
      </c>
      <c r="E35" s="26">
        <f>+D35+365</f>
        <v>45292</v>
      </c>
      <c r="F35" s="26">
        <f t="shared" ref="F35:O35" si="12">+E35+365</f>
        <v>45657</v>
      </c>
      <c r="G35" s="26">
        <f t="shared" si="12"/>
        <v>46022</v>
      </c>
      <c r="H35" s="26">
        <f t="shared" si="12"/>
        <v>46387</v>
      </c>
      <c r="I35" s="26">
        <f t="shared" si="12"/>
        <v>46752</v>
      </c>
      <c r="J35" s="26">
        <f t="shared" si="12"/>
        <v>47117</v>
      </c>
      <c r="K35" s="26">
        <f t="shared" si="12"/>
        <v>47482</v>
      </c>
      <c r="L35" s="26">
        <f t="shared" si="12"/>
        <v>47847</v>
      </c>
      <c r="M35" s="26">
        <f t="shared" si="12"/>
        <v>48212</v>
      </c>
      <c r="N35" s="26">
        <f t="shared" si="12"/>
        <v>48577</v>
      </c>
      <c r="O35" s="115">
        <f t="shared" si="12"/>
        <v>48942</v>
      </c>
    </row>
    <row r="36" spans="1:15" x14ac:dyDescent="0.3">
      <c r="A36" s="118" t="s">
        <v>94</v>
      </c>
      <c r="B36" s="103"/>
      <c r="F36" s="57"/>
      <c r="G36" s="57"/>
      <c r="H36" s="57"/>
      <c r="I36" s="57"/>
      <c r="J36" s="57"/>
      <c r="K36" s="57"/>
      <c r="L36" s="57"/>
      <c r="M36" s="57"/>
      <c r="N36" s="57"/>
      <c r="O36" s="226"/>
    </row>
    <row r="37" spans="1:15" x14ac:dyDescent="0.3">
      <c r="A37" s="152" t="s">
        <v>95</v>
      </c>
      <c r="B37" s="37">
        <f t="shared" ref="B37:B46" si="13">SUM(D37:O37)</f>
        <v>155570609.90009764</v>
      </c>
      <c r="C37" s="38"/>
      <c r="D37" s="119">
        <v>0</v>
      </c>
      <c r="E37" s="119">
        <v>0</v>
      </c>
      <c r="F37" s="119">
        <f>SUM(F22:F28)</f>
        <v>3713073.9187500002</v>
      </c>
      <c r="G37" s="119">
        <f t="shared" ref="G37:O37" si="14">SUM(G22:G28)</f>
        <v>7555225.9282499989</v>
      </c>
      <c r="H37" s="119">
        <f t="shared" si="14"/>
        <v>10668099.537676053</v>
      </c>
      <c r="I37" s="119">
        <f t="shared" si="14"/>
        <v>14348474.548201835</v>
      </c>
      <c r="J37" s="119">
        <f t="shared" si="14"/>
        <v>18325863.948448166</v>
      </c>
      <c r="K37" s="119">
        <f t="shared" si="14"/>
        <v>18921454.526772734</v>
      </c>
      <c r="L37" s="119">
        <f t="shared" si="14"/>
        <v>19536401.798892852</v>
      </c>
      <c r="M37" s="119">
        <f t="shared" si="14"/>
        <v>20171334.857356869</v>
      </c>
      <c r="N37" s="119">
        <f t="shared" si="14"/>
        <v>20826903.24022096</v>
      </c>
      <c r="O37" s="120">
        <f t="shared" si="14"/>
        <v>21503777.595528148</v>
      </c>
    </row>
    <row r="38" spans="1:15" x14ac:dyDescent="0.3">
      <c r="A38" s="152" t="s">
        <v>187</v>
      </c>
      <c r="B38" s="37">
        <f t="shared" si="13"/>
        <v>6222824.3960039057</v>
      </c>
      <c r="C38" s="38"/>
      <c r="D38" s="119">
        <v>0</v>
      </c>
      <c r="E38" s="119">
        <v>0</v>
      </c>
      <c r="F38" s="119">
        <f>F37*0.04</f>
        <v>148522.95675000001</v>
      </c>
      <c r="G38" s="119">
        <f t="shared" ref="G38:O38" si="15">G37*0.04</f>
        <v>302209.03712999995</v>
      </c>
      <c r="H38" s="119">
        <f t="shared" si="15"/>
        <v>426723.98150704213</v>
      </c>
      <c r="I38" s="119">
        <f t="shared" si="15"/>
        <v>573938.98192807345</v>
      </c>
      <c r="J38" s="119">
        <f t="shared" si="15"/>
        <v>733034.55793792661</v>
      </c>
      <c r="K38" s="119">
        <f t="shared" si="15"/>
        <v>756858.18107090937</v>
      </c>
      <c r="L38" s="119">
        <f t="shared" si="15"/>
        <v>781456.07195571414</v>
      </c>
      <c r="M38" s="119">
        <f t="shared" si="15"/>
        <v>806853.39429427474</v>
      </c>
      <c r="N38" s="119">
        <f t="shared" si="15"/>
        <v>833076.12960883847</v>
      </c>
      <c r="O38" s="120">
        <f t="shared" si="15"/>
        <v>860151.10382112593</v>
      </c>
    </row>
    <row r="39" spans="1:15" x14ac:dyDescent="0.3">
      <c r="A39" s="152" t="s">
        <v>192</v>
      </c>
      <c r="B39" s="37">
        <f t="shared" si="13"/>
        <v>2333559.1485014642</v>
      </c>
      <c r="C39" s="38"/>
      <c r="D39" s="119">
        <v>0</v>
      </c>
      <c r="E39" s="119">
        <v>0</v>
      </c>
      <c r="F39" s="119">
        <f>F37*0.015</f>
        <v>55696.108781249997</v>
      </c>
      <c r="G39" s="119">
        <f t="shared" ref="G39:O39" si="16">G37*0.015</f>
        <v>113328.38892374998</v>
      </c>
      <c r="H39" s="119">
        <f t="shared" si="16"/>
        <v>160021.49306514079</v>
      </c>
      <c r="I39" s="119">
        <f t="shared" si="16"/>
        <v>215227.1182230275</v>
      </c>
      <c r="J39" s="119">
        <f t="shared" si="16"/>
        <v>274887.95922672248</v>
      </c>
      <c r="K39" s="119">
        <f t="shared" si="16"/>
        <v>283821.81790159101</v>
      </c>
      <c r="L39" s="119">
        <f t="shared" si="16"/>
        <v>293046.02698339277</v>
      </c>
      <c r="M39" s="119">
        <f t="shared" si="16"/>
        <v>302570.022860353</v>
      </c>
      <c r="N39" s="119">
        <f t="shared" si="16"/>
        <v>312403.54860331438</v>
      </c>
      <c r="O39" s="120">
        <f t="shared" si="16"/>
        <v>322556.66393292224</v>
      </c>
    </row>
    <row r="40" spans="1:15" x14ac:dyDescent="0.3">
      <c r="A40" s="152" t="s">
        <v>188</v>
      </c>
      <c r="B40" s="42">
        <f t="shared" si="13"/>
        <v>1555706.0990009764</v>
      </c>
      <c r="C40" s="219"/>
      <c r="D40" s="10">
        <v>0</v>
      </c>
      <c r="E40" s="10">
        <v>0</v>
      </c>
      <c r="F40" s="10">
        <f>F37*0.01</f>
        <v>37130.739187500003</v>
      </c>
      <c r="G40" s="10">
        <f t="shared" ref="G40:O40" si="17">G37*0.01</f>
        <v>75552.259282499988</v>
      </c>
      <c r="H40" s="10">
        <f t="shared" si="17"/>
        <v>106680.99537676053</v>
      </c>
      <c r="I40" s="10">
        <f t="shared" si="17"/>
        <v>143484.74548201836</v>
      </c>
      <c r="J40" s="10">
        <f t="shared" si="17"/>
        <v>183258.63948448165</v>
      </c>
      <c r="K40" s="10">
        <f t="shared" si="17"/>
        <v>189214.54526772734</v>
      </c>
      <c r="L40" s="10">
        <f t="shared" si="17"/>
        <v>195364.01798892854</v>
      </c>
      <c r="M40" s="10">
        <f t="shared" si="17"/>
        <v>201713.34857356868</v>
      </c>
      <c r="N40" s="10">
        <f t="shared" si="17"/>
        <v>208269.03240220962</v>
      </c>
      <c r="O40" s="227">
        <f t="shared" si="17"/>
        <v>215037.77595528148</v>
      </c>
    </row>
    <row r="41" spans="1:15" x14ac:dyDescent="0.3">
      <c r="A41" s="123" t="s">
        <v>96</v>
      </c>
      <c r="B41" s="40">
        <f t="shared" si="13"/>
        <v>165682699.54360396</v>
      </c>
      <c r="C41" s="38"/>
      <c r="D41" s="119">
        <v>0</v>
      </c>
      <c r="E41" s="119">
        <v>0</v>
      </c>
      <c r="F41" s="38">
        <f>SUM(F37:F40)</f>
        <v>3954423.7234687502</v>
      </c>
      <c r="G41" s="38">
        <f t="shared" ref="G41:O41" si="18">SUM(G37:G40)</f>
        <v>8046315.6135862488</v>
      </c>
      <c r="H41" s="38">
        <f t="shared" si="18"/>
        <v>11361526.007624997</v>
      </c>
      <c r="I41" s="38">
        <f t="shared" si="18"/>
        <v>15281125.393834954</v>
      </c>
      <c r="J41" s="38">
        <f t="shared" si="18"/>
        <v>19517045.105097298</v>
      </c>
      <c r="K41" s="38">
        <f t="shared" si="18"/>
        <v>20151349.071012963</v>
      </c>
      <c r="L41" s="38">
        <f t="shared" si="18"/>
        <v>20806267.915820885</v>
      </c>
      <c r="M41" s="38">
        <f t="shared" si="18"/>
        <v>21482471.623085063</v>
      </c>
      <c r="N41" s="38">
        <f t="shared" si="18"/>
        <v>22180651.950835325</v>
      </c>
      <c r="O41" s="124">
        <f t="shared" si="18"/>
        <v>22901523.139237478</v>
      </c>
    </row>
    <row r="42" spans="1:15" x14ac:dyDescent="0.3">
      <c r="A42" s="152" t="s">
        <v>190</v>
      </c>
      <c r="B42" s="37">
        <f t="shared" si="13"/>
        <v>4970480.9863081193</v>
      </c>
      <c r="C42" s="38"/>
      <c r="D42" s="119">
        <v>0</v>
      </c>
      <c r="E42" s="119">
        <v>0</v>
      </c>
      <c r="F42" s="119">
        <f>F41*0.03</f>
        <v>118632.7117040625</v>
      </c>
      <c r="G42" s="119">
        <f t="shared" ref="G42:O42" si="19">G41*0.03</f>
        <v>241389.46840758747</v>
      </c>
      <c r="H42" s="119">
        <f t="shared" si="19"/>
        <v>340845.78022874991</v>
      </c>
      <c r="I42" s="119">
        <f t="shared" si="19"/>
        <v>458433.76181504858</v>
      </c>
      <c r="J42" s="119">
        <f t="shared" si="19"/>
        <v>585511.35315291886</v>
      </c>
      <c r="K42" s="119">
        <f t="shared" si="19"/>
        <v>604540.47213038884</v>
      </c>
      <c r="L42" s="119">
        <f t="shared" si="19"/>
        <v>624188.03747462656</v>
      </c>
      <c r="M42" s="119">
        <f t="shared" si="19"/>
        <v>644474.14869255188</v>
      </c>
      <c r="N42" s="119">
        <f t="shared" si="19"/>
        <v>665419.55852505972</v>
      </c>
      <c r="O42" s="120">
        <f t="shared" si="19"/>
        <v>687045.6941771243</v>
      </c>
    </row>
    <row r="43" spans="1:15" x14ac:dyDescent="0.3">
      <c r="A43" s="152" t="s">
        <v>191</v>
      </c>
      <c r="B43" s="37">
        <f t="shared" si="13"/>
        <v>62228.24396003905</v>
      </c>
      <c r="C43" s="38"/>
      <c r="D43" s="119">
        <v>0</v>
      </c>
      <c r="E43" s="119">
        <v>0</v>
      </c>
      <c r="F43" s="119">
        <f>F38*0.01</f>
        <v>1485.2295675000003</v>
      </c>
      <c r="G43" s="119">
        <f t="shared" ref="G43:O43" si="20">G38*0.01</f>
        <v>3022.0903712999998</v>
      </c>
      <c r="H43" s="119">
        <f t="shared" si="20"/>
        <v>4267.2398150704212</v>
      </c>
      <c r="I43" s="119">
        <f t="shared" si="20"/>
        <v>5739.3898192807346</v>
      </c>
      <c r="J43" s="119">
        <f t="shared" si="20"/>
        <v>7330.3455793792664</v>
      </c>
      <c r="K43" s="119">
        <f t="shared" si="20"/>
        <v>7568.5818107090936</v>
      </c>
      <c r="L43" s="119">
        <f t="shared" si="20"/>
        <v>7814.560719557142</v>
      </c>
      <c r="M43" s="119">
        <f t="shared" si="20"/>
        <v>8068.5339429427477</v>
      </c>
      <c r="N43" s="119">
        <f t="shared" si="20"/>
        <v>8330.7612960883853</v>
      </c>
      <c r="O43" s="120">
        <f t="shared" si="20"/>
        <v>8601.5110382112598</v>
      </c>
    </row>
    <row r="44" spans="1:15" x14ac:dyDescent="0.3">
      <c r="A44" s="152" t="s">
        <v>148</v>
      </c>
      <c r="B44" s="37">
        <f t="shared" si="13"/>
        <v>46671.18297002928</v>
      </c>
      <c r="C44" s="38"/>
      <c r="D44" s="119">
        <v>0</v>
      </c>
      <c r="E44" s="119">
        <v>0</v>
      </c>
      <c r="F44" s="119">
        <f>F39*0.02</f>
        <v>1113.9221756249999</v>
      </c>
      <c r="G44" s="119">
        <f t="shared" ref="G44:O44" si="21">G39*0.02</f>
        <v>2266.5677784749996</v>
      </c>
      <c r="H44" s="119">
        <f t="shared" si="21"/>
        <v>3200.4298613028159</v>
      </c>
      <c r="I44" s="119">
        <f t="shared" si="21"/>
        <v>4304.5423644605498</v>
      </c>
      <c r="J44" s="119">
        <f t="shared" si="21"/>
        <v>5497.7591845344496</v>
      </c>
      <c r="K44" s="119">
        <f t="shared" si="21"/>
        <v>5676.4363580318204</v>
      </c>
      <c r="L44" s="119">
        <f t="shared" si="21"/>
        <v>5860.9205396678553</v>
      </c>
      <c r="M44" s="119">
        <f t="shared" si="21"/>
        <v>6051.4004572070598</v>
      </c>
      <c r="N44" s="119">
        <f t="shared" si="21"/>
        <v>6248.070972066288</v>
      </c>
      <c r="O44" s="120">
        <f t="shared" si="21"/>
        <v>6451.1332786584453</v>
      </c>
    </row>
    <row r="45" spans="1:15" x14ac:dyDescent="0.3">
      <c r="A45" s="152" t="s">
        <v>189</v>
      </c>
      <c r="B45" s="37">
        <f t="shared" si="13"/>
        <v>31114.121980019525</v>
      </c>
      <c r="C45" s="218"/>
      <c r="D45" s="10">
        <v>0</v>
      </c>
      <c r="E45" s="10">
        <v>0</v>
      </c>
      <c r="F45" s="10">
        <f>F40*0.02</f>
        <v>742.61478375000013</v>
      </c>
      <c r="G45" s="10">
        <f t="shared" ref="G45:O45" si="22">G40*0.02</f>
        <v>1511.0451856499999</v>
      </c>
      <c r="H45" s="10">
        <f t="shared" si="22"/>
        <v>2133.6199075352106</v>
      </c>
      <c r="I45" s="10">
        <f t="shared" si="22"/>
        <v>2869.6949096403673</v>
      </c>
      <c r="J45" s="10">
        <f t="shared" si="22"/>
        <v>3665.1727896896332</v>
      </c>
      <c r="K45" s="10">
        <f t="shared" si="22"/>
        <v>3784.2909053545468</v>
      </c>
      <c r="L45" s="10">
        <f t="shared" si="22"/>
        <v>3907.280359778571</v>
      </c>
      <c r="M45" s="10">
        <f t="shared" si="22"/>
        <v>4034.2669714713738</v>
      </c>
      <c r="N45" s="10">
        <f t="shared" si="22"/>
        <v>4165.3806480441926</v>
      </c>
      <c r="O45" s="227">
        <f t="shared" si="22"/>
        <v>4300.7555191056299</v>
      </c>
    </row>
    <row r="46" spans="1:15" x14ac:dyDescent="0.3">
      <c r="A46" s="123" t="s">
        <v>97</v>
      </c>
      <c r="B46" s="40">
        <f t="shared" si="13"/>
        <v>160572205.00838575</v>
      </c>
      <c r="C46" s="38"/>
      <c r="D46" s="119">
        <v>0</v>
      </c>
      <c r="E46" s="119">
        <v>0</v>
      </c>
      <c r="F46" s="38">
        <f>F41-F42-F43-F44-F45</f>
        <v>3832449.2452378133</v>
      </c>
      <c r="G46" s="38">
        <f>G41-G42-G43-G44-G45</f>
        <v>7798126.4418432377</v>
      </c>
      <c r="H46" s="38">
        <f>H41-H42-H43-H44-H45</f>
        <v>11011078.937812336</v>
      </c>
      <c r="I46" s="38">
        <f t="shared" ref="I46:O46" si="23">I41-I42-I43-I44-I45</f>
        <v>14809778.004926523</v>
      </c>
      <c r="J46" s="38">
        <f t="shared" si="23"/>
        <v>18915040.474390775</v>
      </c>
      <c r="K46" s="38">
        <f t="shared" si="23"/>
        <v>19529779.289808478</v>
      </c>
      <c r="L46" s="38">
        <f t="shared" si="23"/>
        <v>20164497.116727255</v>
      </c>
      <c r="M46" s="38">
        <f t="shared" si="23"/>
        <v>20819843.27302089</v>
      </c>
      <c r="N46" s="38">
        <f t="shared" si="23"/>
        <v>21496488.179394066</v>
      </c>
      <c r="O46" s="124">
        <f t="shared" si="23"/>
        <v>22195124.04522438</v>
      </c>
    </row>
    <row r="47" spans="1:15" x14ac:dyDescent="0.3">
      <c r="A47" s="75"/>
      <c r="B47" s="220"/>
      <c r="O47" s="199"/>
    </row>
    <row r="48" spans="1:15" x14ac:dyDescent="0.3">
      <c r="A48" s="118" t="s">
        <v>98</v>
      </c>
      <c r="B48" s="37"/>
      <c r="C48" s="38"/>
      <c r="D48" s="38"/>
      <c r="E48" s="38"/>
      <c r="F48" s="160"/>
      <c r="G48" s="160"/>
      <c r="H48" s="38"/>
      <c r="I48" s="38"/>
      <c r="J48" s="38"/>
      <c r="K48" s="38"/>
      <c r="L48" s="38"/>
      <c r="M48" s="38"/>
      <c r="N48" s="38"/>
      <c r="O48" s="124"/>
    </row>
    <row r="49" spans="1:15" x14ac:dyDescent="0.3">
      <c r="A49" s="152" t="s">
        <v>99</v>
      </c>
      <c r="B49" s="310">
        <v>-9161691.7272411417</v>
      </c>
      <c r="C49" s="309"/>
      <c r="D49" s="2">
        <v>0</v>
      </c>
      <c r="E49" s="2">
        <v>0</v>
      </c>
      <c r="F49" s="2">
        <v>-438554.6875</v>
      </c>
      <c r="G49" s="2">
        <v>-1084107.1875</v>
      </c>
      <c r="H49" s="2">
        <v>-1116630.403125</v>
      </c>
      <c r="I49" s="2">
        <v>-1150129.3152187502</v>
      </c>
      <c r="J49" s="2">
        <v>-1184633.1946753121</v>
      </c>
      <c r="K49" s="2">
        <v>-1220172.1905155715</v>
      </c>
      <c r="L49" s="2">
        <v>-1256777.3562310394</v>
      </c>
      <c r="M49" s="2">
        <v>-1294480.6769179699</v>
      </c>
      <c r="N49" s="2">
        <v>-1333315.0972255096</v>
      </c>
      <c r="O49" s="239">
        <v>-1373314.5501422745</v>
      </c>
    </row>
    <row r="50" spans="1:15" x14ac:dyDescent="0.3">
      <c r="A50" s="152" t="s">
        <v>100</v>
      </c>
      <c r="B50" s="310">
        <v>-5409724.0065422617</v>
      </c>
      <c r="C50" s="309"/>
      <c r="D50" s="2">
        <v>0</v>
      </c>
      <c r="E50" s="2">
        <v>0</v>
      </c>
      <c r="F50" s="2">
        <v>-258954.33854166666</v>
      </c>
      <c r="G50" s="2">
        <v>-640135.12487499998</v>
      </c>
      <c r="H50" s="2">
        <v>-659339.1786212502</v>
      </c>
      <c r="I50" s="2">
        <v>-679119.35397988756</v>
      </c>
      <c r="J50" s="2">
        <v>-699492.93459928408</v>
      </c>
      <c r="K50" s="2">
        <v>-720477.72263726266</v>
      </c>
      <c r="L50" s="2">
        <v>-742092.05431638053</v>
      </c>
      <c r="M50" s="2">
        <v>-764354.81594587187</v>
      </c>
      <c r="N50" s="2">
        <v>-787285.46042424801</v>
      </c>
      <c r="O50" s="239">
        <v>-810904.0242369757</v>
      </c>
    </row>
    <row r="51" spans="1:15" x14ac:dyDescent="0.3">
      <c r="A51" s="152" t="s">
        <v>101</v>
      </c>
      <c r="B51" s="310">
        <v>-916169.17272411415</v>
      </c>
      <c r="C51" s="309"/>
      <c r="D51" s="2">
        <v>0</v>
      </c>
      <c r="E51" s="2">
        <v>0</v>
      </c>
      <c r="F51" s="2">
        <v>-43855.46875</v>
      </c>
      <c r="G51" s="2">
        <v>-108410.71875000001</v>
      </c>
      <c r="H51" s="2">
        <v>-111663.0403125</v>
      </c>
      <c r="I51" s="2">
        <v>-115012.931521875</v>
      </c>
      <c r="J51" s="2">
        <v>-118463.31946753124</v>
      </c>
      <c r="K51" s="2">
        <v>-122017.21905155719</v>
      </c>
      <c r="L51" s="2">
        <v>-125677.73562310387</v>
      </c>
      <c r="M51" s="2">
        <v>-129448.06769179697</v>
      </c>
      <c r="N51" s="2">
        <v>-133331.50972255095</v>
      </c>
      <c r="O51" s="239">
        <v>-137331.45501422745</v>
      </c>
    </row>
    <row r="52" spans="1:15" x14ac:dyDescent="0.3">
      <c r="A52" s="152" t="s">
        <v>102</v>
      </c>
      <c r="B52" s="310">
        <v>-2477321.4430460045</v>
      </c>
      <c r="C52" s="309"/>
      <c r="D52" s="2">
        <v>0</v>
      </c>
      <c r="E52" s="2">
        <v>0</v>
      </c>
      <c r="F52" s="2">
        <v>-118585.18750000001</v>
      </c>
      <c r="G52" s="2">
        <v>-293142.58350000001</v>
      </c>
      <c r="H52" s="2">
        <v>-301936.86100500001</v>
      </c>
      <c r="I52" s="2">
        <v>-310994.96683514997</v>
      </c>
      <c r="J52" s="2">
        <v>-320324.81584020442</v>
      </c>
      <c r="K52" s="2">
        <v>-329934.56031541072</v>
      </c>
      <c r="L52" s="2">
        <v>-339832.5971248729</v>
      </c>
      <c r="M52" s="2">
        <v>-350027.57503861911</v>
      </c>
      <c r="N52" s="2">
        <v>-360528.40228977764</v>
      </c>
      <c r="O52" s="239">
        <v>-371344.25435847091</v>
      </c>
    </row>
    <row r="53" spans="1:15" x14ac:dyDescent="0.3">
      <c r="A53" s="152" t="s">
        <v>103</v>
      </c>
      <c r="B53" s="310">
        <v>-3749726.328227384</v>
      </c>
      <c r="C53" s="309"/>
      <c r="D53" s="2">
        <v>0</v>
      </c>
      <c r="E53" s="2">
        <v>0</v>
      </c>
      <c r="F53" s="2">
        <v>-179493.05729166666</v>
      </c>
      <c r="G53" s="2">
        <v>-443706.83762499999</v>
      </c>
      <c r="H53" s="2">
        <v>-457018.04275375005</v>
      </c>
      <c r="I53" s="2">
        <v>-470728.58403636253</v>
      </c>
      <c r="J53" s="2">
        <v>-484850.4415574533</v>
      </c>
      <c r="K53" s="2">
        <v>-499395.9548041771</v>
      </c>
      <c r="L53" s="2">
        <v>-514377.83344830235</v>
      </c>
      <c r="M53" s="2">
        <v>-529809.16845175123</v>
      </c>
      <c r="N53" s="2">
        <v>-545703.44350530393</v>
      </c>
      <c r="O53" s="239">
        <v>-562074.54681046295</v>
      </c>
    </row>
    <row r="54" spans="1:15" x14ac:dyDescent="0.3">
      <c r="A54" s="152" t="s">
        <v>104</v>
      </c>
      <c r="B54" s="310">
        <v>-1960602.0296296044</v>
      </c>
      <c r="C54" s="309"/>
      <c r="D54" s="2">
        <v>0</v>
      </c>
      <c r="E54" s="2">
        <v>0</v>
      </c>
      <c r="F54" s="2">
        <v>-93850.703125</v>
      </c>
      <c r="G54" s="2">
        <v>-231998.93812499999</v>
      </c>
      <c r="H54" s="2">
        <v>-238958.90626875003</v>
      </c>
      <c r="I54" s="2">
        <v>-246127.67345681248</v>
      </c>
      <c r="J54" s="2">
        <v>-253511.50366051678</v>
      </c>
      <c r="K54" s="2">
        <v>-261116.84877033244</v>
      </c>
      <c r="L54" s="2">
        <v>-268950.35423344234</v>
      </c>
      <c r="M54" s="2">
        <v>-277018.86486044561</v>
      </c>
      <c r="N54" s="2">
        <v>-285329.43080625893</v>
      </c>
      <c r="O54" s="239">
        <v>-293889.31373044668</v>
      </c>
    </row>
    <row r="55" spans="1:15" x14ac:dyDescent="0.3">
      <c r="A55" s="152" t="s">
        <v>105</v>
      </c>
      <c r="B55" s="311">
        <v>-1716293.0699082366</v>
      </c>
      <c r="C55" s="309"/>
      <c r="D55" s="2">
        <v>0</v>
      </c>
      <c r="E55" s="2">
        <v>0</v>
      </c>
      <c r="F55" s="2">
        <v>-82156.046431250012</v>
      </c>
      <c r="G55" s="2">
        <v>-203089.74677804991</v>
      </c>
      <c r="H55" s="2">
        <v>-209182.43918139153</v>
      </c>
      <c r="I55" s="2">
        <v>-215457.91235683323</v>
      </c>
      <c r="J55" s="2">
        <v>-221921.64972753817</v>
      </c>
      <c r="K55" s="2">
        <v>-228579.29921936445</v>
      </c>
      <c r="L55" s="2">
        <v>-235436.67819594531</v>
      </c>
      <c r="M55" s="2">
        <v>-242499.77854182362</v>
      </c>
      <c r="N55" s="2">
        <v>-249774.77189807847</v>
      </c>
      <c r="O55" s="239">
        <v>-257268.01505502069</v>
      </c>
    </row>
    <row r="56" spans="1:15" x14ac:dyDescent="0.3">
      <c r="A56" s="123" t="s">
        <v>106</v>
      </c>
      <c r="B56" s="310">
        <v>-25391527.777318742</v>
      </c>
      <c r="C56" s="312"/>
      <c r="D56" s="312">
        <v>0</v>
      </c>
      <c r="E56" s="312">
        <v>0</v>
      </c>
      <c r="F56" s="312">
        <f>SUM(F49:F55)</f>
        <v>-1215449.4891395832</v>
      </c>
      <c r="G56" s="312">
        <f t="shared" ref="G56:O56" si="24">SUM(G49:G55)</f>
        <v>-3004591.1371530499</v>
      </c>
      <c r="H56" s="312">
        <f t="shared" si="24"/>
        <v>-3094728.8712676414</v>
      </c>
      <c r="I56" s="312">
        <f t="shared" si="24"/>
        <v>-3187570.7374056708</v>
      </c>
      <c r="J56" s="312">
        <f t="shared" si="24"/>
        <v>-3283197.8595278403</v>
      </c>
      <c r="K56" s="312">
        <f t="shared" si="24"/>
        <v>-3381693.7953136759</v>
      </c>
      <c r="L56" s="312">
        <f t="shared" si="24"/>
        <v>-3483144.6091730869</v>
      </c>
      <c r="M56" s="312">
        <f t="shared" si="24"/>
        <v>-3587638.9474482788</v>
      </c>
      <c r="N56" s="312">
        <f t="shared" si="24"/>
        <v>-3695268.115871727</v>
      </c>
      <c r="O56" s="333">
        <f t="shared" si="24"/>
        <v>-3806126.1593478792</v>
      </c>
    </row>
    <row r="57" spans="1:15" x14ac:dyDescent="0.3">
      <c r="A57" s="127"/>
      <c r="B57" s="311"/>
      <c r="C57" s="309"/>
      <c r="D57" s="309"/>
      <c r="E57" s="309"/>
      <c r="F57" s="309"/>
      <c r="G57" s="309"/>
      <c r="H57" s="309"/>
      <c r="I57" s="309"/>
      <c r="J57" s="309"/>
      <c r="K57" s="309"/>
      <c r="L57" s="309"/>
      <c r="M57" s="309"/>
      <c r="N57" s="309"/>
      <c r="O57" s="313"/>
    </row>
    <row r="58" spans="1:15" x14ac:dyDescent="0.3">
      <c r="A58" s="123" t="s">
        <v>171</v>
      </c>
      <c r="B58" s="310"/>
      <c r="C58" s="312"/>
      <c r="D58" s="312">
        <v>0</v>
      </c>
      <c r="E58" s="312">
        <v>0</v>
      </c>
      <c r="F58" s="312">
        <f>F46+F56</f>
        <v>2616999.7560982304</v>
      </c>
      <c r="G58" s="312">
        <f t="shared" ref="G58:O58" si="25">G46+G56</f>
        <v>4793535.3046901878</v>
      </c>
      <c r="H58" s="312">
        <f t="shared" si="25"/>
        <v>7916350.0665446948</v>
      </c>
      <c r="I58" s="312">
        <f t="shared" si="25"/>
        <v>11622207.267520852</v>
      </c>
      <c r="J58" s="312">
        <f t="shared" si="25"/>
        <v>15631842.614862934</v>
      </c>
      <c r="K58" s="312">
        <f t="shared" si="25"/>
        <v>16148085.494494803</v>
      </c>
      <c r="L58" s="312">
        <f t="shared" si="25"/>
        <v>16681352.507554168</v>
      </c>
      <c r="M58" s="312">
        <f t="shared" si="25"/>
        <v>17232204.32557261</v>
      </c>
      <c r="N58" s="312">
        <f t="shared" si="25"/>
        <v>17801220.063522339</v>
      </c>
      <c r="O58" s="333">
        <f t="shared" si="25"/>
        <v>18388997.885876499</v>
      </c>
    </row>
    <row r="59" spans="1:15" x14ac:dyDescent="0.3">
      <c r="A59" s="127" t="s">
        <v>174</v>
      </c>
      <c r="B59" s="37"/>
      <c r="C59" s="38"/>
      <c r="D59" s="38">
        <v>0</v>
      </c>
      <c r="E59" s="38">
        <v>0</v>
      </c>
      <c r="F59" s="161">
        <f>F58/F46</f>
        <v>0.68285307609751233</v>
      </c>
      <c r="G59" s="161">
        <f t="shared" ref="G59:O59" si="26">G58/G46</f>
        <v>0.61470345991942432</v>
      </c>
      <c r="H59" s="161">
        <f t="shared" si="26"/>
        <v>0.71894408452197534</v>
      </c>
      <c r="I59" s="161">
        <f t="shared" si="26"/>
        <v>0.78476579889682918</v>
      </c>
      <c r="J59" s="161">
        <f t="shared" si="26"/>
        <v>0.82642395801515789</v>
      </c>
      <c r="K59" s="161">
        <f t="shared" si="26"/>
        <v>0.82684423898848691</v>
      </c>
      <c r="L59" s="161">
        <f t="shared" si="26"/>
        <v>0.82726350233234036</v>
      </c>
      <c r="M59" s="161">
        <f t="shared" si="26"/>
        <v>0.82768175051071236</v>
      </c>
      <c r="N59" s="161">
        <f t="shared" si="26"/>
        <v>0.82809898598163079</v>
      </c>
      <c r="O59" s="162">
        <f t="shared" si="26"/>
        <v>0.82851521119717164</v>
      </c>
    </row>
    <row r="60" spans="1:15" x14ac:dyDescent="0.3">
      <c r="A60" s="152" t="s">
        <v>107</v>
      </c>
      <c r="B60" s="311">
        <v>-429980</v>
      </c>
      <c r="C60" s="309"/>
      <c r="D60" s="2">
        <v>0</v>
      </c>
      <c r="E60" s="2">
        <v>0</v>
      </c>
      <c r="F60" s="2">
        <v>-50000</v>
      </c>
      <c r="G60" s="2">
        <v>-50000</v>
      </c>
      <c r="H60" s="2">
        <v>-50000</v>
      </c>
      <c r="I60" s="2">
        <v>-50000</v>
      </c>
      <c r="J60" s="2">
        <v>-50000</v>
      </c>
      <c r="K60" s="2">
        <v>-50000</v>
      </c>
      <c r="L60" s="2">
        <v>-50000</v>
      </c>
      <c r="M60" s="2">
        <v>-50000</v>
      </c>
      <c r="N60" s="2">
        <v>-50000</v>
      </c>
      <c r="O60" s="239">
        <v>-50000</v>
      </c>
    </row>
    <row r="61" spans="1:15" ht="16.2" thickBot="1" x14ac:dyDescent="0.35">
      <c r="A61" s="128" t="s">
        <v>108</v>
      </c>
      <c r="B61" s="131">
        <f>SUM(D61:O61)</f>
        <v>128332795.28673732</v>
      </c>
      <c r="C61" s="131"/>
      <c r="D61" s="131">
        <v>0</v>
      </c>
      <c r="E61" s="131">
        <v>0</v>
      </c>
      <c r="F61" s="131">
        <f>F58+F60</f>
        <v>2566999.7560982304</v>
      </c>
      <c r="G61" s="131">
        <f t="shared" ref="G61:O61" si="27">G58+G60</f>
        <v>4743535.3046901878</v>
      </c>
      <c r="H61" s="131">
        <f t="shared" si="27"/>
        <v>7866350.0665446948</v>
      </c>
      <c r="I61" s="131">
        <f t="shared" si="27"/>
        <v>11572207.267520852</v>
      </c>
      <c r="J61" s="131">
        <f t="shared" si="27"/>
        <v>15581842.614862934</v>
      </c>
      <c r="K61" s="131">
        <f t="shared" si="27"/>
        <v>16098085.494494803</v>
      </c>
      <c r="L61" s="131">
        <f t="shared" si="27"/>
        <v>16631352.507554168</v>
      </c>
      <c r="M61" s="131">
        <f t="shared" si="27"/>
        <v>17182204.32557261</v>
      </c>
      <c r="N61" s="131">
        <f t="shared" si="27"/>
        <v>17751220.063522339</v>
      </c>
      <c r="O61" s="153">
        <f t="shared" si="27"/>
        <v>18338997.885876499</v>
      </c>
    </row>
    <row r="62" spans="1:15" x14ac:dyDescent="0.3">
      <c r="A62" s="140" t="s">
        <v>84</v>
      </c>
      <c r="B62" s="141"/>
      <c r="C62" s="141"/>
      <c r="D62" s="141">
        <v>0</v>
      </c>
      <c r="E62" s="141">
        <v>1</v>
      </c>
      <c r="F62" s="141">
        <v>2</v>
      </c>
      <c r="G62" s="141">
        <v>3</v>
      </c>
      <c r="H62" s="141">
        <v>4</v>
      </c>
      <c r="I62" s="141">
        <v>5</v>
      </c>
      <c r="J62" s="141">
        <v>6</v>
      </c>
      <c r="K62" s="141">
        <v>7</v>
      </c>
      <c r="L62" s="141">
        <v>8</v>
      </c>
      <c r="M62" s="141">
        <v>9</v>
      </c>
      <c r="N62" s="141">
        <v>10</v>
      </c>
      <c r="O62" s="142">
        <v>11</v>
      </c>
    </row>
    <row r="63" spans="1:15" x14ac:dyDescent="0.3">
      <c r="A63" s="151" t="s">
        <v>109</v>
      </c>
      <c r="B63" s="41" t="s">
        <v>110</v>
      </c>
      <c r="C63" s="35"/>
      <c r="D63" s="26">
        <v>44927</v>
      </c>
      <c r="E63" s="26">
        <v>45292</v>
      </c>
      <c r="F63" s="26">
        <v>45657</v>
      </c>
      <c r="G63" s="26">
        <v>46022</v>
      </c>
      <c r="H63" s="26">
        <v>46387</v>
      </c>
      <c r="I63" s="26">
        <v>46752</v>
      </c>
      <c r="J63" s="26">
        <v>47117</v>
      </c>
      <c r="K63" s="26">
        <v>47482</v>
      </c>
      <c r="L63" s="26">
        <v>47847</v>
      </c>
      <c r="M63" s="26">
        <v>48212</v>
      </c>
      <c r="N63" s="26">
        <v>48577</v>
      </c>
      <c r="O63" s="115">
        <v>48942</v>
      </c>
    </row>
    <row r="64" spans="1:15" x14ac:dyDescent="0.3">
      <c r="A64" s="118" t="s">
        <v>111</v>
      </c>
      <c r="B64" s="314"/>
      <c r="C64" s="228"/>
      <c r="D64" s="228"/>
      <c r="E64" s="228"/>
      <c r="F64" s="228"/>
      <c r="G64" s="228"/>
      <c r="H64" s="228"/>
      <c r="I64" s="228"/>
      <c r="J64" s="228"/>
      <c r="K64" s="228"/>
      <c r="L64" s="228"/>
      <c r="M64" s="228"/>
      <c r="N64" s="228"/>
      <c r="O64" s="316"/>
    </row>
    <row r="65" spans="1:15" x14ac:dyDescent="0.3">
      <c r="A65" s="152" t="s">
        <v>112</v>
      </c>
      <c r="B65" s="314">
        <f t="shared" ref="B65:B71" si="28">SUM(D65:O65)</f>
        <v>-15925800</v>
      </c>
      <c r="C65" s="228"/>
      <c r="D65" s="122">
        <v>-15925800</v>
      </c>
      <c r="E65" s="122">
        <v>0</v>
      </c>
      <c r="F65" s="122">
        <v>0</v>
      </c>
      <c r="G65" s="122">
        <v>0</v>
      </c>
      <c r="H65" s="122">
        <v>0</v>
      </c>
      <c r="I65" s="122">
        <v>0</v>
      </c>
      <c r="J65" s="122">
        <v>0</v>
      </c>
      <c r="K65" s="122">
        <v>0</v>
      </c>
      <c r="L65" s="122">
        <v>0</v>
      </c>
      <c r="M65" s="122">
        <v>0</v>
      </c>
      <c r="N65" s="122">
        <v>0</v>
      </c>
      <c r="O65" s="77">
        <v>0</v>
      </c>
    </row>
    <row r="66" spans="1:15" x14ac:dyDescent="0.3">
      <c r="A66" s="152" t="s">
        <v>113</v>
      </c>
      <c r="B66" s="314">
        <f t="shared" si="28"/>
        <v>-32250</v>
      </c>
      <c r="C66" s="228"/>
      <c r="D66" s="122">
        <v>-32250</v>
      </c>
      <c r="E66" s="122">
        <v>0</v>
      </c>
      <c r="F66" s="122">
        <v>0</v>
      </c>
      <c r="G66" s="122">
        <v>0</v>
      </c>
      <c r="H66" s="122">
        <v>0</v>
      </c>
      <c r="I66" s="122">
        <v>0</v>
      </c>
      <c r="J66" s="122">
        <v>0</v>
      </c>
      <c r="K66" s="122">
        <v>0</v>
      </c>
      <c r="L66" s="122">
        <v>0</v>
      </c>
      <c r="M66" s="122">
        <v>0</v>
      </c>
      <c r="N66" s="122">
        <v>0</v>
      </c>
      <c r="O66" s="77">
        <v>0</v>
      </c>
    </row>
    <row r="67" spans="1:15" x14ac:dyDescent="0.3">
      <c r="A67" s="152" t="s">
        <v>114</v>
      </c>
      <c r="B67" s="314">
        <f t="shared" si="28"/>
        <v>-38700</v>
      </c>
      <c r="C67" s="228"/>
      <c r="D67" s="122">
        <v>-38700</v>
      </c>
      <c r="E67" s="122">
        <v>0</v>
      </c>
      <c r="F67" s="122">
        <v>0</v>
      </c>
      <c r="G67" s="122">
        <v>0</v>
      </c>
      <c r="H67" s="122">
        <v>0</v>
      </c>
      <c r="I67" s="122">
        <v>0</v>
      </c>
      <c r="J67" s="122">
        <v>0</v>
      </c>
      <c r="K67" s="122">
        <v>0</v>
      </c>
      <c r="L67" s="122">
        <v>0</v>
      </c>
      <c r="M67" s="122">
        <v>0</v>
      </c>
      <c r="N67" s="122">
        <v>0</v>
      </c>
      <c r="O67" s="77">
        <v>0</v>
      </c>
    </row>
    <row r="68" spans="1:15" x14ac:dyDescent="0.3">
      <c r="A68" s="152" t="s">
        <v>115</v>
      </c>
      <c r="B68" s="314">
        <f t="shared" si="28"/>
        <v>-6450</v>
      </c>
      <c r="C68" s="228"/>
      <c r="D68" s="122">
        <v>-6450</v>
      </c>
      <c r="E68" s="122">
        <v>0</v>
      </c>
      <c r="F68" s="122">
        <v>0</v>
      </c>
      <c r="G68" s="122">
        <v>0</v>
      </c>
      <c r="H68" s="122">
        <v>0</v>
      </c>
      <c r="I68" s="122">
        <v>0</v>
      </c>
      <c r="J68" s="122">
        <v>0</v>
      </c>
      <c r="K68" s="122">
        <v>0</v>
      </c>
      <c r="L68" s="122">
        <v>0</v>
      </c>
      <c r="M68" s="122">
        <v>0</v>
      </c>
      <c r="N68" s="122">
        <v>0</v>
      </c>
      <c r="O68" s="77">
        <v>0</v>
      </c>
    </row>
    <row r="69" spans="1:15" x14ac:dyDescent="0.3">
      <c r="A69" s="152" t="s">
        <v>116</v>
      </c>
      <c r="B69" s="314">
        <f t="shared" si="28"/>
        <v>-96750</v>
      </c>
      <c r="C69" s="228"/>
      <c r="D69" s="122">
        <v>-96750</v>
      </c>
      <c r="E69" s="122">
        <v>0</v>
      </c>
      <c r="F69" s="122">
        <v>0</v>
      </c>
      <c r="G69" s="122">
        <v>0</v>
      </c>
      <c r="H69" s="122">
        <v>0</v>
      </c>
      <c r="I69" s="122">
        <v>0</v>
      </c>
      <c r="J69" s="122">
        <v>0</v>
      </c>
      <c r="K69" s="122">
        <v>0</v>
      </c>
      <c r="L69" s="122">
        <v>0</v>
      </c>
      <c r="M69" s="122">
        <v>0</v>
      </c>
      <c r="N69" s="122">
        <v>0</v>
      </c>
      <c r="O69" s="77">
        <v>0</v>
      </c>
    </row>
    <row r="70" spans="1:15" x14ac:dyDescent="0.3">
      <c r="A70" s="152" t="s">
        <v>117</v>
      </c>
      <c r="B70" s="315">
        <f t="shared" si="28"/>
        <v>-3225</v>
      </c>
      <c r="C70" s="228"/>
      <c r="D70" s="122">
        <v>-3225</v>
      </c>
      <c r="E70" s="122">
        <v>0</v>
      </c>
      <c r="F70" s="122">
        <v>0</v>
      </c>
      <c r="G70" s="122">
        <v>0</v>
      </c>
      <c r="H70" s="122">
        <v>0</v>
      </c>
      <c r="I70" s="122">
        <v>0</v>
      </c>
      <c r="J70" s="122">
        <v>0</v>
      </c>
      <c r="K70" s="122">
        <v>0</v>
      </c>
      <c r="L70" s="122">
        <v>0</v>
      </c>
      <c r="M70" s="122">
        <v>0</v>
      </c>
      <c r="N70" s="122">
        <v>0</v>
      </c>
      <c r="O70" s="77">
        <v>0</v>
      </c>
    </row>
    <row r="71" spans="1:15" x14ac:dyDescent="0.3">
      <c r="A71" s="123" t="s">
        <v>118</v>
      </c>
      <c r="B71" s="314">
        <f t="shared" si="28"/>
        <v>-16103175</v>
      </c>
      <c r="C71" s="8"/>
      <c r="D71" s="8">
        <f>SUM(D65:D70)</f>
        <v>-16103175</v>
      </c>
      <c r="E71" s="8">
        <v>0</v>
      </c>
      <c r="F71" s="8">
        <v>0</v>
      </c>
      <c r="G71" s="8">
        <v>0</v>
      </c>
      <c r="H71" s="8">
        <v>0</v>
      </c>
      <c r="I71" s="8">
        <v>0</v>
      </c>
      <c r="J71" s="8">
        <v>0</v>
      </c>
      <c r="K71" s="8">
        <v>0</v>
      </c>
      <c r="L71" s="8">
        <v>0</v>
      </c>
      <c r="M71" s="8">
        <v>0</v>
      </c>
      <c r="N71" s="8">
        <v>0</v>
      </c>
      <c r="O71" s="229">
        <v>0</v>
      </c>
    </row>
    <row r="72" spans="1:15" x14ac:dyDescent="0.3">
      <c r="A72" s="127"/>
      <c r="B72" s="314"/>
      <c r="C72" s="228"/>
      <c r="D72" s="228"/>
      <c r="E72" s="228"/>
      <c r="F72" s="228"/>
      <c r="G72" s="228"/>
      <c r="H72" s="228"/>
      <c r="I72" s="228"/>
      <c r="J72" s="228"/>
      <c r="K72" s="228"/>
      <c r="L72" s="228"/>
      <c r="M72" s="228"/>
      <c r="N72" s="228"/>
      <c r="O72" s="316"/>
    </row>
    <row r="73" spans="1:15" x14ac:dyDescent="0.3">
      <c r="A73" s="118" t="s">
        <v>41</v>
      </c>
      <c r="B73" s="314"/>
      <c r="C73" s="228"/>
      <c r="D73" s="228">
        <v>0</v>
      </c>
      <c r="E73" s="228">
        <v>0</v>
      </c>
      <c r="F73" s="228">
        <v>0</v>
      </c>
      <c r="G73" s="228">
        <v>0</v>
      </c>
      <c r="H73" s="228"/>
      <c r="I73" s="228"/>
      <c r="J73" s="228"/>
      <c r="K73" s="228"/>
      <c r="L73" s="228"/>
      <c r="M73" s="228"/>
      <c r="N73" s="228"/>
      <c r="O73" s="316"/>
    </row>
    <row r="74" spans="1:15" x14ac:dyDescent="0.3">
      <c r="A74" s="152" t="s">
        <v>119</v>
      </c>
      <c r="B74" s="314">
        <f>SUM(D74:O74)</f>
        <v>-55923138.29999999</v>
      </c>
      <c r="C74" s="228"/>
      <c r="D74" s="122">
        <v>0</v>
      </c>
      <c r="E74" s="122">
        <v>-22858417.425565738</v>
      </c>
      <c r="F74" s="122">
        <v>-32753393.85423629</v>
      </c>
      <c r="G74" s="122">
        <v>-311327.02019796817</v>
      </c>
      <c r="H74" s="122">
        <v>0</v>
      </c>
      <c r="I74" s="122">
        <v>0</v>
      </c>
      <c r="J74" s="122">
        <v>0</v>
      </c>
      <c r="K74" s="122">
        <v>0</v>
      </c>
      <c r="L74" s="122">
        <v>0</v>
      </c>
      <c r="M74" s="122">
        <v>0</v>
      </c>
      <c r="N74" s="122">
        <v>0</v>
      </c>
      <c r="O74" s="77">
        <v>0</v>
      </c>
    </row>
    <row r="75" spans="1:15" x14ac:dyDescent="0.3">
      <c r="A75" s="152" t="s">
        <v>120</v>
      </c>
      <c r="B75" s="314">
        <f>SUM(D75:O75)</f>
        <v>-10301640.719999999</v>
      </c>
      <c r="C75" s="228"/>
      <c r="D75" s="122">
        <v>0</v>
      </c>
      <c r="E75" s="122">
        <v>-4210765.1842200989</v>
      </c>
      <c r="F75" s="122">
        <v>-6033525.7659707973</v>
      </c>
      <c r="G75" s="122">
        <v>-57349.769809103353</v>
      </c>
      <c r="H75" s="122">
        <v>0</v>
      </c>
      <c r="I75" s="122">
        <v>0</v>
      </c>
      <c r="J75" s="122">
        <v>0</v>
      </c>
      <c r="K75" s="122">
        <v>0</v>
      </c>
      <c r="L75" s="122">
        <v>0</v>
      </c>
      <c r="M75" s="122">
        <v>0</v>
      </c>
      <c r="N75" s="122">
        <v>0</v>
      </c>
      <c r="O75" s="77">
        <v>0</v>
      </c>
    </row>
    <row r="76" spans="1:15" x14ac:dyDescent="0.3">
      <c r="A76" s="152" t="s">
        <v>121</v>
      </c>
      <c r="B76" s="314">
        <f>SUM(D76:O76)</f>
        <v>-3330118.23</v>
      </c>
      <c r="C76" s="228"/>
      <c r="D76" s="122">
        <v>0</v>
      </c>
      <c r="E76" s="122">
        <v>-1361175.9799579442</v>
      </c>
      <c r="F76" s="122">
        <v>-1950403.3086133548</v>
      </c>
      <c r="G76" s="122">
        <v>-18538.94142870076</v>
      </c>
      <c r="H76" s="122">
        <v>0</v>
      </c>
      <c r="I76" s="122">
        <v>0</v>
      </c>
      <c r="J76" s="122">
        <v>0</v>
      </c>
      <c r="K76" s="122">
        <v>0</v>
      </c>
      <c r="L76" s="122">
        <v>0</v>
      </c>
      <c r="M76" s="122">
        <v>0</v>
      </c>
      <c r="N76" s="122">
        <v>0</v>
      </c>
      <c r="O76" s="77">
        <v>0</v>
      </c>
    </row>
    <row r="77" spans="1:15" x14ac:dyDescent="0.3">
      <c r="A77" s="152" t="s">
        <v>122</v>
      </c>
      <c r="B77" s="315">
        <f>SUM(D77:O77)</f>
        <v>-3477744.8624999998</v>
      </c>
      <c r="C77" s="228"/>
      <c r="D77" s="122">
        <v>0</v>
      </c>
      <c r="E77" s="122">
        <v>-1421517.929487189</v>
      </c>
      <c r="F77" s="122">
        <v>-2036866.1464410222</v>
      </c>
      <c r="G77" s="122">
        <v>-19360.786571788616</v>
      </c>
      <c r="H77" s="122">
        <v>0</v>
      </c>
      <c r="I77" s="122">
        <v>0</v>
      </c>
      <c r="J77" s="122">
        <v>0</v>
      </c>
      <c r="K77" s="122">
        <v>0</v>
      </c>
      <c r="L77" s="122">
        <v>0</v>
      </c>
      <c r="M77" s="122">
        <v>0</v>
      </c>
      <c r="N77" s="122">
        <v>0</v>
      </c>
      <c r="O77" s="77">
        <v>0</v>
      </c>
    </row>
    <row r="78" spans="1:15" x14ac:dyDescent="0.3">
      <c r="A78" s="123"/>
      <c r="B78" s="314">
        <f>SUM(D78:O78)</f>
        <v>-73032642.112499997</v>
      </c>
      <c r="C78" s="8"/>
      <c r="D78" s="8">
        <v>0</v>
      </c>
      <c r="E78" s="8">
        <f>SUM(E73:E77)</f>
        <v>-29851876.519230969</v>
      </c>
      <c r="F78" s="8">
        <f t="shared" ref="F78:O78" si="29">SUM(F73:F77)</f>
        <v>-42774189.075261459</v>
      </c>
      <c r="G78" s="8">
        <f t="shared" si="29"/>
        <v>-406576.51800756087</v>
      </c>
      <c r="H78" s="8">
        <f t="shared" si="29"/>
        <v>0</v>
      </c>
      <c r="I78" s="8">
        <f t="shared" si="29"/>
        <v>0</v>
      </c>
      <c r="J78" s="8">
        <f t="shared" si="29"/>
        <v>0</v>
      </c>
      <c r="K78" s="8">
        <f t="shared" si="29"/>
        <v>0</v>
      </c>
      <c r="L78" s="8">
        <f t="shared" si="29"/>
        <v>0</v>
      </c>
      <c r="M78" s="8">
        <f t="shared" si="29"/>
        <v>0</v>
      </c>
      <c r="N78" s="8">
        <f t="shared" si="29"/>
        <v>0</v>
      </c>
      <c r="O78" s="229">
        <f t="shared" si="29"/>
        <v>0</v>
      </c>
    </row>
    <row r="79" spans="1:15" x14ac:dyDescent="0.3">
      <c r="A79" s="127"/>
      <c r="B79" s="314"/>
      <c r="C79" s="228"/>
      <c r="D79" s="228"/>
      <c r="E79" s="228"/>
      <c r="F79" s="228"/>
      <c r="G79" s="228"/>
      <c r="H79" s="228"/>
      <c r="I79" s="228"/>
      <c r="J79" s="228"/>
      <c r="K79" s="228"/>
      <c r="L79" s="228"/>
      <c r="M79" s="228"/>
      <c r="N79" s="228"/>
      <c r="O79" s="316"/>
    </row>
    <row r="80" spans="1:15" x14ac:dyDescent="0.3">
      <c r="A80" s="118" t="s">
        <v>43</v>
      </c>
      <c r="B80" s="314"/>
      <c r="C80" s="228"/>
      <c r="D80" s="228">
        <v>0</v>
      </c>
      <c r="E80" s="228">
        <v>0</v>
      </c>
      <c r="F80" s="228">
        <v>0</v>
      </c>
      <c r="G80" s="228">
        <v>0</v>
      </c>
      <c r="H80" s="228"/>
      <c r="I80" s="228"/>
      <c r="J80" s="228"/>
      <c r="K80" s="228"/>
      <c r="L80" s="228"/>
      <c r="M80" s="228"/>
      <c r="N80" s="228"/>
      <c r="O80" s="316"/>
    </row>
    <row r="81" spans="1:15" x14ac:dyDescent="0.3">
      <c r="A81" s="152" t="s">
        <v>124</v>
      </c>
      <c r="B81" s="314">
        <f t="shared" ref="B81:B90" si="30">SUM(D81:O81)</f>
        <v>-322500.00000000006</v>
      </c>
      <c r="C81" s="228"/>
      <c r="D81" s="122">
        <v>0</v>
      </c>
      <c r="E81" s="122">
        <v>-131820.92142609513</v>
      </c>
      <c r="F81" s="122">
        <v>-188883.70429653095</v>
      </c>
      <c r="G81" s="122">
        <v>-1795.374277373928</v>
      </c>
      <c r="H81" s="122">
        <v>0</v>
      </c>
      <c r="I81" s="122">
        <v>0</v>
      </c>
      <c r="J81" s="122">
        <v>0</v>
      </c>
      <c r="K81" s="122">
        <v>0</v>
      </c>
      <c r="L81" s="122">
        <v>0</v>
      </c>
      <c r="M81" s="122">
        <v>0</v>
      </c>
      <c r="N81" s="122">
        <v>0</v>
      </c>
      <c r="O81" s="77">
        <v>0</v>
      </c>
    </row>
    <row r="82" spans="1:15" x14ac:dyDescent="0.3">
      <c r="A82" s="152" t="s">
        <v>125</v>
      </c>
      <c r="B82" s="314">
        <f t="shared" si="30"/>
        <v>-12156260.82</v>
      </c>
      <c r="C82" s="228"/>
      <c r="D82" s="122">
        <v>0</v>
      </c>
      <c r="E82" s="122">
        <v>-4968835.6663204301</v>
      </c>
      <c r="F82" s="122">
        <v>-7119750.6172911152</v>
      </c>
      <c r="G82" s="122">
        <v>-67674.536388454246</v>
      </c>
      <c r="H82" s="122">
        <v>0</v>
      </c>
      <c r="I82" s="122">
        <v>0</v>
      </c>
      <c r="J82" s="122">
        <v>0</v>
      </c>
      <c r="K82" s="122">
        <v>0</v>
      </c>
      <c r="L82" s="122">
        <v>0</v>
      </c>
      <c r="M82" s="122">
        <v>0</v>
      </c>
      <c r="N82" s="122">
        <v>0</v>
      </c>
      <c r="O82" s="77">
        <v>0</v>
      </c>
    </row>
    <row r="83" spans="1:15" x14ac:dyDescent="0.3">
      <c r="A83" s="152" t="s">
        <v>126</v>
      </c>
      <c r="B83" s="314">
        <f t="shared" si="30"/>
        <v>-2580000.0000000005</v>
      </c>
      <c r="C83" s="228"/>
      <c r="D83" s="122">
        <v>0</v>
      </c>
      <c r="E83" s="122">
        <v>-1054567.371408761</v>
      </c>
      <c r="F83" s="122">
        <v>-1511069.6343722476</v>
      </c>
      <c r="G83" s="122">
        <v>-14362.994218991424</v>
      </c>
      <c r="H83" s="122">
        <v>0</v>
      </c>
      <c r="I83" s="122">
        <v>0</v>
      </c>
      <c r="J83" s="122">
        <v>0</v>
      </c>
      <c r="K83" s="122">
        <v>0</v>
      </c>
      <c r="L83" s="122">
        <v>0</v>
      </c>
      <c r="M83" s="122">
        <v>0</v>
      </c>
      <c r="N83" s="122">
        <v>0</v>
      </c>
      <c r="O83" s="77">
        <v>0</v>
      </c>
    </row>
    <row r="84" spans="1:15" x14ac:dyDescent="0.3">
      <c r="A84" s="152" t="s">
        <v>127</v>
      </c>
      <c r="B84" s="314">
        <f t="shared" si="30"/>
        <v>-516000</v>
      </c>
      <c r="C84" s="228"/>
      <c r="D84" s="122">
        <v>0</v>
      </c>
      <c r="E84" s="122">
        <v>-210913.47428175222</v>
      </c>
      <c r="F84" s="122">
        <v>-302213.92687444948</v>
      </c>
      <c r="G84" s="122">
        <v>-2872.5988437982851</v>
      </c>
      <c r="H84" s="122">
        <v>0</v>
      </c>
      <c r="I84" s="122">
        <v>0</v>
      </c>
      <c r="J84" s="122">
        <v>0</v>
      </c>
      <c r="K84" s="122">
        <v>0</v>
      </c>
      <c r="L84" s="122">
        <v>0</v>
      </c>
      <c r="M84" s="122">
        <v>0</v>
      </c>
      <c r="N84" s="122">
        <v>0</v>
      </c>
      <c r="O84" s="77">
        <v>0</v>
      </c>
    </row>
    <row r="85" spans="1:15" x14ac:dyDescent="0.3">
      <c r="A85" s="152" t="s">
        <v>128</v>
      </c>
      <c r="B85" s="314">
        <f t="shared" si="30"/>
        <v>-387000</v>
      </c>
      <c r="C85" s="228"/>
      <c r="D85" s="122">
        <v>0</v>
      </c>
      <c r="E85" s="122">
        <v>-158185.10571131416</v>
      </c>
      <c r="F85" s="122">
        <v>-226660.44515583714</v>
      </c>
      <c r="G85" s="122">
        <v>-2154.4491328487138</v>
      </c>
      <c r="H85" s="122">
        <v>0</v>
      </c>
      <c r="I85" s="122">
        <v>0</v>
      </c>
      <c r="J85" s="122">
        <v>0</v>
      </c>
      <c r="K85" s="122">
        <v>0</v>
      </c>
      <c r="L85" s="122">
        <v>0</v>
      </c>
      <c r="M85" s="122">
        <v>0</v>
      </c>
      <c r="N85" s="122">
        <v>0</v>
      </c>
      <c r="O85" s="77">
        <v>0</v>
      </c>
    </row>
    <row r="86" spans="1:15" x14ac:dyDescent="0.3">
      <c r="A86" s="152" t="s">
        <v>129</v>
      </c>
      <c r="B86" s="314">
        <f t="shared" si="30"/>
        <v>-177375</v>
      </c>
      <c r="C86" s="228"/>
      <c r="D86" s="122">
        <v>0</v>
      </c>
      <c r="E86" s="122">
        <v>-72501.506784352314</v>
      </c>
      <c r="F86" s="122">
        <v>-103886.03736309202</v>
      </c>
      <c r="G86" s="122">
        <v>-987.4558525556605</v>
      </c>
      <c r="H86" s="122">
        <v>0</v>
      </c>
      <c r="I86" s="122">
        <v>0</v>
      </c>
      <c r="J86" s="122">
        <v>0</v>
      </c>
      <c r="K86" s="122">
        <v>0</v>
      </c>
      <c r="L86" s="122">
        <v>0</v>
      </c>
      <c r="M86" s="122">
        <v>0</v>
      </c>
      <c r="N86" s="122">
        <v>0</v>
      </c>
      <c r="O86" s="77">
        <v>0</v>
      </c>
    </row>
    <row r="87" spans="1:15" x14ac:dyDescent="0.3">
      <c r="A87" s="152" t="s">
        <v>130</v>
      </c>
      <c r="B87" s="314">
        <f t="shared" si="30"/>
        <v>-695548.97250000003</v>
      </c>
      <c r="C87" s="228"/>
      <c r="D87" s="122">
        <v>0</v>
      </c>
      <c r="E87" s="122">
        <v>-284303.58589743788</v>
      </c>
      <c r="F87" s="122">
        <v>-407373.22928820451</v>
      </c>
      <c r="G87" s="122">
        <v>-3872.157314357723</v>
      </c>
      <c r="H87" s="122">
        <v>0</v>
      </c>
      <c r="I87" s="122">
        <v>0</v>
      </c>
      <c r="J87" s="122"/>
      <c r="K87" s="122"/>
      <c r="L87" s="122"/>
      <c r="M87" s="122"/>
      <c r="N87" s="122"/>
      <c r="O87" s="77"/>
    </row>
    <row r="88" spans="1:15" x14ac:dyDescent="0.3">
      <c r="A88" s="152" t="s">
        <v>131</v>
      </c>
      <c r="B88" s="314">
        <f t="shared" si="30"/>
        <v>-3277094.7654561019</v>
      </c>
      <c r="C88" s="228"/>
      <c r="D88" s="122">
        <v>0</v>
      </c>
      <c r="E88" s="122">
        <v>-1339502.7956063766</v>
      </c>
      <c r="F88" s="122">
        <v>-1919348.2128065734</v>
      </c>
      <c r="G88" s="122">
        <v>-18243.757043152345</v>
      </c>
      <c r="H88" s="122">
        <v>0</v>
      </c>
      <c r="I88" s="122">
        <v>0</v>
      </c>
      <c r="J88" s="122"/>
      <c r="K88" s="122"/>
      <c r="L88" s="122"/>
      <c r="M88" s="122"/>
      <c r="N88" s="122"/>
      <c r="O88" s="77"/>
    </row>
    <row r="89" spans="1:15" x14ac:dyDescent="0.3">
      <c r="A89" s="152" t="s">
        <v>132</v>
      </c>
      <c r="B89" s="315">
        <f t="shared" si="30"/>
        <v>-806956.79100000008</v>
      </c>
      <c r="C89" s="228"/>
      <c r="D89" s="122">
        <v>0</v>
      </c>
      <c r="E89" s="122">
        <v>-329841.20229663525</v>
      </c>
      <c r="F89" s="122">
        <v>-472623.21826766379</v>
      </c>
      <c r="G89" s="122">
        <v>-4492.3704357011129</v>
      </c>
      <c r="H89" s="122">
        <v>0</v>
      </c>
      <c r="I89" s="122">
        <v>0</v>
      </c>
      <c r="J89" s="122">
        <v>0</v>
      </c>
      <c r="K89" s="122">
        <v>0</v>
      </c>
      <c r="L89" s="122">
        <v>0</v>
      </c>
      <c r="M89" s="122">
        <v>0</v>
      </c>
      <c r="N89" s="122">
        <v>0</v>
      </c>
      <c r="O89" s="77">
        <v>0</v>
      </c>
    </row>
    <row r="90" spans="1:15" x14ac:dyDescent="0.3">
      <c r="A90" s="123" t="s">
        <v>133</v>
      </c>
      <c r="B90" s="314">
        <f t="shared" si="30"/>
        <v>-20918736.348956101</v>
      </c>
      <c r="C90" s="8"/>
      <c r="D90" s="8">
        <v>0</v>
      </c>
      <c r="E90" s="8">
        <f>SUM(E80:E89)</f>
        <v>-8550471.6297331546</v>
      </c>
      <c r="F90" s="8">
        <f t="shared" ref="F90:O90" si="31">SUM(F80:F89)</f>
        <v>-12251809.025715712</v>
      </c>
      <c r="G90" s="8">
        <f t="shared" si="31"/>
        <v>-116455.69350723346</v>
      </c>
      <c r="H90" s="8">
        <f t="shared" si="31"/>
        <v>0</v>
      </c>
      <c r="I90" s="8">
        <f t="shared" si="31"/>
        <v>0</v>
      </c>
      <c r="J90" s="8">
        <f t="shared" si="31"/>
        <v>0</v>
      </c>
      <c r="K90" s="8">
        <f t="shared" si="31"/>
        <v>0</v>
      </c>
      <c r="L90" s="8">
        <f t="shared" si="31"/>
        <v>0</v>
      </c>
      <c r="M90" s="8">
        <f t="shared" si="31"/>
        <v>0</v>
      </c>
      <c r="N90" s="8">
        <f t="shared" si="31"/>
        <v>0</v>
      </c>
      <c r="O90" s="229">
        <f t="shared" si="31"/>
        <v>0</v>
      </c>
    </row>
    <row r="91" spans="1:15" x14ac:dyDescent="0.3">
      <c r="A91" s="127"/>
      <c r="B91" s="314"/>
      <c r="C91" s="228"/>
      <c r="D91" s="228"/>
      <c r="E91" s="228"/>
      <c r="F91" s="228"/>
      <c r="G91" s="228"/>
      <c r="H91" s="228"/>
      <c r="I91" s="228"/>
      <c r="J91" s="228"/>
      <c r="K91" s="228"/>
      <c r="L91" s="228"/>
      <c r="M91" s="228"/>
      <c r="N91" s="228"/>
      <c r="O91" s="316"/>
    </row>
    <row r="92" spans="1:15" ht="16.2" thickBot="1" x14ac:dyDescent="0.35">
      <c r="A92" s="128" t="s">
        <v>134</v>
      </c>
      <c r="B92" s="334">
        <f>+B90+B78+B71</f>
        <v>-110054553.46145609</v>
      </c>
      <c r="C92" s="230"/>
      <c r="D92" s="230">
        <f>+D71+D90</f>
        <v>-16103175</v>
      </c>
      <c r="E92" s="230">
        <f>+E90+E78+E71</f>
        <v>-38402348.148964122</v>
      </c>
      <c r="F92" s="230">
        <f>+F90+F78+F71</f>
        <v>-55025998.100977167</v>
      </c>
      <c r="G92" s="230">
        <f>+G90+G78+G71</f>
        <v>-523032.21151479433</v>
      </c>
      <c r="H92" s="230">
        <v>0</v>
      </c>
      <c r="I92" s="230">
        <v>0</v>
      </c>
      <c r="J92" s="230">
        <v>0</v>
      </c>
      <c r="K92" s="230">
        <v>0</v>
      </c>
      <c r="L92" s="230">
        <v>0</v>
      </c>
      <c r="M92" s="230">
        <v>0</v>
      </c>
      <c r="N92" s="230">
        <v>0</v>
      </c>
      <c r="O92" s="335">
        <v>0</v>
      </c>
    </row>
    <row r="93" spans="1:15" x14ac:dyDescent="0.3">
      <c r="A93" s="140" t="s">
        <v>84</v>
      </c>
      <c r="B93" s="141"/>
      <c r="C93" s="141"/>
      <c r="D93" s="141">
        <v>0</v>
      </c>
      <c r="E93" s="141">
        <v>1</v>
      </c>
      <c r="F93" s="141">
        <v>2</v>
      </c>
      <c r="G93" s="141">
        <v>3</v>
      </c>
      <c r="H93" s="141">
        <v>4</v>
      </c>
      <c r="I93" s="141">
        <v>5</v>
      </c>
      <c r="J93" s="141">
        <v>6</v>
      </c>
      <c r="K93" s="141">
        <v>7</v>
      </c>
      <c r="L93" s="141">
        <v>8</v>
      </c>
      <c r="M93" s="141">
        <v>9</v>
      </c>
      <c r="N93" s="141">
        <v>10</v>
      </c>
      <c r="O93" s="142">
        <v>11</v>
      </c>
    </row>
    <row r="94" spans="1:15" x14ac:dyDescent="0.3">
      <c r="A94" s="143" t="s">
        <v>135</v>
      </c>
      <c r="B94" s="41"/>
      <c r="C94" s="35"/>
      <c r="D94" s="26">
        <v>44927</v>
      </c>
      <c r="E94" s="26">
        <f t="shared" ref="E94:O94" si="32">+D94+365</f>
        <v>45292</v>
      </c>
      <c r="F94" s="26">
        <f t="shared" si="32"/>
        <v>45657</v>
      </c>
      <c r="G94" s="26">
        <f t="shared" si="32"/>
        <v>46022</v>
      </c>
      <c r="H94" s="26">
        <f t="shared" si="32"/>
        <v>46387</v>
      </c>
      <c r="I94" s="26">
        <f t="shared" si="32"/>
        <v>46752</v>
      </c>
      <c r="J94" s="26">
        <f t="shared" si="32"/>
        <v>47117</v>
      </c>
      <c r="K94" s="26">
        <f t="shared" si="32"/>
        <v>47482</v>
      </c>
      <c r="L94" s="26">
        <f t="shared" si="32"/>
        <v>47847</v>
      </c>
      <c r="M94" s="26">
        <f t="shared" si="32"/>
        <v>48212</v>
      </c>
      <c r="N94" s="26">
        <f t="shared" si="32"/>
        <v>48577</v>
      </c>
      <c r="O94" s="115">
        <f t="shared" si="32"/>
        <v>48942</v>
      </c>
    </row>
    <row r="95" spans="1:15" x14ac:dyDescent="0.3">
      <c r="A95" s="144" t="s">
        <v>108</v>
      </c>
      <c r="B95" s="87">
        <f>SUM(D95:O95)</f>
        <v>18278241.82528124</v>
      </c>
      <c r="C95" s="228"/>
      <c r="D95" s="122">
        <f>D61+D92</f>
        <v>-16103175</v>
      </c>
      <c r="E95" s="122">
        <f t="shared" ref="E95:O95" si="33">E61+E92</f>
        <v>-38402348.148964122</v>
      </c>
      <c r="F95" s="122">
        <f t="shared" si="33"/>
        <v>-52458998.344878934</v>
      </c>
      <c r="G95" s="122">
        <f t="shared" si="33"/>
        <v>4220503.0931753935</v>
      </c>
      <c r="H95" s="122">
        <f t="shared" si="33"/>
        <v>7866350.0665446948</v>
      </c>
      <c r="I95" s="122">
        <f t="shared" si="33"/>
        <v>11572207.267520852</v>
      </c>
      <c r="J95" s="122">
        <f t="shared" si="33"/>
        <v>15581842.614862934</v>
      </c>
      <c r="K95" s="122">
        <f t="shared" si="33"/>
        <v>16098085.494494803</v>
      </c>
      <c r="L95" s="122">
        <f t="shared" si="33"/>
        <v>16631352.507554168</v>
      </c>
      <c r="M95" s="122">
        <f t="shared" si="33"/>
        <v>17182204.32557261</v>
      </c>
      <c r="N95" s="122">
        <f t="shared" si="33"/>
        <v>17751220.063522339</v>
      </c>
      <c r="O95" s="77">
        <f t="shared" si="33"/>
        <v>18338997.885876499</v>
      </c>
    </row>
    <row r="96" spans="1:15" x14ac:dyDescent="0.3">
      <c r="A96" s="144" t="s">
        <v>150</v>
      </c>
      <c r="B96" s="314"/>
      <c r="C96" s="228"/>
      <c r="D96" s="122">
        <f>'Project 2'!$B$22</f>
        <v>5.2499999999999998E-2</v>
      </c>
      <c r="E96" s="122">
        <f>'Project 2'!$B$22</f>
        <v>5.2499999999999998E-2</v>
      </c>
      <c r="F96" s="122">
        <f>'Project 2'!$B$22</f>
        <v>5.2499999999999998E-2</v>
      </c>
      <c r="G96" s="122">
        <f>'Project 2'!$B$22</f>
        <v>5.2499999999999998E-2</v>
      </c>
      <c r="H96" s="122">
        <f>'Project 2'!$B$22</f>
        <v>5.2499999999999998E-2</v>
      </c>
      <c r="I96" s="122">
        <f>'Project 2'!$B$22</f>
        <v>5.2499999999999998E-2</v>
      </c>
      <c r="J96" s="122">
        <f>'Project 2'!$B$22</f>
        <v>5.2499999999999998E-2</v>
      </c>
      <c r="K96" s="122">
        <f>'Project 2'!$B$22</f>
        <v>5.2499999999999998E-2</v>
      </c>
      <c r="L96" s="122">
        <f>'Project 2'!$B$22</f>
        <v>5.2499999999999998E-2</v>
      </c>
      <c r="M96" s="122">
        <f>'Project 2'!$B$22</f>
        <v>5.2499999999999998E-2</v>
      </c>
      <c r="N96" s="122">
        <f>'Project 2'!$B$22</f>
        <v>5.2499999999999998E-2</v>
      </c>
      <c r="O96" s="77">
        <f>'Project 2'!$B$22</f>
        <v>5.2499999999999998E-2</v>
      </c>
    </row>
    <row r="97" spans="1:15" x14ac:dyDescent="0.3">
      <c r="A97" s="145" t="s">
        <v>151</v>
      </c>
      <c r="B97" s="314">
        <f>SUM(D97:O97)</f>
        <v>349314245.44526666</v>
      </c>
      <c r="C97" s="228"/>
      <c r="D97" s="122">
        <v>0</v>
      </c>
      <c r="E97" s="122">
        <v>0</v>
      </c>
      <c r="F97" s="122">
        <v>0</v>
      </c>
      <c r="G97" s="122">
        <v>0</v>
      </c>
      <c r="H97" s="122">
        <v>0</v>
      </c>
      <c r="I97" s="122">
        <v>0</v>
      </c>
      <c r="J97" s="122">
        <v>0</v>
      </c>
      <c r="K97" s="122">
        <v>0</v>
      </c>
      <c r="L97" s="122">
        <v>0</v>
      </c>
      <c r="M97" s="122">
        <v>0</v>
      </c>
      <c r="N97" s="122">
        <v>0</v>
      </c>
      <c r="O97" s="77">
        <f>'Project 2'!B23</f>
        <v>349314245.44526666</v>
      </c>
    </row>
    <row r="98" spans="1:15" x14ac:dyDescent="0.3">
      <c r="A98" s="145" t="s">
        <v>136</v>
      </c>
      <c r="B98" s="315">
        <f>SUM(D98:O98)</f>
        <v>6986284.9089053338</v>
      </c>
      <c r="C98" s="228"/>
      <c r="D98" s="122">
        <v>0</v>
      </c>
      <c r="E98" s="122">
        <v>0</v>
      </c>
      <c r="F98" s="122">
        <v>0</v>
      </c>
      <c r="G98" s="122">
        <v>0</v>
      </c>
      <c r="H98" s="122">
        <v>0</v>
      </c>
      <c r="I98" s="122">
        <v>0</v>
      </c>
      <c r="J98" s="122">
        <v>0</v>
      </c>
      <c r="K98" s="122">
        <v>0</v>
      </c>
      <c r="L98" s="122">
        <v>0</v>
      </c>
      <c r="M98" s="122">
        <v>0</v>
      </c>
      <c r="N98" s="122">
        <v>0</v>
      </c>
      <c r="O98" s="77">
        <f>O97*0.02</f>
        <v>6986284.9089053338</v>
      </c>
    </row>
    <row r="99" spans="1:15" x14ac:dyDescent="0.3">
      <c r="A99" s="146" t="s">
        <v>137</v>
      </c>
      <c r="B99" s="100">
        <f>SUM(D99:O99)</f>
        <v>374578772.17945319</v>
      </c>
      <c r="C99" s="88"/>
      <c r="D99" s="88">
        <f>D95+D97+D98</f>
        <v>-16103175</v>
      </c>
      <c r="E99" s="88">
        <f t="shared" ref="E99:O99" si="34">E95+E97+E98</f>
        <v>-38402348.148964122</v>
      </c>
      <c r="F99" s="88">
        <f t="shared" si="34"/>
        <v>-52458998.344878934</v>
      </c>
      <c r="G99" s="88">
        <f t="shared" si="34"/>
        <v>4220503.0931753935</v>
      </c>
      <c r="H99" s="88">
        <f t="shared" si="34"/>
        <v>7866350.0665446948</v>
      </c>
      <c r="I99" s="88">
        <f t="shared" si="34"/>
        <v>11572207.267520852</v>
      </c>
      <c r="J99" s="88">
        <f t="shared" si="34"/>
        <v>15581842.614862934</v>
      </c>
      <c r="K99" s="88">
        <f t="shared" si="34"/>
        <v>16098085.494494803</v>
      </c>
      <c r="L99" s="88">
        <f t="shared" si="34"/>
        <v>16631352.507554168</v>
      </c>
      <c r="M99" s="88">
        <f t="shared" si="34"/>
        <v>17182204.32557261</v>
      </c>
      <c r="N99" s="88">
        <f t="shared" si="34"/>
        <v>17751220.063522339</v>
      </c>
      <c r="O99" s="277">
        <f t="shared" si="34"/>
        <v>374639528.24004847</v>
      </c>
    </row>
    <row r="100" spans="1:15" x14ac:dyDescent="0.3">
      <c r="A100" s="144"/>
      <c r="B100" s="8"/>
      <c r="C100" s="228"/>
      <c r="D100" s="228"/>
      <c r="E100" s="228"/>
      <c r="F100" s="228"/>
      <c r="G100" s="228"/>
      <c r="H100" s="228"/>
      <c r="I100" s="228"/>
      <c r="J100" s="228"/>
      <c r="K100" s="228"/>
      <c r="L100" s="228"/>
      <c r="M100" s="228"/>
      <c r="N100" s="228"/>
      <c r="O100" s="316"/>
    </row>
    <row r="101" spans="1:15" x14ac:dyDescent="0.3">
      <c r="A101" s="110" t="s">
        <v>149</v>
      </c>
      <c r="B101" s="317">
        <f>SUM(D101:O101)</f>
        <v>187674336.37963557</v>
      </c>
      <c r="C101" s="318"/>
      <c r="D101" s="318">
        <f>D99/(1+D96)^D93</f>
        <v>-16103175</v>
      </c>
      <c r="E101" s="318">
        <f t="shared" ref="E101:O101" si="35">E99/(1+E96)^E93</f>
        <v>-36486791.590464726</v>
      </c>
      <c r="F101" s="318">
        <f t="shared" si="35"/>
        <v>-47356084.287386268</v>
      </c>
      <c r="G101" s="318">
        <f t="shared" si="35"/>
        <v>3619911.1365111805</v>
      </c>
      <c r="H101" s="318">
        <f t="shared" si="35"/>
        <v>6410395.8909094892</v>
      </c>
      <c r="I101" s="318">
        <f t="shared" si="35"/>
        <v>8959951.9585631955</v>
      </c>
      <c r="J101" s="318">
        <f t="shared" si="35"/>
        <v>11462680.471416334</v>
      </c>
      <c r="K101" s="318">
        <f t="shared" si="35"/>
        <v>11251735.073494323</v>
      </c>
      <c r="L101" s="318">
        <f t="shared" si="35"/>
        <v>11044618.841510601</v>
      </c>
      <c r="M101" s="318">
        <f t="shared" si="35"/>
        <v>10841264.460044371</v>
      </c>
      <c r="N101" s="318">
        <f t="shared" si="35"/>
        <v>10641605.695814613</v>
      </c>
      <c r="O101" s="319">
        <f t="shared" si="35"/>
        <v>213388223.72922245</v>
      </c>
    </row>
    <row r="102" spans="1:15" ht="16.2" thickBot="1" x14ac:dyDescent="0.35">
      <c r="A102" s="147" t="s">
        <v>152</v>
      </c>
      <c r="B102" s="148">
        <f>NPV(D96,E99:O99)+D99</f>
        <v>187674336.37963554</v>
      </c>
      <c r="C102" s="320"/>
      <c r="D102" s="320"/>
      <c r="E102" s="320"/>
      <c r="F102" s="320"/>
      <c r="G102" s="320"/>
      <c r="H102" s="320"/>
      <c r="I102" s="320"/>
      <c r="J102" s="320"/>
      <c r="K102" s="320"/>
      <c r="L102" s="320"/>
      <c r="M102" s="320"/>
      <c r="N102" s="320"/>
      <c r="O102" s="321"/>
    </row>
    <row r="103" spans="1:15" ht="16.2" thickBot="1" x14ac:dyDescent="0.35"/>
    <row r="104" spans="1:15" x14ac:dyDescent="0.3">
      <c r="A104" s="106" t="s">
        <v>153</v>
      </c>
      <c r="B104" s="231"/>
    </row>
    <row r="105" spans="1:15" x14ac:dyDescent="0.3">
      <c r="A105" s="123" t="s">
        <v>152</v>
      </c>
      <c r="B105" s="232">
        <f>NPV(D96,E99:O99)+D99</f>
        <v>187674336.37963554</v>
      </c>
    </row>
    <row r="106" spans="1:15" x14ac:dyDescent="0.3">
      <c r="A106" s="118" t="s">
        <v>49</v>
      </c>
      <c r="B106" s="233">
        <f>IRR(D99:O99)</f>
        <v>0.19380995528802214</v>
      </c>
    </row>
    <row r="107" spans="1:15" x14ac:dyDescent="0.3">
      <c r="A107" s="118" t="s">
        <v>138</v>
      </c>
      <c r="B107" s="234">
        <f>B105/'Project 2'!F20</f>
        <v>6.1870820332261376</v>
      </c>
    </row>
    <row r="108" spans="1:15" x14ac:dyDescent="0.3">
      <c r="A108" s="118" t="s">
        <v>139</v>
      </c>
      <c r="B108" s="235">
        <f>B99</f>
        <v>374578772.17945319</v>
      </c>
    </row>
    <row r="109" spans="1:15" ht="16.2" thickBot="1" x14ac:dyDescent="0.35">
      <c r="A109" s="138" t="s">
        <v>154</v>
      </c>
      <c r="B109" s="236">
        <f>B61/B108</f>
        <v>0.34260562748936463</v>
      </c>
    </row>
    <row r="110" spans="1:15" ht="16.2" thickBot="1" x14ac:dyDescent="0.35">
      <c r="A110" s="36"/>
    </row>
    <row r="111" spans="1:15" x14ac:dyDescent="0.3">
      <c r="A111" s="106" t="s">
        <v>140</v>
      </c>
      <c r="B111" s="107" t="s">
        <v>110</v>
      </c>
      <c r="C111" s="108"/>
      <c r="D111" s="108"/>
      <c r="E111" s="108"/>
      <c r="F111" s="108"/>
      <c r="G111" s="108"/>
      <c r="H111" s="108"/>
      <c r="I111" s="108"/>
      <c r="J111" s="108"/>
      <c r="K111" s="108"/>
      <c r="L111" s="108"/>
      <c r="M111" s="108"/>
      <c r="N111" s="108"/>
      <c r="O111" s="109"/>
    </row>
    <row r="112" spans="1:15" x14ac:dyDescent="0.3">
      <c r="A112" s="110" t="s">
        <v>84</v>
      </c>
      <c r="B112" s="23"/>
      <c r="C112" s="23"/>
      <c r="D112" s="23">
        <v>0</v>
      </c>
      <c r="E112" s="23">
        <v>1</v>
      </c>
      <c r="F112" s="23">
        <v>2</v>
      </c>
      <c r="G112" s="23">
        <v>3</v>
      </c>
      <c r="H112" s="23">
        <v>4</v>
      </c>
      <c r="I112" s="23">
        <v>5</v>
      </c>
      <c r="J112" s="23">
        <v>6</v>
      </c>
      <c r="K112" s="23">
        <v>7</v>
      </c>
      <c r="L112" s="23">
        <v>8</v>
      </c>
      <c r="M112" s="23">
        <v>9</v>
      </c>
      <c r="N112" s="23">
        <v>10</v>
      </c>
      <c r="O112" s="111">
        <v>11</v>
      </c>
    </row>
    <row r="113" spans="1:15" x14ac:dyDescent="0.3">
      <c r="A113" s="112" t="s">
        <v>85</v>
      </c>
      <c r="B113" s="113"/>
      <c r="C113" s="113"/>
      <c r="D113" s="113">
        <v>0</v>
      </c>
      <c r="E113" s="113">
        <v>12</v>
      </c>
      <c r="F113" s="113">
        <v>24</v>
      </c>
      <c r="G113" s="113">
        <v>36</v>
      </c>
      <c r="H113" s="113">
        <v>48</v>
      </c>
      <c r="I113" s="113">
        <v>60</v>
      </c>
      <c r="J113" s="113">
        <v>72</v>
      </c>
      <c r="K113" s="113">
        <v>84</v>
      </c>
      <c r="L113" s="113">
        <v>96</v>
      </c>
      <c r="M113" s="113">
        <v>108</v>
      </c>
      <c r="N113" s="113">
        <v>120</v>
      </c>
      <c r="O113" s="114">
        <v>132</v>
      </c>
    </row>
    <row r="114" spans="1:15" ht="16.2" thickBot="1" x14ac:dyDescent="0.35">
      <c r="A114" s="112" t="s">
        <v>86</v>
      </c>
      <c r="B114" s="113"/>
      <c r="C114" s="113"/>
      <c r="D114" s="26">
        <v>44927</v>
      </c>
      <c r="E114" s="26">
        <f>+D114+365</f>
        <v>45292</v>
      </c>
      <c r="F114" s="26">
        <f t="shared" ref="F114:O114" si="36">+E114+365</f>
        <v>45657</v>
      </c>
      <c r="G114" s="26">
        <f t="shared" si="36"/>
        <v>46022</v>
      </c>
      <c r="H114" s="26">
        <f t="shared" si="36"/>
        <v>46387</v>
      </c>
      <c r="I114" s="26">
        <f t="shared" si="36"/>
        <v>46752</v>
      </c>
      <c r="J114" s="26">
        <f t="shared" si="36"/>
        <v>47117</v>
      </c>
      <c r="K114" s="26">
        <f t="shared" si="36"/>
        <v>47482</v>
      </c>
      <c r="L114" s="26">
        <f t="shared" si="36"/>
        <v>47847</v>
      </c>
      <c r="M114" s="26">
        <f t="shared" si="36"/>
        <v>48212</v>
      </c>
      <c r="N114" s="26">
        <f t="shared" si="36"/>
        <v>48577</v>
      </c>
      <c r="O114" s="115">
        <f t="shared" si="36"/>
        <v>48942</v>
      </c>
    </row>
    <row r="115" spans="1:15" ht="16.2" thickBot="1" x14ac:dyDescent="0.35">
      <c r="A115" s="347" t="s">
        <v>165</v>
      </c>
      <c r="B115" s="348"/>
      <c r="C115" s="348"/>
      <c r="D115" s="59">
        <f>'Project 2'!B30</f>
        <v>85949709.761698291</v>
      </c>
      <c r="E115" s="116"/>
      <c r="F115" s="116"/>
      <c r="G115" s="116"/>
      <c r="H115" s="116"/>
      <c r="I115" s="116"/>
      <c r="J115" s="116"/>
      <c r="K115" s="116"/>
      <c r="L115" s="116"/>
      <c r="M115" s="116"/>
      <c r="N115" s="116"/>
      <c r="O115" s="117"/>
    </row>
    <row r="116" spans="1:15" x14ac:dyDescent="0.3">
      <c r="A116" s="118" t="s">
        <v>141</v>
      </c>
      <c r="O116" s="199"/>
    </row>
    <row r="117" spans="1:15" s="2" customFormat="1" x14ac:dyDescent="0.3">
      <c r="A117" s="238" t="s">
        <v>172</v>
      </c>
      <c r="B117" s="322"/>
      <c r="C117" s="322"/>
      <c r="D117" s="322">
        <v>0</v>
      </c>
      <c r="E117" s="322">
        <f>_xlfn.XLOOKUP(E112,$A$131:$A$142,$C$131:$C$142)</f>
        <v>-4512359.7624891605</v>
      </c>
      <c r="F117" s="322">
        <f t="shared" ref="F117:N117" si="37">_xlfn.XLOOKUP(F112,$A$131:$A$142,$C$131:$C$142)</f>
        <v>-4157771.6764842295</v>
      </c>
      <c r="G117" s="322">
        <f t="shared" si="37"/>
        <v>-3784567.7159640398</v>
      </c>
      <c r="H117" s="322">
        <f t="shared" si="37"/>
        <v>-3391770.5475165402</v>
      </c>
      <c r="I117" s="322">
        <f t="shared" si="37"/>
        <v>-2978351.5277255466</v>
      </c>
      <c r="J117" s="322">
        <f t="shared" si="37"/>
        <v>-2543228.0093955263</v>
      </c>
      <c r="K117" s="322">
        <f t="shared" si="37"/>
        <v>-2085260.5063531795</v>
      </c>
      <c r="L117" s="322">
        <f t="shared" si="37"/>
        <v>-1603249.7094011093</v>
      </c>
      <c r="M117" s="322">
        <f t="shared" si="37"/>
        <v>-1095933.3456090556</v>
      </c>
      <c r="N117" s="322">
        <f t="shared" si="37"/>
        <v>-561982.87271791929</v>
      </c>
      <c r="O117" s="323">
        <v>0</v>
      </c>
    </row>
    <row r="118" spans="1:15" x14ac:dyDescent="0.3">
      <c r="A118" s="123" t="s">
        <v>142</v>
      </c>
      <c r="B118" s="122">
        <f>SUM(D118:O118)</f>
        <v>-26714475.673656303</v>
      </c>
      <c r="C118" s="57"/>
      <c r="D118" s="122">
        <v>0</v>
      </c>
      <c r="E118" s="122">
        <f>E117</f>
        <v>-4512359.7624891605</v>
      </c>
      <c r="F118" s="122">
        <f t="shared" ref="F118:O118" si="38">F117</f>
        <v>-4157771.6764842295</v>
      </c>
      <c r="G118" s="122">
        <f t="shared" si="38"/>
        <v>-3784567.7159640398</v>
      </c>
      <c r="H118" s="122">
        <f t="shared" si="38"/>
        <v>-3391770.5475165402</v>
      </c>
      <c r="I118" s="122">
        <f t="shared" si="38"/>
        <v>-2978351.5277255466</v>
      </c>
      <c r="J118" s="122">
        <f t="shared" si="38"/>
        <v>-2543228.0093955263</v>
      </c>
      <c r="K118" s="122">
        <f t="shared" si="38"/>
        <v>-2085260.5063531795</v>
      </c>
      <c r="L118" s="122">
        <f t="shared" si="38"/>
        <v>-1603249.7094011093</v>
      </c>
      <c r="M118" s="122">
        <f t="shared" si="38"/>
        <v>-1095933.3456090556</v>
      </c>
      <c r="N118" s="122">
        <f t="shared" si="38"/>
        <v>-561982.87271791929</v>
      </c>
      <c r="O118" s="77">
        <f t="shared" si="38"/>
        <v>0</v>
      </c>
    </row>
    <row r="119" spans="1:15" x14ac:dyDescent="0.3">
      <c r="A119" s="118"/>
      <c r="B119" s="57"/>
      <c r="C119" s="57"/>
      <c r="D119" s="122"/>
      <c r="E119" s="122"/>
      <c r="F119" s="122"/>
      <c r="G119" s="122"/>
      <c r="H119" s="122"/>
      <c r="I119" s="122"/>
      <c r="J119" s="122"/>
      <c r="K119" s="122"/>
      <c r="L119" s="122"/>
      <c r="M119" s="122"/>
      <c r="N119" s="122"/>
      <c r="O119" s="77"/>
    </row>
    <row r="120" spans="1:15" x14ac:dyDescent="0.3">
      <c r="A120" s="125" t="s">
        <v>168</v>
      </c>
      <c r="B120" s="324"/>
      <c r="C120" s="324"/>
      <c r="D120" s="326">
        <f t="shared" ref="D120:O120" si="39">D118+D58</f>
        <v>0</v>
      </c>
      <c r="E120" s="327">
        <f t="shared" si="39"/>
        <v>-4512359.7624891605</v>
      </c>
      <c r="F120" s="327">
        <f t="shared" si="39"/>
        <v>-1540771.9203859991</v>
      </c>
      <c r="G120" s="326">
        <f t="shared" si="39"/>
        <v>1008967.588726148</v>
      </c>
      <c r="H120" s="326">
        <f t="shared" si="39"/>
        <v>4524579.5190281551</v>
      </c>
      <c r="I120" s="326">
        <f t="shared" si="39"/>
        <v>8643855.7397953048</v>
      </c>
      <c r="J120" s="326">
        <f t="shared" si="39"/>
        <v>13088614.605467407</v>
      </c>
      <c r="K120" s="326">
        <f t="shared" si="39"/>
        <v>14062824.988141624</v>
      </c>
      <c r="L120" s="326">
        <f t="shared" si="39"/>
        <v>15078102.798153058</v>
      </c>
      <c r="M120" s="326">
        <f t="shared" si="39"/>
        <v>16136270.979963554</v>
      </c>
      <c r="N120" s="326">
        <f t="shared" si="39"/>
        <v>17239237.190804418</v>
      </c>
      <c r="O120" s="328">
        <f t="shared" si="39"/>
        <v>18388997.885876499</v>
      </c>
    </row>
    <row r="121" spans="1:15" x14ac:dyDescent="0.3">
      <c r="A121" s="127" t="s">
        <v>175</v>
      </c>
      <c r="B121" s="57"/>
      <c r="C121" s="57"/>
      <c r="D121" s="122"/>
      <c r="E121" s="329">
        <f t="shared" ref="E121:O121" si="40">E120*0.21</f>
        <v>-947595.55012272368</v>
      </c>
      <c r="F121" s="329">
        <f t="shared" si="40"/>
        <v>-323562.10328105983</v>
      </c>
      <c r="G121" s="122">
        <f t="shared" si="40"/>
        <v>211883.19363249108</v>
      </c>
      <c r="H121" s="122">
        <f t="shared" si="40"/>
        <v>950161.69899591256</v>
      </c>
      <c r="I121" s="122">
        <f t="shared" si="40"/>
        <v>1815209.705357014</v>
      </c>
      <c r="J121" s="122">
        <f t="shared" si="40"/>
        <v>2748609.0671481555</v>
      </c>
      <c r="K121" s="122">
        <f t="shared" si="40"/>
        <v>2953193.2475097408</v>
      </c>
      <c r="L121" s="122">
        <f t="shared" si="40"/>
        <v>3166401.5876121419</v>
      </c>
      <c r="M121" s="122">
        <f t="shared" si="40"/>
        <v>3388616.9057923462</v>
      </c>
      <c r="N121" s="122">
        <f t="shared" si="40"/>
        <v>3620239.8100689277</v>
      </c>
      <c r="O121" s="77">
        <f t="shared" si="40"/>
        <v>3861689.5560340649</v>
      </c>
    </row>
    <row r="122" spans="1:15" x14ac:dyDescent="0.3">
      <c r="A122" s="127" t="s">
        <v>170</v>
      </c>
      <c r="B122" s="325"/>
      <c r="C122" s="325"/>
      <c r="D122" s="322"/>
      <c r="E122" s="330">
        <f t="shared" ref="E122:O122" si="41">E120-E121</f>
        <v>-3564764.2123664366</v>
      </c>
      <c r="F122" s="330">
        <f t="shared" si="41"/>
        <v>-1217209.8171049394</v>
      </c>
      <c r="G122" s="322">
        <f t="shared" si="41"/>
        <v>797084.39509365696</v>
      </c>
      <c r="H122" s="322">
        <f t="shared" si="41"/>
        <v>3574417.8200322427</v>
      </c>
      <c r="I122" s="322">
        <f t="shared" si="41"/>
        <v>6828646.0344382906</v>
      </c>
      <c r="J122" s="322">
        <f t="shared" si="41"/>
        <v>10340005.538319252</v>
      </c>
      <c r="K122" s="322">
        <f t="shared" si="41"/>
        <v>11109631.740631884</v>
      </c>
      <c r="L122" s="322">
        <f t="shared" si="41"/>
        <v>11911701.210540917</v>
      </c>
      <c r="M122" s="322">
        <f t="shared" si="41"/>
        <v>12747654.074171208</v>
      </c>
      <c r="N122" s="322">
        <f t="shared" si="41"/>
        <v>13618997.38073549</v>
      </c>
      <c r="O122" s="323">
        <f t="shared" si="41"/>
        <v>14527308.329842433</v>
      </c>
    </row>
    <row r="123" spans="1:15" ht="16.2" thickBot="1" x14ac:dyDescent="0.35">
      <c r="A123" s="128" t="s">
        <v>173</v>
      </c>
      <c r="B123" s="237"/>
      <c r="C123" s="237"/>
      <c r="D123" s="331">
        <v>0</v>
      </c>
      <c r="E123" s="331">
        <v>0</v>
      </c>
      <c r="F123" s="331">
        <f>F122/F46</f>
        <v>-0.31760624582763608</v>
      </c>
      <c r="G123" s="331">
        <f t="shared" ref="G123:O123" si="42">G122/G46</f>
        <v>0.10221485904827809</v>
      </c>
      <c r="H123" s="331">
        <f t="shared" si="42"/>
        <v>0.32462012489598974</v>
      </c>
      <c r="I123" s="331">
        <f t="shared" si="42"/>
        <v>0.46109037098103145</v>
      </c>
      <c r="J123" s="331">
        <f t="shared" si="42"/>
        <v>0.54665521611326551</v>
      </c>
      <c r="K123" s="331">
        <f t="shared" si="42"/>
        <v>0.56885598018147554</v>
      </c>
      <c r="L123" s="331">
        <f t="shared" si="42"/>
        <v>0.59072642087660521</v>
      </c>
      <c r="M123" s="331">
        <f t="shared" si="42"/>
        <v>0.61228386337999396</v>
      </c>
      <c r="N123" s="331">
        <f t="shared" si="42"/>
        <v>0.63354522222798615</v>
      </c>
      <c r="O123" s="332">
        <f t="shared" si="42"/>
        <v>0.65452701684576553</v>
      </c>
    </row>
    <row r="124" spans="1:15" ht="16.2" thickBot="1" x14ac:dyDescent="0.35">
      <c r="A124" s="21"/>
    </row>
    <row r="125" spans="1:15" x14ac:dyDescent="0.3">
      <c r="A125" s="354" t="s">
        <v>166</v>
      </c>
      <c r="B125" s="355"/>
      <c r="C125" s="223"/>
      <c r="D125" s="223"/>
      <c r="E125" s="231"/>
    </row>
    <row r="126" spans="1:15" x14ac:dyDescent="0.3">
      <c r="A126" s="47"/>
      <c r="B126" s="356" t="s">
        <v>156</v>
      </c>
      <c r="C126" s="356"/>
      <c r="D126" s="104">
        <f>D115</f>
        <v>85949709.761698291</v>
      </c>
      <c r="E126" s="247"/>
    </row>
    <row r="127" spans="1:15" x14ac:dyDescent="0.3">
      <c r="A127" s="47"/>
      <c r="B127" s="356" t="s">
        <v>157</v>
      </c>
      <c r="C127" s="356"/>
      <c r="D127" s="105">
        <f>'Project 2'!B22</f>
        <v>5.2499999999999998E-2</v>
      </c>
      <c r="E127" s="247"/>
    </row>
    <row r="128" spans="1:15" x14ac:dyDescent="0.3">
      <c r="A128" s="47"/>
      <c r="B128" s="356" t="s">
        <v>158</v>
      </c>
      <c r="C128" s="356"/>
      <c r="D128" s="102">
        <v>10</v>
      </c>
      <c r="E128" s="247"/>
    </row>
    <row r="129" spans="1:5" x14ac:dyDescent="0.3">
      <c r="A129" s="47"/>
      <c r="B129" s="352" t="s">
        <v>159</v>
      </c>
      <c r="C129" s="352"/>
      <c r="D129" s="102">
        <v>1</v>
      </c>
      <c r="E129" s="247"/>
    </row>
    <row r="130" spans="1:5" x14ac:dyDescent="0.3">
      <c r="A130" s="47"/>
      <c r="B130" s="353" t="s">
        <v>160</v>
      </c>
      <c r="C130" s="353"/>
      <c r="D130" s="103"/>
      <c r="E130" s="247"/>
    </row>
    <row r="131" spans="1:5" ht="31.2" x14ac:dyDescent="0.3">
      <c r="A131" s="248" t="s">
        <v>84</v>
      </c>
      <c r="B131" s="55" t="s">
        <v>167</v>
      </c>
      <c r="C131" s="55" t="s">
        <v>161</v>
      </c>
      <c r="D131" s="55" t="s">
        <v>162</v>
      </c>
      <c r="E131" s="244" t="s">
        <v>163</v>
      </c>
    </row>
    <row r="132" spans="1:5" x14ac:dyDescent="0.3">
      <c r="A132" s="45">
        <v>0</v>
      </c>
      <c r="B132" s="102"/>
      <c r="C132" s="102"/>
      <c r="D132" s="102"/>
      <c r="E132" s="249">
        <f>D126</f>
        <v>85949709.761698291</v>
      </c>
    </row>
    <row r="133" spans="1:5" x14ac:dyDescent="0.3">
      <c r="A133" s="45">
        <v>1</v>
      </c>
      <c r="B133" s="305">
        <f>PMT($D$127,$D$128,$D$126)</f>
        <v>-11266418.543535464</v>
      </c>
      <c r="C133" s="305">
        <f>$D$127*E132*-1</f>
        <v>-4512359.7624891605</v>
      </c>
      <c r="D133" s="305">
        <f>B133-C133</f>
        <v>-6754058.781046303</v>
      </c>
      <c r="E133" s="306">
        <f>E132+D133</f>
        <v>79195650.98065199</v>
      </c>
    </row>
    <row r="134" spans="1:5" x14ac:dyDescent="0.3">
      <c r="A134" s="45">
        <v>2</v>
      </c>
      <c r="B134" s="305">
        <f t="shared" ref="B134:B142" si="43">PMT($D$127,$D$128,$D$126)</f>
        <v>-11266418.543535464</v>
      </c>
      <c r="C134" s="305">
        <f t="shared" ref="C134:C142" si="44">$D$127*E133*-1</f>
        <v>-4157771.6764842295</v>
      </c>
      <c r="D134" s="305">
        <f t="shared" ref="D134:D142" si="45">B134-C134</f>
        <v>-7108646.8670512345</v>
      </c>
      <c r="E134" s="306">
        <f t="shared" ref="E134:E141" si="46">E133+D134</f>
        <v>72087004.113600761</v>
      </c>
    </row>
    <row r="135" spans="1:5" x14ac:dyDescent="0.3">
      <c r="A135" s="45">
        <v>3</v>
      </c>
      <c r="B135" s="305">
        <f t="shared" si="43"/>
        <v>-11266418.543535464</v>
      </c>
      <c r="C135" s="305">
        <f t="shared" si="44"/>
        <v>-3784567.7159640398</v>
      </c>
      <c r="D135" s="305">
        <f t="shared" si="45"/>
        <v>-7481850.8275714237</v>
      </c>
      <c r="E135" s="306">
        <f t="shared" si="46"/>
        <v>64605153.286029339</v>
      </c>
    </row>
    <row r="136" spans="1:5" x14ac:dyDescent="0.3">
      <c r="A136" s="45">
        <v>4</v>
      </c>
      <c r="B136" s="305">
        <f t="shared" si="43"/>
        <v>-11266418.543535464</v>
      </c>
      <c r="C136" s="305">
        <f t="shared" si="44"/>
        <v>-3391770.5475165402</v>
      </c>
      <c r="D136" s="305">
        <f t="shared" si="45"/>
        <v>-7874647.9960189238</v>
      </c>
      <c r="E136" s="306">
        <f t="shared" si="46"/>
        <v>56730505.290010415</v>
      </c>
    </row>
    <row r="137" spans="1:5" x14ac:dyDescent="0.3">
      <c r="A137" s="45">
        <v>5</v>
      </c>
      <c r="B137" s="305">
        <f t="shared" si="43"/>
        <v>-11266418.543535464</v>
      </c>
      <c r="C137" s="305">
        <f t="shared" si="44"/>
        <v>-2978351.5277255466</v>
      </c>
      <c r="D137" s="305">
        <f t="shared" si="45"/>
        <v>-8288067.0158099169</v>
      </c>
      <c r="E137" s="306">
        <f t="shared" si="46"/>
        <v>48442438.274200499</v>
      </c>
    </row>
    <row r="138" spans="1:5" x14ac:dyDescent="0.3">
      <c r="A138" s="45">
        <v>6</v>
      </c>
      <c r="B138" s="305">
        <f t="shared" si="43"/>
        <v>-11266418.543535464</v>
      </c>
      <c r="C138" s="305">
        <f t="shared" si="44"/>
        <v>-2543228.0093955263</v>
      </c>
      <c r="D138" s="305">
        <f t="shared" si="45"/>
        <v>-8723190.5341399368</v>
      </c>
      <c r="E138" s="306">
        <f t="shared" si="46"/>
        <v>39719247.74006056</v>
      </c>
    </row>
    <row r="139" spans="1:5" x14ac:dyDescent="0.3">
      <c r="A139" s="45">
        <v>7</v>
      </c>
      <c r="B139" s="305">
        <f t="shared" si="43"/>
        <v>-11266418.543535464</v>
      </c>
      <c r="C139" s="305">
        <f t="shared" si="44"/>
        <v>-2085260.5063531795</v>
      </c>
      <c r="D139" s="305">
        <f t="shared" si="45"/>
        <v>-9181158.0371822845</v>
      </c>
      <c r="E139" s="306">
        <f t="shared" si="46"/>
        <v>30538089.702878274</v>
      </c>
    </row>
    <row r="140" spans="1:5" x14ac:dyDescent="0.3">
      <c r="A140" s="45">
        <v>8</v>
      </c>
      <c r="B140" s="305">
        <f t="shared" si="43"/>
        <v>-11266418.543535464</v>
      </c>
      <c r="C140" s="305">
        <f t="shared" si="44"/>
        <v>-1603249.7094011093</v>
      </c>
      <c r="D140" s="305">
        <f t="shared" si="45"/>
        <v>-9663168.8341343552</v>
      </c>
      <c r="E140" s="306">
        <f t="shared" si="46"/>
        <v>20874920.868743919</v>
      </c>
    </row>
    <row r="141" spans="1:5" x14ac:dyDescent="0.3">
      <c r="A141" s="45">
        <v>9</v>
      </c>
      <c r="B141" s="305">
        <f t="shared" si="43"/>
        <v>-11266418.543535464</v>
      </c>
      <c r="C141" s="305">
        <f t="shared" si="44"/>
        <v>-1095933.3456090556</v>
      </c>
      <c r="D141" s="305">
        <f t="shared" si="45"/>
        <v>-10170485.197926408</v>
      </c>
      <c r="E141" s="306">
        <f t="shared" si="46"/>
        <v>10704435.670817511</v>
      </c>
    </row>
    <row r="142" spans="1:5" x14ac:dyDescent="0.3">
      <c r="A142" s="45">
        <v>10</v>
      </c>
      <c r="B142" s="305">
        <f t="shared" si="43"/>
        <v>-11266418.543535464</v>
      </c>
      <c r="C142" s="305">
        <f t="shared" si="44"/>
        <v>-561982.87271791929</v>
      </c>
      <c r="D142" s="305">
        <f t="shared" si="45"/>
        <v>-10704435.670817545</v>
      </c>
      <c r="E142" s="306">
        <f>E141+D142</f>
        <v>-3.3527612686157227E-8</v>
      </c>
    </row>
    <row r="143" spans="1:5" ht="16.2" thickBot="1" x14ac:dyDescent="0.35">
      <c r="A143" s="250" t="s">
        <v>164</v>
      </c>
      <c r="B143" s="307">
        <f>SUM(B133:B142)</f>
        <v>-112664185.43535465</v>
      </c>
      <c r="C143" s="307">
        <f>SUM(C133:C142)</f>
        <v>-26714475.673656303</v>
      </c>
      <c r="D143" s="307">
        <f>SUM(D133:D142)</f>
        <v>-85949709.761698321</v>
      </c>
      <c r="E143" s="308"/>
    </row>
    <row r="144" spans="1:5" ht="16.2" thickTop="1" x14ac:dyDescent="0.3">
      <c r="A144" s="21"/>
    </row>
  </sheetData>
  <mergeCells count="7">
    <mergeCell ref="B129:C129"/>
    <mergeCell ref="B130:C130"/>
    <mergeCell ref="A115:C115"/>
    <mergeCell ref="A125:B125"/>
    <mergeCell ref="B126:C126"/>
    <mergeCell ref="B127:C127"/>
    <mergeCell ref="B128:C128"/>
  </mergeCells>
  <conditionalFormatting sqref="A1:XFD1048576">
    <cfRule type="cellIs" dxfId="0" priority="1" operator="lessThan">
      <formula>-1</formula>
    </cfRule>
  </conditionalFormatting>
  <pageMargins left="0.7" right="0.7" top="0.75" bottom="0.75" header="0.3" footer="0.3"/>
  <pageSetup scale="34" fitToHeight="0" orientation="portrait" horizontalDpi="300" verticalDpi="300" r:id="rId1"/>
  <headerFooter>
    <oddHeader>&amp;C&amp;"-,Bold"&amp;28&amp;A&amp;R&amp;"-,Bold"&amp;28&amp;P</oddHeader>
  </headerFooter>
  <rowBreaks count="1" manualBreakCount="1">
    <brk id="110"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Exe Sum &amp; Dashboard</vt:lpstr>
      <vt:lpstr>Memo</vt:lpstr>
      <vt:lpstr>Project 1</vt:lpstr>
      <vt:lpstr>Project 1 Unit Mix Pivot</vt:lpstr>
      <vt:lpstr>Project 1 Financial Analysis</vt:lpstr>
      <vt:lpstr>Project 2</vt:lpstr>
      <vt:lpstr>Project 2 Unit Mix Pivot</vt:lpstr>
      <vt:lpstr>Project 2 Financial Analysis</vt:lpstr>
      <vt:lpstr>'Exe Sum &amp; Dashboard'!Print_Area</vt:lpstr>
      <vt:lpstr>Memo!Print_Area</vt:lpstr>
      <vt:lpstr>'Project 1'!Print_Area</vt:lpstr>
      <vt:lpstr>'Project 1 Financial Analysis'!Print_Area</vt:lpstr>
      <vt:lpstr>'Project 1 Unit Mix Pivot'!Print_Area</vt:lpstr>
      <vt:lpstr>'Project 2'!Print_Area</vt:lpstr>
      <vt:lpstr>'Project 2 Financial Analysis'!Print_Area</vt:lpstr>
      <vt:lpstr>'Project 2 Unit Mix Pivot'!Print_Area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Nugent</dc:creator>
  <cp:lastModifiedBy>MJ Sanacore</cp:lastModifiedBy>
  <cp:lastPrinted>2025-03-09T20:44:52Z</cp:lastPrinted>
  <dcterms:created xsi:type="dcterms:W3CDTF">2022-11-27T20:28:40Z</dcterms:created>
  <dcterms:modified xsi:type="dcterms:W3CDTF">2026-01-31T23:09:45Z</dcterms:modified>
</cp:coreProperties>
</file>